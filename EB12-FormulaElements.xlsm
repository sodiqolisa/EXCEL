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5915" windowHeight="7695" firstSheet="9" activeTab="10"/>
  </bookViews>
  <sheets>
    <sheet name="Cover" sheetId="2" r:id="rId1"/>
    <sheet name="FT &amp; FE" sheetId="1" r:id="rId2"/>
    <sheet name="FT &amp; FE (an)" sheetId="3" r:id="rId3"/>
    <sheet name="HW===&gt;&gt;" sheetId="4" r:id="rId4"/>
    <sheet name="HW(1)" sheetId="5" r:id="rId5"/>
    <sheet name="HW(1an)" sheetId="6" r:id="rId6"/>
    <sheet name="HW(2)" sheetId="7" r:id="rId7"/>
    <sheet name="HW(2an)" sheetId="8" r:id="rId8"/>
    <sheet name="HW(3)" sheetId="9" r:id="rId9"/>
    <sheet name="HW(3an)" sheetId="10" r:id="rId10"/>
    <sheet name="HW(4)" sheetId="11" r:id="rId11"/>
    <sheet name="HW(4an)" sheetId="12" r:id="rId12"/>
    <sheet name="HW(5)" sheetId="13" r:id="rId13"/>
    <sheet name="HW(5an)" sheetId="14" r:id="rId14"/>
  </sheets>
  <calcPr calcId="144525"/>
  <pivotCaches>
    <pivotCache cacheId="0" r:id="rId15"/>
    <pivotCache cacheId="1" r:id="rId16"/>
  </pivotCaches>
</workbook>
</file>

<file path=xl/sharedStrings.xml><?xml version="1.0" encoding="utf-8"?>
<sst xmlns="http://schemas.openxmlformats.org/spreadsheetml/2006/main" count="1200" uniqueCount="420">
  <si>
    <t>Excel Basics 12: Comprehensive  Formula Lesson of Formula Types &amp; Formula Elements (12 Examples)</t>
  </si>
  <si>
    <t>Office 2016 Video #24</t>
  </si>
  <si>
    <t>Number Formulas?</t>
  </si>
  <si>
    <t>Text Formulas?</t>
  </si>
  <si>
    <t>Logical Formulas?</t>
  </si>
  <si>
    <t>12 Amazing Formulas</t>
  </si>
  <si>
    <t>Formula Types:</t>
  </si>
  <si>
    <r>
      <rPr>
        <b/>
        <sz val="11"/>
        <color theme="1"/>
        <rFont val="Calibri"/>
        <charset val="134"/>
        <scheme val="minor"/>
      </rPr>
      <t>1) Number formulas</t>
    </r>
    <r>
      <rPr>
        <sz val="11"/>
        <color theme="1"/>
        <rFont val="Calibri"/>
        <charset val="134"/>
        <scheme val="minor"/>
      </rPr>
      <t xml:space="preserve"> that deliver a single number answers such as a tax deduction amount or a budgetary expense amount.</t>
    </r>
  </si>
  <si>
    <r>
      <rPr>
        <b/>
        <sz val="11"/>
        <color theme="1"/>
        <rFont val="Calibri"/>
        <charset val="134"/>
        <scheme val="minor"/>
      </rPr>
      <t>2) Text formulas</t>
    </r>
    <r>
      <rPr>
        <sz val="11"/>
        <color theme="1"/>
        <rFont val="Calibri"/>
        <charset val="134"/>
        <scheme val="minor"/>
      </rPr>
      <t xml:space="preserve"> that deliver a text item such as a name or category.</t>
    </r>
  </si>
  <si>
    <r>
      <rPr>
        <b/>
        <sz val="11"/>
        <color theme="1"/>
        <rFont val="Calibri"/>
        <charset val="134"/>
        <scheme val="minor"/>
      </rPr>
      <t>3) Logical formulas</t>
    </r>
    <r>
      <rPr>
        <sz val="11"/>
        <color theme="1"/>
        <rFont val="Calibri"/>
        <charset val="134"/>
        <scheme val="minor"/>
      </rPr>
      <t xml:space="preserve"> (Boolean Formulas) deliver a TRUE or FALSE.</t>
    </r>
  </si>
  <si>
    <t>Formula Elements:</t>
  </si>
  <si>
    <t>1) Equal sign, =</t>
  </si>
  <si>
    <t>2) Cell references,   like A1, $A$1, A1:A10, $A$1:$A$10</t>
  </si>
  <si>
    <t>3) Math operators, -, +, /, *, ^, and ( )</t>
  </si>
  <si>
    <t>4) Numbers (if they won’t change),   like 12 months</t>
  </si>
  <si>
    <t>5) Built-in Functions,   like SUM and ROUND</t>
  </si>
  <si>
    <t>6) Join operator: Ampersand (&amp;),   like First &amp; Last Name</t>
  </si>
  <si>
    <t>7) Text within quotation marks,   like ", "</t>
  </si>
  <si>
    <t>8) Comparative operators, &gt;, &lt;, &gt;=, &lt;=, =, &lt;&gt;, like:      Your Sales &gt;= Hurdle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</si>
  <si>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Add calls made a service center last week.</t>
    </r>
  </si>
  <si>
    <r>
      <rPr>
        <b/>
        <sz val="11"/>
        <color theme="1"/>
        <rFont val="Calibri"/>
        <charset val="134"/>
        <scheme val="minor"/>
      </rPr>
      <t xml:space="preserve">Type of Formula: </t>
    </r>
    <r>
      <rPr>
        <sz val="11"/>
        <color theme="1"/>
        <rFont val="Calibri"/>
        <charset val="134"/>
        <scheme val="minor"/>
      </rPr>
      <t>Number Formula.</t>
    </r>
  </si>
  <si>
    <r>
      <rPr>
        <b/>
        <sz val="11"/>
        <color theme="1"/>
        <rFont val="Calibri"/>
        <charset val="134"/>
        <scheme val="minor"/>
      </rPr>
      <t>Formula Elements</t>
    </r>
    <r>
      <rPr>
        <sz val="11"/>
        <color theme="1"/>
        <rFont val="Calibri"/>
        <charset val="134"/>
        <scheme val="minor"/>
      </rPr>
      <t>: Equal Sign, Built-in Function,</t>
    </r>
  </si>
  <si>
    <t>Range of Cells</t>
  </si>
  <si>
    <t>Day</t>
  </si>
  <si>
    <t>Calls</t>
  </si>
  <si>
    <t>Total</t>
  </si>
  <si>
    <t>Ex 2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</si>
  <si>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Calculate Monthly Insurance Expense.</t>
    </r>
  </si>
  <si>
    <t>Math Operators.</t>
  </si>
  <si>
    <t>+</t>
  </si>
  <si>
    <t>Adding.</t>
  </si>
  <si>
    <r>
      <rPr>
        <b/>
        <sz val="11"/>
        <color theme="1"/>
        <rFont val="Calibri"/>
        <charset val="134"/>
        <scheme val="minor"/>
      </rPr>
      <t>Formula Elements</t>
    </r>
    <r>
      <rPr>
        <sz val="11"/>
        <color theme="1"/>
        <rFont val="Calibri"/>
        <charset val="134"/>
        <scheme val="minor"/>
      </rPr>
      <t>: Equal Sign, Cell Reference,</t>
    </r>
  </si>
  <si>
    <t>-</t>
  </si>
  <si>
    <t>Subtracting or Negation.</t>
  </si>
  <si>
    <t>Math Operator, Number.</t>
  </si>
  <si>
    <t>*</t>
  </si>
  <si>
    <t>Multiplying.</t>
  </si>
  <si>
    <t>/</t>
  </si>
  <si>
    <t>Dividing.</t>
  </si>
  <si>
    <t>Annual Insurance</t>
  </si>
  <si>
    <t>** 12 months in year can not change</t>
  </si>
  <si>
    <t>^</t>
  </si>
  <si>
    <t>Raising to an exponent.</t>
  </si>
  <si>
    <t>Monthly Allocation</t>
  </si>
  <si>
    <t>We are not violating Excel's Golden Rule</t>
  </si>
  <si>
    <t>( )</t>
  </si>
  <si>
    <t>Parentheses.</t>
  </si>
  <si>
    <t>Ex 3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</si>
  <si>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Calculate Deduction for Each Employee.</t>
    </r>
  </si>
  <si>
    <r>
      <rPr>
        <b/>
        <sz val="11"/>
        <color theme="1"/>
        <rFont val="Calibri"/>
        <charset val="134"/>
        <scheme val="minor"/>
      </rPr>
      <t>Formula Elements</t>
    </r>
    <r>
      <rPr>
        <sz val="11"/>
        <color theme="1"/>
        <rFont val="Calibri"/>
        <charset val="134"/>
        <scheme val="minor"/>
      </rPr>
      <t xml:space="preserve">: Equal Sign, Built-In Function, Relative Cell Reference, </t>
    </r>
  </si>
  <si>
    <t>Math Operator, Absolute Cell Reference, Number</t>
  </si>
  <si>
    <t>Employee</t>
  </si>
  <si>
    <t>Gross Pay</t>
  </si>
  <si>
    <t>Deduction</t>
  </si>
  <si>
    <t>Tax Rate</t>
  </si>
  <si>
    <t>Sioux</t>
  </si>
  <si>
    <t>Chin</t>
  </si>
  <si>
    <t>Tyrone</t>
  </si>
  <si>
    <t>** 2 for penny will not change</t>
  </si>
  <si>
    <t>Gigi</t>
  </si>
  <si>
    <t>Ex 4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</si>
  <si>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Calculate Cost of Goods Sold (COGS) in Accounting</t>
    </r>
  </si>
  <si>
    <r>
      <rPr>
        <b/>
        <sz val="11"/>
        <color theme="1"/>
        <rFont val="Calibri"/>
        <charset val="134"/>
        <scheme val="minor"/>
      </rPr>
      <t>Formula Elements:</t>
    </r>
    <r>
      <rPr>
        <sz val="11"/>
        <color theme="1"/>
        <rFont val="Calibri"/>
        <charset val="134"/>
        <scheme val="minor"/>
      </rPr>
      <t xml:space="preserve"> Equal Sign, Parenthesis, Relative Cell Reference, Math Operator,</t>
    </r>
  </si>
  <si>
    <t>Relative Cell Reference, Parenthesis, Math Operator, Relative Cell Reference</t>
  </si>
  <si>
    <t>Product</t>
  </si>
  <si>
    <t>Beginning Quantity</t>
  </si>
  <si>
    <t>End Quantity</t>
  </si>
  <si>
    <t>Value Each</t>
  </si>
  <si>
    <t>COGS</t>
  </si>
  <si>
    <t>Aspen</t>
  </si>
  <si>
    <t>Quad</t>
  </si>
  <si>
    <t>Carlota</t>
  </si>
  <si>
    <t>Remember Order of Operations in Math:</t>
  </si>
  <si>
    <t>Bellen</t>
  </si>
  <si>
    <t>1) Parentheses</t>
  </si>
  <si>
    <t>Sunset</t>
  </si>
  <si>
    <t>2) Exponents</t>
  </si>
  <si>
    <t>3) Multiply &amp; Divide, Left to Right</t>
  </si>
  <si>
    <t>Ex 5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</si>
  <si>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Join "Text " and an Item Number into One Cell.</t>
    </r>
  </si>
  <si>
    <t>4) Adding and Subtracting, Left to Right</t>
  </si>
  <si>
    <r>
      <rPr>
        <b/>
        <sz val="11"/>
        <color theme="1"/>
        <rFont val="Calibri"/>
        <charset val="134"/>
        <scheme val="minor"/>
      </rPr>
      <t xml:space="preserve">Type of Formula: </t>
    </r>
    <r>
      <rPr>
        <sz val="11"/>
        <color theme="1"/>
        <rFont val="Calibri"/>
        <charset val="134"/>
        <scheme val="minor"/>
      </rPr>
      <t>Text Formula.</t>
    </r>
  </si>
  <si>
    <r>
      <rPr>
        <b/>
        <sz val="11"/>
        <color theme="1"/>
        <rFont val="Calibri"/>
        <charset val="134"/>
        <scheme val="minor"/>
      </rPr>
      <t>Formula Elements:</t>
    </r>
    <r>
      <rPr>
        <sz val="11"/>
        <color theme="1"/>
        <rFont val="Calibri"/>
        <charset val="134"/>
        <scheme val="minor"/>
      </rPr>
      <t xml:space="preserve"> Equal Sign, Text in Double Quotes,</t>
    </r>
  </si>
  <si>
    <t>Join Operator (&amp;), Relative Cell Reference</t>
  </si>
  <si>
    <t>Item Number</t>
  </si>
  <si>
    <t>Item # &amp; Number</t>
  </si>
  <si>
    <t>Join Operator = &amp; = Ampersand or And Symbol (Keyboard = Shift + 7)</t>
  </si>
  <si>
    <t>Join Operator allows to  join to items together into one cell, like joining First and Last Name</t>
  </si>
  <si>
    <t>Formula like; ="Item # "&amp;C43 joins text in double quotes and a number from a cell</t>
  </si>
  <si>
    <t>Anytime you have to put text into a formula, you must use Double Quotes</t>
  </si>
  <si>
    <t>"Item # " will not change</t>
  </si>
  <si>
    <t>Ex 6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</si>
  <si>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Join First &amp; Last Names into One Cell.</t>
    </r>
  </si>
  <si>
    <r>
      <rPr>
        <b/>
        <sz val="11"/>
        <color theme="1"/>
        <rFont val="Calibri"/>
        <charset val="134"/>
        <scheme val="minor"/>
      </rPr>
      <t>Formula Elements</t>
    </r>
    <r>
      <rPr>
        <sz val="11"/>
        <color theme="1"/>
        <rFont val="Calibri"/>
        <charset val="134"/>
        <scheme val="minor"/>
      </rPr>
      <t>: Equal Sign, Relative Cell Reference</t>
    </r>
  </si>
  <si>
    <t>Join Operator, Text In Double Quotes, Join Operator, Relative Cell Reference</t>
  </si>
  <si>
    <t>First</t>
  </si>
  <si>
    <t>Last</t>
  </si>
  <si>
    <t>Join</t>
  </si>
  <si>
    <t>Last, First</t>
  </si>
  <si>
    <t>Jimmy</t>
  </si>
  <si>
    <t>Garza</t>
  </si>
  <si>
    <t>"Text in Double Quotes" will not change</t>
  </si>
  <si>
    <t>Emma</t>
  </si>
  <si>
    <t>Petrov</t>
  </si>
  <si>
    <t>Rolando</t>
  </si>
  <si>
    <t>Robbins</t>
  </si>
  <si>
    <t>Abdi</t>
  </si>
  <si>
    <t>Amari</t>
  </si>
  <si>
    <t>ShelaDown</t>
  </si>
  <si>
    <t>Cohen</t>
  </si>
  <si>
    <t>Radcoolinator</t>
  </si>
  <si>
    <t>Miki</t>
  </si>
  <si>
    <t>Ito</t>
  </si>
  <si>
    <t>Ex 7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</si>
  <si>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Extract State Abbreviation using the RIGHT Function</t>
    </r>
  </si>
  <si>
    <t>Relative Cell Reference, Number</t>
  </si>
  <si>
    <t>Product Code</t>
  </si>
  <si>
    <t>State Abbreviation</t>
  </si>
  <si>
    <t>** 2 for sate abbreviation length will not change</t>
  </si>
  <si>
    <t>517231 Aspen, CO</t>
  </si>
  <si>
    <t>469890 Quad, CA</t>
  </si>
  <si>
    <t>162451 Carlota, WA</t>
  </si>
  <si>
    <t>114541 Bellen, CA</t>
  </si>
  <si>
    <t>832593 Sunset, CO</t>
  </si>
  <si>
    <t>Ex8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</si>
  <si>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Extract Product Number using the LEFT Function</t>
    </r>
  </si>
  <si>
    <t>Product Number</t>
  </si>
  <si>
    <t>517231, Aspen</t>
  </si>
  <si>
    <t>** 6 for product code length will not change</t>
  </si>
  <si>
    <t>469890, Quad</t>
  </si>
  <si>
    <t>162451, Carlota</t>
  </si>
  <si>
    <t>114541, Bellen</t>
  </si>
  <si>
    <t>832593, Sunset</t>
  </si>
  <si>
    <t>Ex 9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</si>
  <si>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Determine If Debits = Credits</t>
    </r>
  </si>
  <si>
    <r>
      <rPr>
        <b/>
        <sz val="11"/>
        <color theme="1"/>
        <rFont val="Calibri"/>
        <charset val="134"/>
        <scheme val="minor"/>
      </rPr>
      <t xml:space="preserve">Type of Formula: </t>
    </r>
    <r>
      <rPr>
        <sz val="11"/>
        <color theme="1"/>
        <rFont val="Calibri"/>
        <charset val="134"/>
        <scheme val="minor"/>
      </rPr>
      <t>Logical Formula.</t>
    </r>
  </si>
  <si>
    <r>
      <rPr>
        <b/>
        <sz val="11"/>
        <color theme="1"/>
        <rFont val="Calibri"/>
        <charset val="134"/>
        <scheme val="minor"/>
      </rPr>
      <t>Formula Elements:</t>
    </r>
    <r>
      <rPr>
        <sz val="11"/>
        <color theme="1"/>
        <rFont val="Calibri"/>
        <charset val="134"/>
        <scheme val="minor"/>
      </rPr>
      <t xml:space="preserve"> Equal sign, Cell Reference,</t>
    </r>
  </si>
  <si>
    <t>Equal sign (as Comparative Operator), Cell Reference</t>
  </si>
  <si>
    <t>Comparative Operators.</t>
  </si>
  <si>
    <t>Debit (DR)</t>
  </si>
  <si>
    <t>Credit (CR)</t>
  </si>
  <si>
    <t>=</t>
  </si>
  <si>
    <r>
      <rPr>
        <b/>
        <sz val="11"/>
        <color theme="1"/>
        <rFont val="Calibri"/>
        <charset val="134"/>
        <scheme val="minor"/>
      </rPr>
      <t>Equal</t>
    </r>
    <r>
      <rPr>
        <sz val="11"/>
        <color theme="1"/>
        <rFont val="Calibri"/>
        <charset val="134"/>
        <scheme val="minor"/>
      </rPr>
      <t>: are two things equal?</t>
    </r>
  </si>
  <si>
    <t>&lt;&gt;</t>
  </si>
  <si>
    <r>
      <rPr>
        <b/>
        <sz val="11"/>
        <color theme="1"/>
        <rFont val="Calibri"/>
        <charset val="134"/>
        <scheme val="minor"/>
      </rPr>
      <t>Not</t>
    </r>
    <r>
      <rPr>
        <sz val="11"/>
        <color theme="1"/>
        <rFont val="Calibri"/>
        <charset val="134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</si>
  <si>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</si>
  <si>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charset val="134"/>
        <scheme val="minor"/>
      </rPr>
      <t>Greater than</t>
    </r>
    <r>
      <rPr>
        <sz val="11"/>
        <color theme="1"/>
        <rFont val="Calibri"/>
        <charset val="134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</si>
  <si>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</si>
  <si>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charset val="134"/>
        <scheme val="minor"/>
      </rPr>
      <t>Greater than or equal to</t>
    </r>
    <r>
      <rPr>
        <sz val="11"/>
        <color theme="1"/>
        <rFont val="Calibri"/>
        <charset val="134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</si>
  <si>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</si>
  <si>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charset val="134"/>
        <scheme val="minor"/>
      </rPr>
      <t>Less than</t>
    </r>
    <r>
      <rPr>
        <sz val="11"/>
        <color theme="1"/>
        <rFont val="Calibri"/>
        <charset val="134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</si>
  <si>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</si>
  <si>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charset val="134"/>
        <scheme val="minor"/>
      </rPr>
      <t>Less than or equal to</t>
    </r>
    <r>
      <rPr>
        <sz val="11"/>
        <color theme="1"/>
        <rFont val="Calibri"/>
        <charset val="134"/>
        <scheme val="minor"/>
      </rPr>
      <t>: is the thing on the left less than or equal to the thing on the right?</t>
    </r>
  </si>
  <si>
    <t>In Balance?</t>
  </si>
  <si>
    <t>Ex10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</si>
  <si>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Determine If Employee Gets a Bonus</t>
    </r>
  </si>
  <si>
    <r>
      <rPr>
        <b/>
        <sz val="11"/>
        <color theme="1"/>
        <rFont val="Calibri"/>
        <charset val="134"/>
        <scheme val="minor"/>
      </rPr>
      <t>Formula Elements:</t>
    </r>
    <r>
      <rPr>
        <sz val="11"/>
        <color theme="1"/>
        <rFont val="Calibri"/>
        <charset val="134"/>
        <scheme val="minor"/>
      </rPr>
      <t xml:space="preserve"> Equal sign, Relative Cell Reference,</t>
    </r>
  </si>
  <si>
    <t>Comparative Operator, Absolute Cell Reference</t>
  </si>
  <si>
    <t>Sales</t>
  </si>
  <si>
    <t>Do they Get Bonus?</t>
  </si>
  <si>
    <t>Hurdle to Get Bonus</t>
  </si>
  <si>
    <t>Emma Petrov</t>
  </si>
  <si>
    <t>Rolando Robbins</t>
  </si>
  <si>
    <t>Abdi Amari</t>
  </si>
  <si>
    <t>ShelaDown Cohen</t>
  </si>
  <si>
    <t>Sioux Radcoolinator</t>
  </si>
  <si>
    <t>Miki Ito</t>
  </si>
  <si>
    <t>Ex11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</si>
  <si>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Count how many of each product we sold</t>
    </r>
  </si>
  <si>
    <r>
      <rPr>
        <b/>
        <sz val="11"/>
        <color theme="1"/>
        <rFont val="Calibri"/>
        <charset val="134"/>
        <scheme val="minor"/>
      </rPr>
      <t>Formula Elements</t>
    </r>
    <r>
      <rPr>
        <sz val="11"/>
        <color theme="1"/>
        <rFont val="Calibri"/>
        <charset val="134"/>
        <scheme val="minor"/>
      </rPr>
      <t>: Equal Sign, Built-in Function, Absolute Range of Cells,</t>
    </r>
  </si>
  <si>
    <t>Relative Cell Reference</t>
  </si>
  <si>
    <t>≥</t>
  </si>
  <si>
    <t>≤</t>
  </si>
  <si>
    <t>Count</t>
  </si>
  <si>
    <t>Ex12</t>
  </si>
  <si>
    <r>
      <rPr>
        <b/>
        <sz val="11"/>
        <color theme="1"/>
        <rFont val="Calibri"/>
        <charset val="134"/>
        <scheme val="minor"/>
      </rPr>
      <t xml:space="preserve">Goal: </t>
    </r>
    <r>
      <rPr>
        <sz val="11"/>
        <color theme="1"/>
        <rFont val="Calibri"/>
        <charset val="134"/>
        <scheme val="minor"/>
      </rPr>
      <t>Formula to determine whether we need to reorder?</t>
    </r>
  </si>
  <si>
    <r>
      <rPr>
        <b/>
        <sz val="11"/>
        <color theme="1"/>
        <rFont val="Calibri"/>
        <charset val="134"/>
        <scheme val="minor"/>
      </rPr>
      <t>Parenthesis</t>
    </r>
    <r>
      <rPr>
        <sz val="11"/>
        <color theme="1"/>
        <rFont val="Calibri"/>
        <charset val="134"/>
        <scheme val="minor"/>
      </rPr>
      <t xml:space="preserve"> ( )</t>
    </r>
  </si>
  <si>
    <r>
      <rPr>
        <b/>
        <sz val="11"/>
        <color theme="1"/>
        <rFont val="Calibri"/>
        <charset val="134"/>
        <scheme val="minor"/>
      </rPr>
      <t>Reference Operators</t>
    </r>
    <r>
      <rPr>
        <sz val="11"/>
        <color theme="1"/>
        <rFont val="Calibri"/>
        <charset val="134"/>
        <scheme val="minor"/>
      </rPr>
      <t>: colon, comma</t>
    </r>
  </si>
  <si>
    <r>
      <rPr>
        <b/>
        <sz val="11"/>
        <color theme="1"/>
        <rFont val="Calibri"/>
        <charset val="134"/>
        <scheme val="minor"/>
      </rPr>
      <t>Formula Elements</t>
    </r>
    <r>
      <rPr>
        <sz val="11"/>
        <color theme="1"/>
        <rFont val="Calibri"/>
        <charset val="134"/>
        <scheme val="minor"/>
      </rPr>
      <t>: Equal Sign, Absolute Cell Reference, Comparative Operator,</t>
    </r>
  </si>
  <si>
    <t>Example of colon in range of cells: =SUM(A1:A4)</t>
  </si>
  <si>
    <t>Relative Cell Reference, Math Operator, Relative Cell Reference</t>
  </si>
  <si>
    <t>Example of comma (union): =SUM(E10:G10,E14:G14)</t>
  </si>
  <si>
    <r>
      <rPr>
        <b/>
        <sz val="11"/>
        <color theme="1"/>
        <rFont val="Calibri"/>
        <charset val="134"/>
        <scheme val="minor"/>
      </rPr>
      <t>Negation</t>
    </r>
    <r>
      <rPr>
        <sz val="11"/>
        <color theme="1"/>
        <rFont val="Calibri"/>
        <charset val="134"/>
        <scheme val="minor"/>
      </rPr>
      <t xml:space="preserve"> (-)</t>
    </r>
  </si>
  <si>
    <t>Units Sold</t>
  </si>
  <si>
    <t>On Hand Units</t>
  </si>
  <si>
    <t>Do we need to Re-order?</t>
  </si>
  <si>
    <t>Example: = -2^4 = 16</t>
  </si>
  <si>
    <t>Example: = -(2^4) = -16</t>
  </si>
  <si>
    <r>
      <rPr>
        <b/>
        <sz val="11"/>
        <color theme="1"/>
        <rFont val="Calibri"/>
        <charset val="134"/>
        <scheme val="minor"/>
      </rPr>
      <t>Converts %</t>
    </r>
    <r>
      <rPr>
        <sz val="11"/>
        <color theme="1"/>
        <rFont val="Calibri"/>
        <charset val="134"/>
        <scheme val="minor"/>
      </rPr>
      <t xml:space="preserve"> (1% to .01)</t>
    </r>
  </si>
  <si>
    <r>
      <rPr>
        <b/>
        <sz val="11"/>
        <color theme="1"/>
        <rFont val="Calibri"/>
        <charset val="134"/>
        <scheme val="minor"/>
      </rPr>
      <t>Exponents</t>
    </r>
    <r>
      <rPr>
        <sz val="11"/>
        <color theme="1"/>
        <rFont val="Calibri"/>
        <charset val="134"/>
        <scheme val="minor"/>
      </rPr>
      <t xml:space="preserve"> (^)</t>
    </r>
  </si>
  <si>
    <t>Example: 3^2 = 9</t>
  </si>
  <si>
    <r>
      <rPr>
        <b/>
        <sz val="11"/>
        <color theme="1"/>
        <rFont val="Calibri"/>
        <charset val="134"/>
        <scheme val="minor"/>
      </rPr>
      <t>Multiplication</t>
    </r>
    <r>
      <rPr>
        <sz val="11"/>
        <color theme="1"/>
        <rFont val="Calibri"/>
        <charset val="134"/>
        <scheme val="minor"/>
      </rPr>
      <t xml:space="preserve"> (*) and </t>
    </r>
    <r>
      <rPr>
        <b/>
        <sz val="11"/>
        <color theme="1"/>
        <rFont val="Calibri"/>
        <charset val="134"/>
        <scheme val="minor"/>
      </rPr>
      <t>Division</t>
    </r>
    <r>
      <rPr>
        <sz val="11"/>
        <color theme="1"/>
        <rFont val="Calibri"/>
        <charset val="134"/>
        <scheme val="minor"/>
      </rPr>
      <t xml:space="preserve"> (/), left to right</t>
    </r>
  </si>
  <si>
    <r>
      <rPr>
        <b/>
        <sz val="11"/>
        <color theme="1"/>
        <rFont val="Calibri"/>
        <charset val="134"/>
        <scheme val="minor"/>
      </rPr>
      <t>Adding</t>
    </r>
    <r>
      <rPr>
        <sz val="11"/>
        <color theme="1"/>
        <rFont val="Calibri"/>
        <charset val="134"/>
        <scheme val="minor"/>
      </rPr>
      <t xml:space="preserve"> (+) and </t>
    </r>
    <r>
      <rPr>
        <b/>
        <sz val="11"/>
        <color theme="1"/>
        <rFont val="Calibri"/>
        <charset val="134"/>
        <scheme val="minor"/>
      </rPr>
      <t>Subtracting</t>
    </r>
    <r>
      <rPr>
        <sz val="11"/>
        <color theme="1"/>
        <rFont val="Calibri"/>
        <charset val="134"/>
        <scheme val="minor"/>
      </rPr>
      <t xml:space="preserve"> (-), left to right</t>
    </r>
  </si>
  <si>
    <t>Reorder Hurdle</t>
  </si>
  <si>
    <r>
      <rPr>
        <b/>
        <sz val="11"/>
        <color theme="1"/>
        <rFont val="Calibri"/>
        <charset val="134"/>
        <scheme val="minor"/>
      </rPr>
      <t>Ampersand</t>
    </r>
    <r>
      <rPr>
        <sz val="11"/>
        <color theme="1"/>
        <rFont val="Calibri"/>
        <charset val="134"/>
        <scheme val="minor"/>
      </rPr>
      <t xml:space="preserve"> (&amp;)</t>
    </r>
  </si>
  <si>
    <r>
      <rPr>
        <b/>
        <sz val="11"/>
        <color theme="1"/>
        <rFont val="Calibri"/>
        <charset val="134"/>
        <scheme val="minor"/>
      </rPr>
      <t>Comparative symbols</t>
    </r>
    <r>
      <rPr>
        <sz val="11"/>
        <color theme="1"/>
        <rFont val="Calibri"/>
        <charset val="134"/>
        <scheme val="minor"/>
      </rPr>
      <t>: =, &lt;&gt;, &gt;=, &lt;=, &lt;, &gt;</t>
    </r>
  </si>
  <si>
    <t>Ex13</t>
  </si>
  <si>
    <r>
      <rPr>
        <b/>
        <sz val="11"/>
        <color theme="1"/>
        <rFont val="Calibri"/>
        <charset val="134"/>
        <scheme val="minor"/>
      </rPr>
      <t xml:space="preserve">Goal: </t>
    </r>
    <r>
      <rPr>
        <sz val="11"/>
        <color theme="1"/>
        <rFont val="Calibri"/>
        <charset val="134"/>
        <scheme val="minor"/>
      </rPr>
      <t>Calculate Net Income</t>
    </r>
  </si>
  <si>
    <t>=$D$173&gt;B166-C166</t>
  </si>
  <si>
    <r>
      <rPr>
        <b/>
        <sz val="11"/>
        <color theme="1"/>
        <rFont val="Calibri"/>
        <charset val="134"/>
        <scheme val="minor"/>
      </rPr>
      <t>Formula Elements</t>
    </r>
    <r>
      <rPr>
        <sz val="11"/>
        <color theme="1"/>
        <rFont val="Calibri"/>
        <charset val="134"/>
        <scheme val="minor"/>
      </rPr>
      <t>: Equal Sign, Cell Reference, Built-in Function,</t>
    </r>
  </si>
  <si>
    <t>Revenue</t>
  </si>
  <si>
    <t>Rent Expense</t>
  </si>
  <si>
    <t>Wage Expense</t>
  </si>
  <si>
    <t>Operation Expense</t>
  </si>
  <si>
    <t>Net Income</t>
  </si>
  <si>
    <t>Ex 1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</si>
  <si>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Calculate Cost of Goods Sold (COGS) in Accounting. COGS = (Beg-End)*Value Each</t>
    </r>
  </si>
  <si>
    <t>** There are no extraneous pennies, so we do not need to use the ROUND Function.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</si>
  <si>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Join First &amp; Last Names into One Cell using a formula.</t>
    </r>
  </si>
  <si>
    <t>First Name</t>
  </si>
  <si>
    <t>Last Name</t>
  </si>
  <si>
    <t>Full Name</t>
  </si>
  <si>
    <t>Coralie</t>
  </si>
  <si>
    <t>Land</t>
  </si>
  <si>
    <t>Anjanette</t>
  </si>
  <si>
    <t>Pickett</t>
  </si>
  <si>
    <t>Mellie</t>
  </si>
  <si>
    <t>Berube</t>
  </si>
  <si>
    <t>Georgene</t>
  </si>
  <si>
    <t>Haight</t>
  </si>
  <si>
    <t>Billi</t>
  </si>
  <si>
    <t>Smalls</t>
  </si>
  <si>
    <t>Jacqulyn</t>
  </si>
  <si>
    <t>Jefferies</t>
  </si>
  <si>
    <t>Nathanial</t>
  </si>
  <si>
    <t>Church</t>
  </si>
  <si>
    <t>Leonia</t>
  </si>
  <si>
    <t>Otero</t>
  </si>
  <si>
    <t>Marquita</t>
  </si>
  <si>
    <t>Vance</t>
  </si>
  <si>
    <t>Mireille</t>
  </si>
  <si>
    <t>Laney</t>
  </si>
  <si>
    <t>Haydee</t>
  </si>
  <si>
    <t>Peralta</t>
  </si>
  <si>
    <t>Jenelle</t>
  </si>
  <si>
    <t>Messer</t>
  </si>
  <si>
    <t>Mason</t>
  </si>
  <si>
    <t>Mclean</t>
  </si>
  <si>
    <t>Lidia</t>
  </si>
  <si>
    <t>Wylie</t>
  </si>
  <si>
    <t>Darius</t>
  </si>
  <si>
    <t>Blackman</t>
  </si>
  <si>
    <t>Lilli</t>
  </si>
  <si>
    <t>Benefield</t>
  </si>
  <si>
    <t>Trisha</t>
  </si>
  <si>
    <t>Warden</t>
  </si>
  <si>
    <t>Alexander</t>
  </si>
  <si>
    <t>Dugas</t>
  </si>
  <si>
    <t>Imogene</t>
  </si>
  <si>
    <t>South</t>
  </si>
  <si>
    <t>Margarito</t>
  </si>
  <si>
    <t>Tinsley</t>
  </si>
  <si>
    <t>Augustina</t>
  </si>
  <si>
    <t>Williford</t>
  </si>
  <si>
    <t>Nanette</t>
  </si>
  <si>
    <t>Pettit</t>
  </si>
  <si>
    <t>Brianne</t>
  </si>
  <si>
    <t>Yoo</t>
  </si>
  <si>
    <t>Angla</t>
  </si>
  <si>
    <t>Zhang</t>
  </si>
  <si>
    <t>Kayleigh</t>
  </si>
  <si>
    <t>Towns</t>
  </si>
  <si>
    <t>Calista</t>
  </si>
  <si>
    <t>Shelby</t>
  </si>
  <si>
    <t>Freddie</t>
  </si>
  <si>
    <t>Houghton</t>
  </si>
  <si>
    <t>Bernardina</t>
  </si>
  <si>
    <t>Mireles</t>
  </si>
  <si>
    <t>Odell</t>
  </si>
  <si>
    <t>Doran</t>
  </si>
  <si>
    <t>Darlena</t>
  </si>
  <si>
    <t>Blodgett</t>
  </si>
  <si>
    <t>Von</t>
  </si>
  <si>
    <t>Spence</t>
  </si>
  <si>
    <t>Mike</t>
  </si>
  <si>
    <t>Redmon</t>
  </si>
  <si>
    <t>Bea</t>
  </si>
  <si>
    <t>Burnette</t>
  </si>
  <si>
    <t>Lesley</t>
  </si>
  <si>
    <t>Crider</t>
  </si>
  <si>
    <t>Jerilyn</t>
  </si>
  <si>
    <t>Muse</t>
  </si>
  <si>
    <t>Mary</t>
  </si>
  <si>
    <t>Teague</t>
  </si>
  <si>
    <t>Elenor</t>
  </si>
  <si>
    <t>Toro</t>
  </si>
  <si>
    <t>Zella</t>
  </si>
  <si>
    <t>Crutcher</t>
  </si>
  <si>
    <t>Carmelita</t>
  </si>
  <si>
    <t>Myrick</t>
  </si>
  <si>
    <t>Jone</t>
  </si>
  <si>
    <t>Reece</t>
  </si>
  <si>
    <t>Sharita</t>
  </si>
  <si>
    <t>Mcgregor</t>
  </si>
  <si>
    <t>Lesa</t>
  </si>
  <si>
    <t>Dillon</t>
  </si>
  <si>
    <t>Nicolle</t>
  </si>
  <si>
    <t>Campos</t>
  </si>
  <si>
    <t>Angeline</t>
  </si>
  <si>
    <t>Snow</t>
  </si>
  <si>
    <t>Cornelia</t>
  </si>
  <si>
    <t>Dehart</t>
  </si>
  <si>
    <t>Jerrod</t>
  </si>
  <si>
    <t>Zavala</t>
  </si>
  <si>
    <t>Donnie</t>
  </si>
  <si>
    <t>Manley</t>
  </si>
  <si>
    <t>Selma</t>
  </si>
  <si>
    <t>Pridgen</t>
  </si>
  <si>
    <t>Lia</t>
  </si>
  <si>
    <t>Homan</t>
  </si>
  <si>
    <t>Merissa</t>
  </si>
  <si>
    <t>Earl</t>
  </si>
  <si>
    <t>Rufina Gaylord</t>
  </si>
  <si>
    <t>Logan Jett</t>
  </si>
  <si>
    <t>Rina Kilpatrick</t>
  </si>
  <si>
    <t>Dakota Mcclain</t>
  </si>
  <si>
    <t>Elfreda Lundy</t>
  </si>
  <si>
    <t>Tia Briseno</t>
  </si>
  <si>
    <t>Rochell Ulrich</t>
  </si>
  <si>
    <t>Rosana Alcala</t>
  </si>
  <si>
    <t>Deedee Ledoux</t>
  </si>
  <si>
    <t>Dalia Monk</t>
  </si>
  <si>
    <t>Xavier Lozano</t>
  </si>
  <si>
    <t>Raina Hollis</t>
  </si>
  <si>
    <t>Lajuana Meier</t>
  </si>
  <si>
    <t>Willian Puckett</t>
  </si>
  <si>
    <t>Adaline Glass</t>
  </si>
  <si>
    <t>Gaylord Forbes</t>
  </si>
  <si>
    <t>Miles Tuggle</t>
  </si>
  <si>
    <t>Candra Montalvo</t>
  </si>
  <si>
    <t>Roxann Lindstrom</t>
  </si>
  <si>
    <t>Karon Bivens</t>
  </si>
  <si>
    <t>Jannet Putman</t>
  </si>
  <si>
    <t>Kenisha Bingham</t>
  </si>
  <si>
    <t>Sharlene Dobson</t>
  </si>
  <si>
    <t>Toshia Wilbanks</t>
  </si>
  <si>
    <t>Jude Fielder</t>
  </si>
  <si>
    <t>Kelsey Rupp</t>
  </si>
  <si>
    <t>Rebbecca Kay</t>
  </si>
  <si>
    <t>Neely Furman</t>
  </si>
  <si>
    <t>Edyth Spaulding</t>
  </si>
  <si>
    <t>Eugene Felix</t>
  </si>
  <si>
    <t>Layla Samson</t>
  </si>
  <si>
    <t>Luann Mathews</t>
  </si>
  <si>
    <t>Brendon Harkins</t>
  </si>
  <si>
    <t>Russel Waller</t>
  </si>
  <si>
    <t>Vincenzo Steadman</t>
  </si>
  <si>
    <t>Eldon Heffner</t>
  </si>
  <si>
    <t>Theo Arroyo</t>
  </si>
  <si>
    <t>Antionette Dunaway</t>
  </si>
  <si>
    <t>Dusty Frias</t>
  </si>
  <si>
    <t>Yen Marcus</t>
  </si>
  <si>
    <t>Fanny Wiggins</t>
  </si>
  <si>
    <t>Quyen Westbrook</t>
  </si>
  <si>
    <t>Jae Navarro</t>
  </si>
  <si>
    <t>Madeleine Vickery</t>
  </si>
  <si>
    <t>Florance Lemmon</t>
  </si>
  <si>
    <t>Gillian Ferraro</t>
  </si>
  <si>
    <t>Sherika Woodcock</t>
  </si>
  <si>
    <t>Shavonne Fitts</t>
  </si>
  <si>
    <t>Marisela Story</t>
  </si>
  <si>
    <t>Sondra Word</t>
  </si>
  <si>
    <t>Remind yourself about how to add sales for each product by creating this report in two ways; 1) SUMIFS (you can use teplate provided below) and 2) a PivotTable.</t>
  </si>
  <si>
    <t>Date</t>
  </si>
  <si>
    <t>Total Sales</t>
  </si>
  <si>
    <t>Sum of Sales</t>
  </si>
  <si>
    <t>Grand Total</t>
  </si>
  <si>
    <r>
      <rPr>
        <b/>
        <sz val="11"/>
        <color theme="1"/>
        <rFont val="Calibri"/>
        <charset val="134"/>
        <scheme val="minor"/>
      </rPr>
      <t>Goal:</t>
    </r>
    <r>
      <rPr>
        <sz val="11"/>
        <color theme="1"/>
        <rFont val="Calibri"/>
        <charset val="134"/>
        <scheme val="minor"/>
      </rPr>
      <t xml:space="preserve"> Extract zip code using a formula.</t>
    </r>
  </si>
  <si>
    <t>Addresses</t>
  </si>
  <si>
    <t>Zip</t>
  </si>
  <si>
    <t>41 Jackson Drive , Wasilla, AK 99654</t>
  </si>
  <si>
    <t>100 Albany St. , Pueblo, CO 81001</t>
  </si>
  <si>
    <t>9600 Devon Court , Houston, TX 77016</t>
  </si>
  <si>
    <t>24 Beach Street , Mount Holly, NJ 08060</t>
  </si>
  <si>
    <t>26 Miller Drive , Manassas, VA 20109</t>
  </si>
  <si>
    <t>8154 North Maple Street , Fayetteville, NC 28303</t>
  </si>
  <si>
    <t>8089 Ann Lane , Apex, NC 27502</t>
  </si>
  <si>
    <t>944 Peninsula Street , New Rochelle, NY 10801</t>
  </si>
  <si>
    <t>375 Virginia Avenue , West Des Moines, IA 50265</t>
  </si>
  <si>
    <t>4 Edgewood Street , Jamestown, NY 14701</t>
  </si>
  <si>
    <t>7869 East Peachtree Road , Hicksville, NY 11801</t>
  </si>
  <si>
    <t>202 Columbia Drive , Torrance, CA 90505</t>
  </si>
  <si>
    <t>561 West Lakeview Ave. , Bardstown, KY 40004</t>
  </si>
  <si>
    <t>992 West Street , North Haven, CT 06473</t>
  </si>
  <si>
    <t>7 Devon St. , Clifton, NJ 07011</t>
  </si>
  <si>
    <t>186 Cardinal Dr. , Anderson, SC 29621</t>
  </si>
  <si>
    <t>23 Lincoln Street , Libertyville, IL 60048</t>
  </si>
  <si>
    <t>43 S. Franklin Ave. , Coventry, RI 02816</t>
  </si>
  <si>
    <t>283 Briarwood Street , Mokena, IL 60448</t>
  </si>
  <si>
    <t>17 Franklin Ave. , Winchester, VA 22601</t>
  </si>
  <si>
    <t>65 Big Rock Cove Avenue , Hamilton, OH 45011</t>
  </si>
  <si>
    <t>8274 Pleasant Dr. , Voorhees, NJ 08043</t>
  </si>
  <si>
    <t>468 Pierce St. , Waterbury, CT 06705</t>
  </si>
  <si>
    <t>94 North Liberty St. , Lilburn, GA 30047</t>
  </si>
  <si>
    <t>515 Adams Street , Athens, GA 30605</t>
  </si>
  <si>
    <t>97 Sherwood Street , Dalton, GA 30721</t>
  </si>
  <si>
    <t>287 Armstrong Drive , Boynton Beach, FL 33435</t>
  </si>
  <si>
    <t>32 Old Main St. , Sidney, OH 45365</t>
  </si>
  <si>
    <t>7936 Durham St. , Antioch, TN 37013</t>
  </si>
  <si>
    <t>7346 Bald Hill Street , Norfolk, VA 23503</t>
  </si>
  <si>
    <t>8878 N. Mayflower Street , Zanesville, OH 43701</t>
  </si>
  <si>
    <t>629 Ridge Dr. , Bettendorf, IA 52722</t>
  </si>
  <si>
    <t>319 Magnolia St. , Langhorne, PA 19047</t>
  </si>
  <si>
    <t>78 Homewood St. , Flowery Branch, GA 30542</t>
  </si>
  <si>
    <t>25 East Liberty Ave. , Vienna, VA 22180</t>
  </si>
  <si>
    <t>181 Halifax St. , Johnson City, TN 37601</t>
  </si>
  <si>
    <t>956 Gonzales Lane , East Northport, NY 11731</t>
  </si>
  <si>
    <t>31 Old Dunbar Ave. , Woodstock, GA 30188</t>
  </si>
  <si>
    <t>9184 Harrison Dr. , Palm City, FL 34990</t>
  </si>
  <si>
    <t>654 South Glendale Drive , Stamford, CT 06902</t>
  </si>
  <si>
    <t>7442 Devon Drive , Perth Amboy, NJ 08861</t>
  </si>
  <si>
    <t>814 Birchwood Avenue , Absecon, NJ 08205</t>
  </si>
  <si>
    <t>356 Vine Dr. , Cheshire, CT 06410</t>
  </si>
  <si>
    <t>51 South Mayfair St. , Atlanta, GA 30303</t>
  </si>
  <si>
    <t>597 Meadow Street , Canal Winchester, OH 43110</t>
  </si>
  <si>
    <t>89 E. Rockaway St. , Wethersfield, CT 06109</t>
  </si>
  <si>
    <t>321 Princeton Dr. , Alpharetta, GA 30004</t>
  </si>
  <si>
    <t>8842 Fieldstone St. , Naugatuck, CT 06770</t>
  </si>
  <si>
    <t>36 Birchwood Rd. , Montgomery, AL 36109</t>
  </si>
  <si>
    <t>640 Sulphur Springs St. , Lorain, OH 44052</t>
  </si>
</sst>
</file>

<file path=xl/styles.xml><?xml version="1.0" encoding="utf-8"?>
<styleSheet xmlns="http://schemas.openxmlformats.org/spreadsheetml/2006/main">
  <numFmts count="9">
    <numFmt numFmtId="176" formatCode="&quot;$&quot;#,##0"/>
    <numFmt numFmtId="177" formatCode="_ * #,##0_ ;_ * \-#,##0_ ;_ * &quot;-&quot;_ ;_ @_ "/>
    <numFmt numFmtId="178" formatCode="_ * #,##0.00_ ;_ * \-#,##0.00_ ;_ * &quot;-&quot;??_ ;_ @_ "/>
    <numFmt numFmtId="44" formatCode="_(&quot;$&quot;* #,##0.00_);_(&quot;$&quot;* \(#,##0.00\);_(&quot;$&quot;* &quot;-&quot;??_);_(@_)"/>
    <numFmt numFmtId="179" formatCode="&quot;$&quot;#,##0.00"/>
    <numFmt numFmtId="180" formatCode="0.0"/>
    <numFmt numFmtId="42" formatCode="_(&quot;$&quot;* #,##0_);_(&quot;$&quot;* \(#,##0\);_(&quot;$&quot;* &quot;-&quot;_);_(@_)"/>
    <numFmt numFmtId="8" formatCode="&quot;$&quot;#,##0.00_);[Red]\(&quot;$&quot;#,##0.00\)"/>
    <numFmt numFmtId="181" formatCode="ddd\,\ m/d/yy"/>
  </numFmts>
  <fonts count="30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b/>
      <sz val="22"/>
      <color theme="0"/>
      <name val="Calibri"/>
      <charset val="134"/>
      <scheme val="minor"/>
    </font>
    <font>
      <b/>
      <sz val="20"/>
      <color theme="0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22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3F3F76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</borders>
  <cellStyleXfs count="50">
    <xf numFmtId="0" fontId="0" fillId="0" borderId="0"/>
    <xf numFmtId="0" fontId="11" fillId="12" borderId="0" applyNumberFormat="0" applyBorder="0" applyAlignment="0" applyProtection="0">
      <alignment vertical="center"/>
    </xf>
    <xf numFmtId="178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42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9" borderId="27" applyNumberFormat="0" applyAlignment="0" applyProtection="0">
      <alignment vertical="center"/>
    </xf>
    <xf numFmtId="0" fontId="27" fillId="0" borderId="30" applyNumberFormat="0" applyFill="0" applyAlignment="0" applyProtection="0">
      <alignment vertical="center"/>
    </xf>
    <xf numFmtId="0" fontId="10" fillId="21" borderId="29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8" fillId="0" borderId="3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11" borderId="24" applyNumberFormat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2" fillId="10" borderId="23" applyNumberFormat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6" fillId="10" borderId="24" applyNumberFormat="0" applyAlignment="0" applyProtection="0">
      <alignment vertical="center"/>
    </xf>
    <xf numFmtId="0" fontId="26" fillId="0" borderId="28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" fillId="3" borderId="4"/>
  </cellStyleXfs>
  <cellXfs count="85">
    <xf numFmtId="0" fontId="0" fillId="0" borderId="0" xfId="0"/>
    <xf numFmtId="0" fontId="1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0" fillId="0" borderId="4" xfId="0" applyBorder="1"/>
    <xf numFmtId="0" fontId="0" fillId="4" borderId="4" xfId="0" applyFill="1" applyBorder="1"/>
    <xf numFmtId="0" fontId="0" fillId="2" borderId="1" xfId="0" applyFill="1" applyBorder="1"/>
    <xf numFmtId="0" fontId="2" fillId="3" borderId="4" xfId="49" applyBorder="1"/>
    <xf numFmtId="58" fontId="0" fillId="0" borderId="4" xfId="0" applyNumberFormat="1" applyBorder="1"/>
    <xf numFmtId="0" fontId="0" fillId="0" borderId="4" xfId="0" applyNumberFormat="1" applyBorder="1"/>
    <xf numFmtId="179" fontId="0" fillId="0" borderId="4" xfId="0" applyNumberFormat="1" applyBorder="1"/>
    <xf numFmtId="179" fontId="0" fillId="0" borderId="0" xfId="0" applyNumberFormat="1"/>
    <xf numFmtId="8" fontId="0" fillId="4" borderId="4" xfId="0" applyNumberFormat="1" applyFill="1" applyBorder="1"/>
    <xf numFmtId="8" fontId="0" fillId="4" borderId="4" xfId="0" applyNumberFormat="1" applyFill="1" applyBorder="1"/>
    <xf numFmtId="8" fontId="0" fillId="0" borderId="0" xfId="0" applyNumberFormat="1"/>
    <xf numFmtId="0" fontId="2" fillId="5" borderId="4" xfId="49" applyFont="1" applyFill="1" applyBorder="1"/>
    <xf numFmtId="180" fontId="0" fillId="0" borderId="4" xfId="0" applyNumberFormat="1" applyBorder="1"/>
    <xf numFmtId="179" fontId="0" fillId="4" borderId="4" xfId="0" applyNumberFormat="1" applyFill="1" applyBorder="1"/>
    <xf numFmtId="0" fontId="0" fillId="2" borderId="5" xfId="0" applyFill="1" applyBorder="1"/>
    <xf numFmtId="0" fontId="3" fillId="2" borderId="6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0" xfId="0" applyFont="1" applyFill="1" applyBorder="1" applyAlignment="1">
      <alignment horizontal="left" vertical="center" indent="1"/>
    </xf>
    <xf numFmtId="0" fontId="0" fillId="2" borderId="0" xfId="0" applyFill="1" applyBorder="1"/>
    <xf numFmtId="0" fontId="0" fillId="2" borderId="9" xfId="0" applyFill="1" applyBorder="1"/>
    <xf numFmtId="0" fontId="3" fillId="2" borderId="0" xfId="0" applyFont="1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0" xfId="0" applyFont="1"/>
    <xf numFmtId="0" fontId="1" fillId="2" borderId="5" xfId="0" applyFont="1" applyFill="1" applyBorder="1"/>
    <xf numFmtId="0" fontId="1" fillId="2" borderId="8" xfId="0" applyFont="1" applyFill="1" applyBorder="1"/>
    <xf numFmtId="0" fontId="0" fillId="2" borderId="10" xfId="0" applyFill="1" applyBorder="1" applyAlignment="1">
      <alignment horizontal="left"/>
    </xf>
    <xf numFmtId="0" fontId="2" fillId="3" borderId="4" xfId="0" applyFont="1" applyFill="1" applyBorder="1" applyAlignment="1">
      <alignment wrapText="1"/>
    </xf>
    <xf numFmtId="181" fontId="0" fillId="0" borderId="4" xfId="0" applyNumberFormat="1" applyBorder="1"/>
    <xf numFmtId="3" fontId="0" fillId="4" borderId="4" xfId="0" applyNumberFormat="1" applyFill="1" applyBorder="1"/>
    <xf numFmtId="0" fontId="1" fillId="2" borderId="7" xfId="0" applyFont="1" applyFill="1" applyBorder="1" applyAlignment="1">
      <alignment wrapText="1"/>
    </xf>
    <xf numFmtId="0" fontId="1" fillId="2" borderId="9" xfId="0" applyFont="1" applyFill="1" applyBorder="1" applyAlignment="1">
      <alignment wrapText="1"/>
    </xf>
    <xf numFmtId="8" fontId="0" fillId="0" borderId="4" xfId="0" applyNumberFormat="1" applyBorder="1"/>
    <xf numFmtId="0" fontId="1" fillId="2" borderId="12" xfId="0" applyFont="1" applyFill="1" applyBorder="1" applyAlignment="1">
      <alignment wrapText="1"/>
    </xf>
    <xf numFmtId="0" fontId="0" fillId="0" borderId="0" xfId="0" applyAlignment="1">
      <alignment wrapText="1"/>
    </xf>
    <xf numFmtId="0" fontId="2" fillId="5" borderId="4" xfId="0" applyFont="1" applyFill="1" applyBorder="1" applyAlignment="1">
      <alignment wrapText="1"/>
    </xf>
    <xf numFmtId="0" fontId="0" fillId="0" borderId="0" xfId="0" applyBorder="1"/>
    <xf numFmtId="179" fontId="0" fillId="6" borderId="4" xfId="0" applyNumberFormat="1" applyFill="1" applyBorder="1"/>
    <xf numFmtId="0" fontId="1" fillId="2" borderId="8" xfId="0" applyFont="1" applyFill="1" applyBorder="1" applyAlignment="1">
      <alignment horizontal="left" indent="1"/>
    </xf>
    <xf numFmtId="0" fontId="1" fillId="2" borderId="10" xfId="0" applyFont="1" applyFill="1" applyBorder="1" applyAlignment="1">
      <alignment horizontal="left" indent="1"/>
    </xf>
    <xf numFmtId="0" fontId="0" fillId="2" borderId="6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0" borderId="13" xfId="0" applyNumberFormat="1" applyBorder="1"/>
    <xf numFmtId="0" fontId="0" fillId="4" borderId="14" xfId="0" applyNumberFormat="1" applyFill="1" applyBorder="1"/>
    <xf numFmtId="2" fontId="0" fillId="4" borderId="14" xfId="0" applyNumberFormat="1" applyFill="1" applyBorder="1"/>
    <xf numFmtId="0" fontId="0" fillId="0" borderId="0" xfId="0" applyFont="1" applyFill="1" applyBorder="1"/>
    <xf numFmtId="0" fontId="0" fillId="2" borderId="8" xfId="0" applyFill="1" applyBorder="1" applyAlignment="1"/>
    <xf numFmtId="0" fontId="0" fillId="2" borderId="0" xfId="0" applyFill="1" applyBorder="1" applyAlignment="1">
      <alignment horizontal="left" indent="1"/>
    </xf>
    <xf numFmtId="0" fontId="2" fillId="5" borderId="4" xfId="0" applyFont="1" applyFill="1" applyBorder="1"/>
    <xf numFmtId="176" fontId="0" fillId="0" borderId="4" xfId="0" applyNumberFormat="1" applyBorder="1"/>
    <xf numFmtId="0" fontId="0" fillId="0" borderId="4" xfId="0" applyBorder="1" applyAlignment="1">
      <alignment horizontal="left" indent="1"/>
    </xf>
    <xf numFmtId="0" fontId="0" fillId="0" borderId="13" xfId="0" applyBorder="1" applyAlignment="1">
      <alignment horizontal="left" indent="1"/>
    </xf>
    <xf numFmtId="176" fontId="0" fillId="0" borderId="13" xfId="0" applyNumberFormat="1" applyBorder="1"/>
    <xf numFmtId="0" fontId="0" fillId="0" borderId="14" xfId="0" applyBorder="1"/>
    <xf numFmtId="176" fontId="0" fillId="4" borderId="14" xfId="0" applyNumberFormat="1" applyFill="1" applyBorder="1"/>
    <xf numFmtId="1" fontId="0" fillId="4" borderId="14" xfId="0" applyNumberFormat="1" applyFill="1" applyBorder="1"/>
    <xf numFmtId="1" fontId="0" fillId="4" borderId="4" xfId="0" applyNumberFormat="1" applyFill="1" applyBorder="1"/>
    <xf numFmtId="0" fontId="2" fillId="3" borderId="0" xfId="0" applyFont="1" applyFill="1"/>
    <xf numFmtId="0" fontId="4" fillId="3" borderId="0" xfId="0" applyFont="1" applyFill="1" applyAlignment="1">
      <alignment horizontal="centerContinuous" vertical="center"/>
    </xf>
    <xf numFmtId="0" fontId="5" fillId="3" borderId="0" xfId="0" applyFont="1" applyFill="1" applyAlignment="1">
      <alignment horizontal="centerContinuous" vertical="center"/>
    </xf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0" xfId="0" applyFill="1" applyBorder="1"/>
    <xf numFmtId="0" fontId="6" fillId="7" borderId="0" xfId="0" applyFont="1" applyFill="1" applyBorder="1"/>
    <xf numFmtId="0" fontId="7" fillId="7" borderId="0" xfId="0" applyFont="1" applyFill="1" applyBorder="1" applyAlignment="1">
      <alignment horizontal="centerContinuous"/>
    </xf>
    <xf numFmtId="0" fontId="0" fillId="7" borderId="0" xfId="0" applyFill="1" applyBorder="1" applyAlignment="1">
      <alignment horizontal="centerContinuous"/>
    </xf>
    <xf numFmtId="0" fontId="8" fillId="7" borderId="0" xfId="0" applyFont="1" applyFill="1" applyBorder="1"/>
    <xf numFmtId="0" fontId="8" fillId="7" borderId="17" xfId="0" applyFont="1" applyFill="1" applyBorder="1"/>
    <xf numFmtId="0" fontId="9" fillId="7" borderId="0" xfId="0" applyFont="1" applyFill="1" applyBorder="1" applyAlignment="1">
      <alignment horizontal="centerContinuous"/>
    </xf>
    <xf numFmtId="0" fontId="0" fillId="7" borderId="18" xfId="0" applyFill="1" applyBorder="1"/>
    <xf numFmtId="0" fontId="0" fillId="7" borderId="19" xfId="0" applyFill="1" applyBorder="1"/>
    <xf numFmtId="0" fontId="0" fillId="7" borderId="0" xfId="0" applyFill="1"/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0" fillId="2" borderId="5" xfId="0" applyFill="1" applyBorder="1" quotePrefix="1"/>
    <xf numFmtId="0" fontId="0" fillId="2" borderId="8" xfId="0" applyFill="1" applyBorder="1" quotePrefix="1"/>
    <xf numFmtId="0" fontId="0" fillId="2" borderId="10" xfId="0" applyFill="1" applyBorder="1" quotePrefix="1"/>
    <xf numFmtId="0" fontId="0" fillId="0" borderId="0" xfId="0" quotePrefix="1"/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  <cellStyle name="BlueHeader" xfId="49"/>
  </cellStyles>
  <dxfs count="3">
    <dxf>
      <numFmt numFmtId="8" formatCode="&quot;$&quot;#,##0.00_);[Red]\(&quot;$&quot;#,##0.00\)"/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colors>
    <mruColors>
      <color rgb="00CCFFCC"/>
      <color rgb="000000FF"/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7</xdr:col>
      <xdr:colOff>885265</xdr:colOff>
      <xdr:row>3</xdr:row>
      <xdr:rowOff>9855</xdr:rowOff>
    </xdr:from>
    <xdr:to>
      <xdr:col>8</xdr:col>
      <xdr:colOff>675554</xdr:colOff>
      <xdr:row>6</xdr:row>
      <xdr:rowOff>234490</xdr:rowOff>
    </xdr:to>
    <xdr:pic>
      <xdr:nvPicPr>
        <xdr:cNvPr id="2" name="Picture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3065" y="838200"/>
          <a:ext cx="913765" cy="1186815"/>
        </a:xfrm>
        <a:prstGeom prst="rect">
          <a:avLst/>
        </a:prstGeom>
      </xdr:spPr>
    </xdr:pic>
    <xdr:clientData/>
  </xdr:twoCellAnchor>
  <xdr:twoCellAnchor editAs="oneCell">
    <xdr:from>
      <xdr:col>1</xdr:col>
      <xdr:colOff>400049</xdr:colOff>
      <xdr:row>3</xdr:row>
      <xdr:rowOff>38099</xdr:rowOff>
    </xdr:from>
    <xdr:to>
      <xdr:col>2</xdr:col>
      <xdr:colOff>923924</xdr:colOff>
      <xdr:row>6</xdr:row>
      <xdr:rowOff>224677</xdr:rowOff>
    </xdr:to>
    <xdr:pic>
      <xdr:nvPicPr>
        <xdr:cNvPr id="4" name="Picture 3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490" y="866140"/>
          <a:ext cx="1123950" cy="114871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5" minRefreshableVersion="3" refreshedDate="45079.4706018519" refreshedBy="olisa" recordCount="50">
  <cacheSource type="worksheet">
    <worksheetSource ref="A3:D53" sheet="HW(4an)"/>
  </cacheSource>
  <cacheFields count="4">
    <cacheField name="Date" numFmtId="58">
      <sharedItems containsSemiMixedTypes="0" containsString="0" containsNonDate="0" containsDate="1" minDate="2017-10-27T00:00:00" maxDate="2017-10-29T00:00:00" count="3">
        <d v="2017-10-28T00:00:00"/>
        <d v="2017-10-27T00:00:00"/>
        <d v="2017-10-29T00:00:00"/>
      </sharedItems>
    </cacheField>
    <cacheField name="Employee" numFmtId="0">
      <sharedItems count="7">
        <s v="Tia Briseno"/>
        <s v="Jude Fielder"/>
        <s v="Luann Mathews"/>
        <s v="Quyen Westbrook"/>
        <s v="Fanny Wiggins"/>
        <s v="Sherika Woodcock"/>
        <s v="Kenisha Bingham"/>
      </sharedItems>
    </cacheField>
    <cacheField name="Sales" numFmtId="179">
      <sharedItems containsSemiMixedTypes="0" containsString="0" containsNumber="1" minValue="14436.28" maxValue="51825.54" count="50">
        <n v="46223.23"/>
        <n v="32895.8"/>
        <n v="17153.95"/>
        <n v="22318.06"/>
        <n v="20488.36"/>
        <n v="39269.91"/>
        <n v="37254.95"/>
        <n v="22828.89"/>
        <n v="26009.87"/>
        <n v="46734.47"/>
        <n v="41427.91"/>
        <n v="32592.97"/>
        <n v="16111"/>
        <n v="46073.74"/>
        <n v="22068.1"/>
        <n v="14436.28"/>
        <n v="20173.35"/>
        <n v="18444.53"/>
        <n v="27962.84"/>
        <n v="20169.74"/>
        <n v="34618.87"/>
        <n v="31589.68"/>
        <n v="19568.51"/>
        <n v="21047.46"/>
        <n v="39355.9"/>
        <n v="51825.54"/>
        <n v="46132.7"/>
        <n v="26886.58"/>
        <n v="19582"/>
        <n v="26583.38"/>
        <n v="50005.46"/>
        <n v="39504.35"/>
        <n v="27062.38"/>
        <n v="37596.83"/>
        <n v="17503.63"/>
        <n v="44613.04"/>
        <n v="37078.78"/>
        <n v="49263.43"/>
        <n v="48007.08"/>
        <n v="48005.27"/>
        <n v="17338.52"/>
        <n v="50540.8"/>
        <n v="18348.5"/>
        <n v="19493.79"/>
        <n v="25045.37"/>
        <n v="38666.73"/>
        <n v="41828.75"/>
        <n v="39413.16"/>
        <n v="44391.17"/>
        <n v="49972.54"/>
      </sharedItems>
    </cacheField>
    <cacheField name="Product" numFmtId="0">
      <sharedItems count="5">
        <s v="Quad"/>
        <s v="Carlota"/>
        <s v="Bellen"/>
        <s v="Aspen"/>
        <s v="Sunset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079.5195833333" refreshedBy="olisa" recordCount="50">
  <cacheSource type="worksheet">
    <worksheetSource ref="A3:D53" sheet="HW(4)"/>
  </cacheSource>
  <cacheFields count="4">
    <cacheField name="Date" numFmtId="58">
      <sharedItems containsSemiMixedTypes="0" containsString="0" containsNonDate="0" containsDate="1" minDate="2017-10-27T00:00:00" maxDate="2017-10-29T00:00:00" count="3">
        <d v="2017-10-28T00:00:00"/>
        <d v="2017-10-27T00:00:00"/>
        <d v="2017-10-29T00:00:00"/>
      </sharedItems>
    </cacheField>
    <cacheField name="Employee" numFmtId="0">
      <sharedItems count="7">
        <s v="Tia Briseno"/>
        <s v="Jude Fielder"/>
        <s v="Luann Mathews"/>
        <s v="Quyen Westbrook"/>
        <s v="Fanny Wiggins"/>
        <s v="Sherika Woodcock"/>
        <s v="Kenisha Bingham"/>
      </sharedItems>
    </cacheField>
    <cacheField name="Sales" numFmtId="179">
      <sharedItems containsSemiMixedTypes="0" containsString="0" containsNumber="1" minValue="14436.28" maxValue="51825.54" count="50">
        <n v="46223.23"/>
        <n v="32895.8"/>
        <n v="17153.95"/>
        <n v="22318.06"/>
        <n v="20488.36"/>
        <n v="39269.91"/>
        <n v="37254.95"/>
        <n v="22828.89"/>
        <n v="26009.87"/>
        <n v="46734.47"/>
        <n v="41427.91"/>
        <n v="32592.97"/>
        <n v="16111"/>
        <n v="46073.74"/>
        <n v="22068.1"/>
        <n v="14436.28"/>
        <n v="20173.35"/>
        <n v="18444.53"/>
        <n v="27962.84"/>
        <n v="20169.74"/>
        <n v="34618.87"/>
        <n v="31589.68"/>
        <n v="19568.51"/>
        <n v="21047.46"/>
        <n v="39355.9"/>
        <n v="51825.54"/>
        <n v="46132.7"/>
        <n v="26886.58"/>
        <n v="19582"/>
        <n v="26583.38"/>
        <n v="50005.46"/>
        <n v="39504.35"/>
        <n v="27062.38"/>
        <n v="37596.83"/>
        <n v="17503.63"/>
        <n v="44613.04"/>
        <n v="37078.78"/>
        <n v="49263.43"/>
        <n v="48007.08"/>
        <n v="48005.27"/>
        <n v="17338.52"/>
        <n v="50540.8"/>
        <n v="18348.5"/>
        <n v="19493.79"/>
        <n v="25045.37"/>
        <n v="38666.73"/>
        <n v="41828.75"/>
        <n v="39413.16"/>
        <n v="44391.17"/>
        <n v="49972.54"/>
      </sharedItems>
    </cacheField>
    <cacheField name="Product" numFmtId="0">
      <sharedItems count="5">
        <s v="Quad"/>
        <s v="Carlota"/>
        <s v="Bellen"/>
        <s v="Aspen"/>
        <s v="Sunset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x v="0"/>
    <x v="0"/>
  </r>
  <r>
    <x v="1"/>
    <x v="1"/>
    <x v="1"/>
    <x v="1"/>
  </r>
  <r>
    <x v="0"/>
    <x v="2"/>
    <x v="2"/>
    <x v="0"/>
  </r>
  <r>
    <x v="0"/>
    <x v="3"/>
    <x v="3"/>
    <x v="0"/>
  </r>
  <r>
    <x v="0"/>
    <x v="4"/>
    <x v="4"/>
    <x v="2"/>
  </r>
  <r>
    <x v="0"/>
    <x v="5"/>
    <x v="5"/>
    <x v="1"/>
  </r>
  <r>
    <x v="0"/>
    <x v="6"/>
    <x v="6"/>
    <x v="3"/>
  </r>
  <r>
    <x v="1"/>
    <x v="0"/>
    <x v="7"/>
    <x v="2"/>
  </r>
  <r>
    <x v="0"/>
    <x v="1"/>
    <x v="8"/>
    <x v="2"/>
  </r>
  <r>
    <x v="1"/>
    <x v="2"/>
    <x v="9"/>
    <x v="0"/>
  </r>
  <r>
    <x v="1"/>
    <x v="3"/>
    <x v="10"/>
    <x v="2"/>
  </r>
  <r>
    <x v="2"/>
    <x v="4"/>
    <x v="11"/>
    <x v="1"/>
  </r>
  <r>
    <x v="1"/>
    <x v="5"/>
    <x v="12"/>
    <x v="0"/>
  </r>
  <r>
    <x v="1"/>
    <x v="6"/>
    <x v="13"/>
    <x v="1"/>
  </r>
  <r>
    <x v="0"/>
    <x v="0"/>
    <x v="14"/>
    <x v="3"/>
  </r>
  <r>
    <x v="0"/>
    <x v="1"/>
    <x v="15"/>
    <x v="4"/>
  </r>
  <r>
    <x v="0"/>
    <x v="2"/>
    <x v="16"/>
    <x v="3"/>
  </r>
  <r>
    <x v="1"/>
    <x v="3"/>
    <x v="17"/>
    <x v="3"/>
  </r>
  <r>
    <x v="1"/>
    <x v="4"/>
    <x v="18"/>
    <x v="4"/>
  </r>
  <r>
    <x v="1"/>
    <x v="5"/>
    <x v="19"/>
    <x v="0"/>
  </r>
  <r>
    <x v="2"/>
    <x v="6"/>
    <x v="20"/>
    <x v="2"/>
  </r>
  <r>
    <x v="2"/>
    <x v="0"/>
    <x v="21"/>
    <x v="0"/>
  </r>
  <r>
    <x v="1"/>
    <x v="1"/>
    <x v="22"/>
    <x v="3"/>
  </r>
  <r>
    <x v="1"/>
    <x v="2"/>
    <x v="23"/>
    <x v="0"/>
  </r>
  <r>
    <x v="2"/>
    <x v="3"/>
    <x v="24"/>
    <x v="3"/>
  </r>
  <r>
    <x v="2"/>
    <x v="4"/>
    <x v="25"/>
    <x v="3"/>
  </r>
  <r>
    <x v="0"/>
    <x v="5"/>
    <x v="26"/>
    <x v="0"/>
  </r>
  <r>
    <x v="1"/>
    <x v="6"/>
    <x v="27"/>
    <x v="4"/>
  </r>
  <r>
    <x v="2"/>
    <x v="0"/>
    <x v="28"/>
    <x v="0"/>
  </r>
  <r>
    <x v="2"/>
    <x v="1"/>
    <x v="29"/>
    <x v="2"/>
  </r>
  <r>
    <x v="1"/>
    <x v="2"/>
    <x v="30"/>
    <x v="2"/>
  </r>
  <r>
    <x v="0"/>
    <x v="3"/>
    <x v="31"/>
    <x v="0"/>
  </r>
  <r>
    <x v="0"/>
    <x v="4"/>
    <x v="32"/>
    <x v="0"/>
  </r>
  <r>
    <x v="1"/>
    <x v="5"/>
    <x v="33"/>
    <x v="2"/>
  </r>
  <r>
    <x v="0"/>
    <x v="6"/>
    <x v="34"/>
    <x v="2"/>
  </r>
  <r>
    <x v="2"/>
    <x v="0"/>
    <x v="35"/>
    <x v="0"/>
  </r>
  <r>
    <x v="0"/>
    <x v="1"/>
    <x v="36"/>
    <x v="2"/>
  </r>
  <r>
    <x v="0"/>
    <x v="2"/>
    <x v="37"/>
    <x v="2"/>
  </r>
  <r>
    <x v="0"/>
    <x v="3"/>
    <x v="38"/>
    <x v="0"/>
  </r>
  <r>
    <x v="0"/>
    <x v="4"/>
    <x v="39"/>
    <x v="0"/>
  </r>
  <r>
    <x v="1"/>
    <x v="5"/>
    <x v="40"/>
    <x v="4"/>
  </r>
  <r>
    <x v="2"/>
    <x v="6"/>
    <x v="41"/>
    <x v="2"/>
  </r>
  <r>
    <x v="1"/>
    <x v="0"/>
    <x v="42"/>
    <x v="1"/>
  </r>
  <r>
    <x v="1"/>
    <x v="1"/>
    <x v="43"/>
    <x v="0"/>
  </r>
  <r>
    <x v="2"/>
    <x v="2"/>
    <x v="44"/>
    <x v="4"/>
  </r>
  <r>
    <x v="2"/>
    <x v="3"/>
    <x v="45"/>
    <x v="0"/>
  </r>
  <r>
    <x v="0"/>
    <x v="4"/>
    <x v="46"/>
    <x v="2"/>
  </r>
  <r>
    <x v="1"/>
    <x v="5"/>
    <x v="47"/>
    <x v="0"/>
  </r>
  <r>
    <x v="2"/>
    <x v="6"/>
    <x v="48"/>
    <x v="3"/>
  </r>
  <r>
    <x v="0"/>
    <x v="0"/>
    <x v="49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">
  <r>
    <x v="0"/>
    <x v="0"/>
    <x v="0"/>
    <x v="0"/>
  </r>
  <r>
    <x v="1"/>
    <x v="1"/>
    <x v="1"/>
    <x v="1"/>
  </r>
  <r>
    <x v="0"/>
    <x v="2"/>
    <x v="2"/>
    <x v="0"/>
  </r>
  <r>
    <x v="0"/>
    <x v="3"/>
    <x v="3"/>
    <x v="0"/>
  </r>
  <r>
    <x v="0"/>
    <x v="4"/>
    <x v="4"/>
    <x v="2"/>
  </r>
  <r>
    <x v="0"/>
    <x v="5"/>
    <x v="5"/>
    <x v="1"/>
  </r>
  <r>
    <x v="0"/>
    <x v="6"/>
    <x v="6"/>
    <x v="3"/>
  </r>
  <r>
    <x v="1"/>
    <x v="0"/>
    <x v="7"/>
    <x v="2"/>
  </r>
  <r>
    <x v="0"/>
    <x v="1"/>
    <x v="8"/>
    <x v="2"/>
  </r>
  <r>
    <x v="1"/>
    <x v="2"/>
    <x v="9"/>
    <x v="0"/>
  </r>
  <r>
    <x v="1"/>
    <x v="3"/>
    <x v="10"/>
    <x v="2"/>
  </r>
  <r>
    <x v="2"/>
    <x v="4"/>
    <x v="11"/>
    <x v="1"/>
  </r>
  <r>
    <x v="1"/>
    <x v="5"/>
    <x v="12"/>
    <x v="0"/>
  </r>
  <r>
    <x v="1"/>
    <x v="6"/>
    <x v="13"/>
    <x v="1"/>
  </r>
  <r>
    <x v="0"/>
    <x v="0"/>
    <x v="14"/>
    <x v="3"/>
  </r>
  <r>
    <x v="0"/>
    <x v="1"/>
    <x v="15"/>
    <x v="4"/>
  </r>
  <r>
    <x v="0"/>
    <x v="2"/>
    <x v="16"/>
    <x v="3"/>
  </r>
  <r>
    <x v="1"/>
    <x v="3"/>
    <x v="17"/>
    <x v="3"/>
  </r>
  <r>
    <x v="1"/>
    <x v="4"/>
    <x v="18"/>
    <x v="4"/>
  </r>
  <r>
    <x v="1"/>
    <x v="5"/>
    <x v="19"/>
    <x v="0"/>
  </r>
  <r>
    <x v="2"/>
    <x v="6"/>
    <x v="20"/>
    <x v="2"/>
  </r>
  <r>
    <x v="2"/>
    <x v="0"/>
    <x v="21"/>
    <x v="0"/>
  </r>
  <r>
    <x v="1"/>
    <x v="1"/>
    <x v="22"/>
    <x v="3"/>
  </r>
  <r>
    <x v="1"/>
    <x v="2"/>
    <x v="23"/>
    <x v="0"/>
  </r>
  <r>
    <x v="2"/>
    <x v="3"/>
    <x v="24"/>
    <x v="3"/>
  </r>
  <r>
    <x v="2"/>
    <x v="4"/>
    <x v="25"/>
    <x v="3"/>
  </r>
  <r>
    <x v="0"/>
    <x v="5"/>
    <x v="26"/>
    <x v="0"/>
  </r>
  <r>
    <x v="1"/>
    <x v="6"/>
    <x v="27"/>
    <x v="4"/>
  </r>
  <r>
    <x v="2"/>
    <x v="0"/>
    <x v="28"/>
    <x v="0"/>
  </r>
  <r>
    <x v="2"/>
    <x v="1"/>
    <x v="29"/>
    <x v="2"/>
  </r>
  <r>
    <x v="1"/>
    <x v="2"/>
    <x v="30"/>
    <x v="2"/>
  </r>
  <r>
    <x v="0"/>
    <x v="3"/>
    <x v="31"/>
    <x v="0"/>
  </r>
  <r>
    <x v="0"/>
    <x v="4"/>
    <x v="32"/>
    <x v="0"/>
  </r>
  <r>
    <x v="1"/>
    <x v="5"/>
    <x v="33"/>
    <x v="2"/>
  </r>
  <r>
    <x v="0"/>
    <x v="6"/>
    <x v="34"/>
    <x v="2"/>
  </r>
  <r>
    <x v="2"/>
    <x v="0"/>
    <x v="35"/>
    <x v="0"/>
  </r>
  <r>
    <x v="0"/>
    <x v="1"/>
    <x v="36"/>
    <x v="2"/>
  </r>
  <r>
    <x v="0"/>
    <x v="2"/>
    <x v="37"/>
    <x v="2"/>
  </r>
  <r>
    <x v="0"/>
    <x v="3"/>
    <x v="38"/>
    <x v="0"/>
  </r>
  <r>
    <x v="0"/>
    <x v="4"/>
    <x v="39"/>
    <x v="0"/>
  </r>
  <r>
    <x v="1"/>
    <x v="5"/>
    <x v="40"/>
    <x v="4"/>
  </r>
  <r>
    <x v="2"/>
    <x v="6"/>
    <x v="41"/>
    <x v="2"/>
  </r>
  <r>
    <x v="1"/>
    <x v="0"/>
    <x v="42"/>
    <x v="1"/>
  </r>
  <r>
    <x v="1"/>
    <x v="1"/>
    <x v="43"/>
    <x v="0"/>
  </r>
  <r>
    <x v="2"/>
    <x v="2"/>
    <x v="44"/>
    <x v="4"/>
  </r>
  <r>
    <x v="2"/>
    <x v="3"/>
    <x v="45"/>
    <x v="0"/>
  </r>
  <r>
    <x v="0"/>
    <x v="4"/>
    <x v="46"/>
    <x v="2"/>
  </r>
  <r>
    <x v="1"/>
    <x v="5"/>
    <x v="47"/>
    <x v="0"/>
  </r>
  <r>
    <x v="2"/>
    <x v="6"/>
    <x v="48"/>
    <x v="3"/>
  </r>
  <r>
    <x v="0"/>
    <x v="0"/>
    <x v="4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compactData="0" showDrill="1" multipleFieldFilters="0">
  <location ref="J11:K17" firstHeaderRow="1" firstDataRow="1" firstDataCol="1"/>
  <pivotFields count="4">
    <pivotField compact="0" outline="0" numFmtId="58" showAll="0"/>
    <pivotField compact="0" outline="0" showAll="0"/>
    <pivotField dataField="1" compact="0" outline="0" numFmtId="179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5" minRefreshableVersion="3" createdVersion="6" useAutoFormatting="1" compact="0" indent="0" compactData="0" showDrill="1" multipleFieldFilters="0">
  <location ref="I3:J9" firstHeaderRow="1" firstDataRow="1" firstDataCol="1"/>
  <pivotFields count="4">
    <pivotField compact="0" outline="0" numFmtId="58" showAll="0"/>
    <pivotField compact="0" outline="0" showAll="0"/>
    <pivotField dataField="1" compact="0" outline="0" numFmtId="179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 numFmtId="179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W53"/>
  <sheetViews>
    <sheetView zoomScale="85" zoomScaleNormal="85" topLeftCell="A14" workbookViewId="0">
      <selection activeCell="P26" sqref="P26"/>
    </sheetView>
  </sheetViews>
  <sheetFormatPr defaultColWidth="9" defaultRowHeight="15"/>
  <cols>
    <col min="3" max="3" width="53.4285714285714" customWidth="1"/>
    <col min="4" max="4" width="30.8571428571429" customWidth="1"/>
    <col min="6" max="9" width="16.8571428571429" customWidth="1"/>
  </cols>
  <sheetData>
    <row r="1" spans="1:23">
      <c r="A1" s="66"/>
      <c r="B1" s="66"/>
      <c r="C1" s="66"/>
      <c r="D1" s="66"/>
      <c r="E1" s="66"/>
      <c r="F1" s="66"/>
      <c r="G1" s="66"/>
      <c r="H1" s="66"/>
      <c r="I1" s="66"/>
      <c r="J1" s="66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</row>
    <row r="2" ht="34.5" customHeight="1" spans="1:23">
      <c r="A2" s="67" t="s">
        <v>0</v>
      </c>
      <c r="B2" s="68"/>
      <c r="C2" s="68"/>
      <c r="D2" s="68"/>
      <c r="E2" s="68"/>
      <c r="F2" s="68"/>
      <c r="G2" s="68"/>
      <c r="H2" s="68"/>
      <c r="I2" s="68"/>
      <c r="J2" s="68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</row>
    <row r="3" ht="15.75" spans="1:23">
      <c r="A3" s="66"/>
      <c r="B3" s="69"/>
      <c r="C3" s="70"/>
      <c r="D3" s="70"/>
      <c r="E3" s="70"/>
      <c r="F3" s="70"/>
      <c r="G3" s="70"/>
      <c r="H3" s="70"/>
      <c r="I3" s="82"/>
      <c r="J3" s="66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</row>
    <row r="4" ht="18.75" spans="1:23">
      <c r="A4" s="66"/>
      <c r="B4" s="71"/>
      <c r="C4" s="72"/>
      <c r="D4" s="72"/>
      <c r="E4" s="73" t="s">
        <v>1</v>
      </c>
      <c r="F4" s="72"/>
      <c r="G4" s="72"/>
      <c r="H4" s="72"/>
      <c r="I4" s="83"/>
      <c r="J4" s="66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</row>
    <row r="5" ht="28.5" spans="1:23">
      <c r="A5" s="66"/>
      <c r="B5" s="71"/>
      <c r="C5" s="74" t="s">
        <v>2</v>
      </c>
      <c r="D5" s="75"/>
      <c r="E5" s="75"/>
      <c r="F5" s="75"/>
      <c r="G5" s="72"/>
      <c r="H5" s="72"/>
      <c r="I5" s="83"/>
      <c r="J5" s="66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</row>
    <row r="6" ht="28.5" spans="1:23">
      <c r="A6" s="66"/>
      <c r="B6" s="71"/>
      <c r="C6" s="74" t="s">
        <v>3</v>
      </c>
      <c r="D6" s="75"/>
      <c r="E6" s="75"/>
      <c r="F6" s="75"/>
      <c r="G6" s="72"/>
      <c r="H6" s="72"/>
      <c r="I6" s="83"/>
      <c r="J6" s="66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</row>
    <row r="7" ht="28.5" spans="1:23">
      <c r="A7" s="66"/>
      <c r="B7" s="71"/>
      <c r="C7" s="74" t="s">
        <v>4</v>
      </c>
      <c r="D7" s="75"/>
      <c r="E7" s="75"/>
      <c r="F7" s="75"/>
      <c r="G7" s="72"/>
      <c r="H7" s="72"/>
      <c r="I7" s="83"/>
      <c r="J7" s="66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</row>
    <row r="8" spans="1:23">
      <c r="A8" s="66"/>
      <c r="B8" s="71"/>
      <c r="C8" s="75"/>
      <c r="D8" s="75"/>
      <c r="E8" s="72"/>
      <c r="F8" s="72"/>
      <c r="G8" s="72"/>
      <c r="H8" s="72"/>
      <c r="I8" s="83"/>
      <c r="J8" s="66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</row>
    <row r="9" spans="1:23">
      <c r="A9" s="66"/>
      <c r="B9" s="71"/>
      <c r="C9" s="76" t="s">
        <v>5</v>
      </c>
      <c r="D9" s="72"/>
      <c r="E9" s="72"/>
      <c r="F9" s="72"/>
      <c r="G9" s="72"/>
      <c r="H9" s="72"/>
      <c r="I9" s="83"/>
      <c r="J9" s="66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ht="26.25" spans="1:23">
      <c r="A10" s="66"/>
      <c r="B10" s="77">
        <v>1</v>
      </c>
      <c r="C10" s="76" t="str">
        <f>'FT &amp; FE'!B17</f>
        <v>Goal: Add calls made a service center last week.</v>
      </c>
      <c r="D10" s="78" t="str">
        <f>'FT &amp; FE (an)'!D30</f>
        <v>=SUM(C23:C29)</v>
      </c>
      <c r="E10" s="75"/>
      <c r="F10" s="75"/>
      <c r="G10" s="75"/>
      <c r="H10" s="75"/>
      <c r="I10" s="83"/>
      <c r="J10" s="66"/>
      <c r="K10" s="81"/>
      <c r="L10" s="81"/>
      <c r="M10" s="81"/>
      <c r="N10" s="81" t="str">
        <f>"Formula "&amp;TEXT(B10,"00")&amp;": "&amp;C10&amp;": "&amp;D10</f>
        <v>Formula 01: Goal: Add calls made a service center last week.: =SUM(C23:C29)</v>
      </c>
      <c r="O10" s="81"/>
      <c r="P10" s="81"/>
      <c r="Q10" s="81"/>
      <c r="R10" s="81"/>
      <c r="S10" s="81"/>
      <c r="T10" s="81"/>
      <c r="U10" s="81"/>
      <c r="V10" s="81"/>
      <c r="W10" s="81"/>
    </row>
    <row r="11" ht="26.25" spans="1:23">
      <c r="A11" s="66"/>
      <c r="B11" s="77">
        <v>2</v>
      </c>
      <c r="C11" s="76" t="str">
        <f>'FT &amp; FE'!B32</f>
        <v>Goal: Calculate Monthly Insurance Expense.</v>
      </c>
      <c r="D11" s="78" t="str">
        <f>'FT &amp; FE (an)'!D38</f>
        <v>=C37/12</v>
      </c>
      <c r="E11" s="75"/>
      <c r="F11" s="75"/>
      <c r="G11" s="75"/>
      <c r="H11" s="75"/>
      <c r="I11" s="83"/>
      <c r="J11" s="66"/>
      <c r="K11" s="81"/>
      <c r="L11" s="81"/>
      <c r="M11" s="81"/>
      <c r="N11" s="81" t="str">
        <f t="shared" ref="N11:N22" si="0">"Formula "&amp;TEXT(B11,"00")&amp;": "&amp;C11&amp;": "&amp;D11</f>
        <v>Formula 02: Goal: Calculate Monthly Insurance Expense.: =C37/12</v>
      </c>
      <c r="O11" s="81"/>
      <c r="P11" s="81"/>
      <c r="Q11" s="81"/>
      <c r="R11" s="81"/>
      <c r="S11" s="81"/>
      <c r="T11" s="81"/>
      <c r="U11" s="81"/>
      <c r="V11" s="81"/>
      <c r="W11" s="81"/>
    </row>
    <row r="12" ht="26.25" spans="1:23">
      <c r="A12" s="66"/>
      <c r="B12" s="77">
        <v>3</v>
      </c>
      <c r="C12" s="76" t="str">
        <f>'FT &amp; FE'!B40</f>
        <v>Goal: Calculate Deduction for Each Employee.</v>
      </c>
      <c r="D12" s="78" t="str">
        <f>'FT &amp; FE (an)'!E46</f>
        <v>=ROUND(C46*$F$46,2)</v>
      </c>
      <c r="E12" s="75"/>
      <c r="F12" s="75"/>
      <c r="G12" s="75"/>
      <c r="H12" s="75"/>
      <c r="I12" s="83"/>
      <c r="J12" s="66"/>
      <c r="K12" s="81"/>
      <c r="L12" s="81"/>
      <c r="M12" s="81"/>
      <c r="N12" s="81" t="str">
        <f t="shared" si="0"/>
        <v>Formula 03: Goal: Calculate Deduction for Each Employee.: =ROUND(C46*$F$46,2)</v>
      </c>
      <c r="O12" s="81"/>
      <c r="P12" s="81"/>
      <c r="Q12" s="81"/>
      <c r="R12" s="81"/>
      <c r="S12" s="81"/>
      <c r="T12" s="81"/>
      <c r="U12" s="81"/>
      <c r="V12" s="81"/>
      <c r="W12" s="81"/>
    </row>
    <row r="13" ht="26.25" spans="1:23">
      <c r="A13" s="66"/>
      <c r="B13" s="77">
        <v>4</v>
      </c>
      <c r="C13" s="76" t="str">
        <f>'FT &amp; FE'!B52</f>
        <v>Goal: Calculate Cost of Goods Sold (COGS) in Accounting</v>
      </c>
      <c r="D13" s="78" t="str">
        <f>'FT &amp; FE (an)'!G58</f>
        <v>=(C58-D58)*E58</v>
      </c>
      <c r="E13" s="75"/>
      <c r="F13" s="75"/>
      <c r="G13" s="75"/>
      <c r="H13" s="75"/>
      <c r="I13" s="83"/>
      <c r="J13" s="66"/>
      <c r="K13" s="81"/>
      <c r="L13" s="81"/>
      <c r="M13" s="81"/>
      <c r="N13" s="81" t="str">
        <f t="shared" si="0"/>
        <v>Formula 04: Goal: Calculate Cost of Goods Sold (COGS) in Accounting: =(C58-D58)*E58</v>
      </c>
      <c r="O13" s="81"/>
      <c r="P13" s="81"/>
      <c r="Q13" s="81"/>
      <c r="R13" s="81"/>
      <c r="S13" s="81"/>
      <c r="T13" s="81"/>
      <c r="U13" s="81"/>
      <c r="V13" s="81"/>
      <c r="W13" s="81"/>
    </row>
    <row r="14" ht="26.25" spans="1:23">
      <c r="A14" s="66"/>
      <c r="B14" s="77">
        <v>5</v>
      </c>
      <c r="C14" s="76" t="str">
        <f>'FT &amp; FE'!B64</f>
        <v>Goal: Join "Text " and an Item Number into One Cell.</v>
      </c>
      <c r="D14" s="78" t="str">
        <f>'FT &amp; FE (an)'!E70</f>
        <v>="Item # "&amp;C70</v>
      </c>
      <c r="E14" s="75"/>
      <c r="F14" s="75"/>
      <c r="G14" s="75"/>
      <c r="H14" s="75"/>
      <c r="I14" s="83"/>
      <c r="J14" s="66"/>
      <c r="K14" s="81"/>
      <c r="L14" s="81"/>
      <c r="M14" s="81"/>
      <c r="N14" s="81" t="str">
        <f t="shared" si="0"/>
        <v>Formula 05: Goal: Join "Text " and an Item Number into One Cell.: ="Item # "&amp;C70</v>
      </c>
      <c r="O14" s="81"/>
      <c r="P14" s="81"/>
      <c r="Q14" s="81"/>
      <c r="R14" s="81"/>
      <c r="S14" s="81"/>
      <c r="T14" s="81"/>
      <c r="U14" s="81"/>
      <c r="V14" s="81"/>
      <c r="W14" s="81"/>
    </row>
    <row r="15" ht="26.25" spans="1:23">
      <c r="A15" s="66"/>
      <c r="B15" s="77">
        <v>6</v>
      </c>
      <c r="C15" s="76" t="str">
        <f>'FT &amp; FE'!B76</f>
        <v>Goal: Join First &amp; Last Names into One Cell.</v>
      </c>
      <c r="D15" s="78" t="str">
        <f>'FT &amp; FE (an)'!F82</f>
        <v>=C82&amp;", "&amp;B82</v>
      </c>
      <c r="E15" s="75"/>
      <c r="F15" s="75"/>
      <c r="G15" s="75"/>
      <c r="H15" s="75"/>
      <c r="I15" s="83"/>
      <c r="J15" s="66"/>
      <c r="K15" s="81"/>
      <c r="L15" s="81"/>
      <c r="M15" s="81"/>
      <c r="N15" s="81" t="str">
        <f t="shared" si="0"/>
        <v>Formula 06: Goal: Join First &amp; Last Names into One Cell.: =C82&amp;", "&amp;B82</v>
      </c>
      <c r="O15" s="81"/>
      <c r="P15" s="81"/>
      <c r="Q15" s="81"/>
      <c r="R15" s="81"/>
      <c r="S15" s="81"/>
      <c r="T15" s="81"/>
      <c r="U15" s="81"/>
      <c r="V15" s="81"/>
      <c r="W15" s="81"/>
    </row>
    <row r="16" ht="26.25" spans="1:23">
      <c r="A16" s="66"/>
      <c r="B16" s="77">
        <v>7</v>
      </c>
      <c r="C16" s="76" t="str">
        <f>'FT &amp; FE'!B90</f>
        <v>Goal: Extract State Abbreviation using the RIGHT Function</v>
      </c>
      <c r="D16" s="78" t="str">
        <f>'FT &amp; FE (an)'!D96</f>
        <v>=RIGHT(B96,2)</v>
      </c>
      <c r="E16" s="75"/>
      <c r="F16" s="75"/>
      <c r="G16" s="75"/>
      <c r="H16" s="75"/>
      <c r="I16" s="83"/>
      <c r="J16" s="66"/>
      <c r="K16" s="81"/>
      <c r="L16" s="81"/>
      <c r="M16" s="81"/>
      <c r="N16" s="81" t="str">
        <f t="shared" si="0"/>
        <v>Formula 07: Goal: Extract State Abbreviation using the RIGHT Function: =RIGHT(B96,2)</v>
      </c>
      <c r="O16" s="81"/>
      <c r="P16" s="81"/>
      <c r="Q16" s="81"/>
      <c r="R16" s="81"/>
      <c r="S16" s="81"/>
      <c r="T16" s="81"/>
      <c r="U16" s="81"/>
      <c r="V16" s="81"/>
      <c r="W16" s="81"/>
    </row>
    <row r="17" ht="26.25" spans="1:23">
      <c r="A17" s="66"/>
      <c r="B17" s="77">
        <v>8</v>
      </c>
      <c r="C17" s="76" t="str">
        <f>'FT &amp; FE'!B102</f>
        <v>Goal: Extract Product Number using the LEFT Function</v>
      </c>
      <c r="D17" s="78" t="str">
        <f>'FT &amp; FE (an)'!D108</f>
        <v>=LEFT(B108,6)</v>
      </c>
      <c r="E17" s="75"/>
      <c r="F17" s="75"/>
      <c r="G17" s="75"/>
      <c r="H17" s="75"/>
      <c r="I17" s="83"/>
      <c r="J17" s="66"/>
      <c r="K17" s="81"/>
      <c r="L17" s="81"/>
      <c r="M17" s="81"/>
      <c r="N17" s="81" t="str">
        <f t="shared" si="0"/>
        <v>Formula 08: Goal: Extract Product Number using the LEFT Function: =LEFT(B108,6)</v>
      </c>
      <c r="O17" s="81"/>
      <c r="P17" s="81"/>
      <c r="Q17" s="81"/>
      <c r="R17" s="81"/>
      <c r="S17" s="81"/>
      <c r="T17" s="81"/>
      <c r="U17" s="81"/>
      <c r="V17" s="81"/>
      <c r="W17" s="81"/>
    </row>
    <row r="18" ht="26.25" spans="1:23">
      <c r="A18" s="66"/>
      <c r="B18" s="77">
        <v>9</v>
      </c>
      <c r="C18" s="76" t="str">
        <f>'FT &amp; FE'!B115</f>
        <v>Goal: Determine If Debits = Credits</v>
      </c>
      <c r="D18" s="78" t="str">
        <f>'FT &amp; FE (an)'!F127</f>
        <v>=B127=C127</v>
      </c>
      <c r="E18" s="75"/>
      <c r="F18" s="75"/>
      <c r="G18" s="75"/>
      <c r="H18" s="75"/>
      <c r="I18" s="83"/>
      <c r="J18" s="66"/>
      <c r="K18" s="81"/>
      <c r="L18" s="81"/>
      <c r="M18" s="81"/>
      <c r="N18" s="81" t="str">
        <f t="shared" si="0"/>
        <v>Formula 09: Goal: Determine If Debits = Credits: =B127=C127</v>
      </c>
      <c r="O18" s="81"/>
      <c r="P18" s="81"/>
      <c r="Q18" s="81"/>
      <c r="R18" s="81"/>
      <c r="S18" s="81"/>
      <c r="T18" s="81"/>
      <c r="U18" s="81"/>
      <c r="V18" s="81"/>
      <c r="W18" s="81"/>
    </row>
    <row r="19" ht="26.25" spans="1:23">
      <c r="A19" s="66"/>
      <c r="B19" s="77">
        <v>10</v>
      </c>
      <c r="C19" s="76" t="str">
        <f>'FT &amp; FE'!B129</f>
        <v>Goal: Determine If Employee Gets a Bonus</v>
      </c>
      <c r="D19" s="78" t="str">
        <f>'FT &amp; FE (an)'!E135</f>
        <v>=C135&gt;=$F$135</v>
      </c>
      <c r="E19" s="75"/>
      <c r="F19" s="75"/>
      <c r="G19" s="75"/>
      <c r="H19" s="75"/>
      <c r="I19" s="83"/>
      <c r="J19" s="66"/>
      <c r="K19" s="81"/>
      <c r="L19" s="81"/>
      <c r="M19" s="81"/>
      <c r="N19" s="81" t="str">
        <f t="shared" si="0"/>
        <v>Formula 10: Goal: Determine If Employee Gets a Bonus: =C135&gt;=$F$135</v>
      </c>
      <c r="O19" s="81"/>
      <c r="P19" s="81"/>
      <c r="Q19" s="81"/>
      <c r="R19" s="81"/>
      <c r="S19" s="81"/>
      <c r="T19" s="81"/>
      <c r="U19" s="81"/>
      <c r="V19" s="81"/>
      <c r="W19" s="81"/>
    </row>
    <row r="20" ht="26.25" spans="1:23">
      <c r="A20" s="66"/>
      <c r="B20" s="77">
        <v>11</v>
      </c>
      <c r="C20" s="76" t="str">
        <f>'FT &amp; FE'!B142</f>
        <v>Goal: Count how many of each product we sold</v>
      </c>
      <c r="D20" s="78" t="str">
        <f>'FT &amp; FE (an)'!D156</f>
        <v>=COUNTIFS($B$148:$B$153,B156)</v>
      </c>
      <c r="E20" s="75"/>
      <c r="F20" s="75"/>
      <c r="G20" s="75"/>
      <c r="H20" s="75"/>
      <c r="I20" s="83"/>
      <c r="J20" s="66"/>
      <c r="K20" s="81"/>
      <c r="L20" s="81"/>
      <c r="M20" s="81"/>
      <c r="N20" s="81" t="str">
        <f t="shared" si="0"/>
        <v>Formula 11: Goal: Count how many of each product we sold: =COUNTIFS($B$148:$B$153,B156)</v>
      </c>
      <c r="O20" s="81"/>
      <c r="P20" s="81"/>
      <c r="Q20" s="81"/>
      <c r="R20" s="81"/>
      <c r="S20" s="81"/>
      <c r="T20" s="81"/>
      <c r="U20" s="81"/>
      <c r="V20" s="81"/>
      <c r="W20" s="81"/>
    </row>
    <row r="21" ht="26.25" spans="1:23">
      <c r="A21" s="66"/>
      <c r="B21" s="77">
        <v>12</v>
      </c>
      <c r="C21" s="76" t="str">
        <f>'FT &amp; FE'!B160</f>
        <v>Goal: Formula to determine whether we need to reorder?</v>
      </c>
      <c r="D21" s="78" t="str">
        <f>'FT &amp; FE (an)'!F166</f>
        <v>=$D$173&gt;B166-C166</v>
      </c>
      <c r="E21" s="75"/>
      <c r="F21" s="75"/>
      <c r="G21" s="75"/>
      <c r="H21" s="75"/>
      <c r="I21" s="83"/>
      <c r="J21" s="66"/>
      <c r="K21" s="81"/>
      <c r="L21" s="81"/>
      <c r="M21" s="81"/>
      <c r="N21" s="81" t="str">
        <f t="shared" si="0"/>
        <v>Formula 12: Goal: Formula to determine whether we need to reorder?: =$D$173&gt;B166-C166</v>
      </c>
      <c r="O21" s="81"/>
      <c r="P21" s="81"/>
      <c r="Q21" s="81"/>
      <c r="R21" s="81"/>
      <c r="S21" s="81"/>
      <c r="T21" s="81"/>
      <c r="U21" s="81"/>
      <c r="V21" s="81"/>
      <c r="W21" s="81"/>
    </row>
    <row r="22" ht="26.25" spans="1:23">
      <c r="A22" s="66"/>
      <c r="B22" s="77">
        <v>13</v>
      </c>
      <c r="C22" s="76" t="str">
        <f>'FT &amp; FE (an)'!B176</f>
        <v>Goal: Calculate Net Income</v>
      </c>
      <c r="D22" s="78" t="str">
        <f>'FT &amp; FE (an)'!D186</f>
        <v>=C181-SUM(C182:C185)</v>
      </c>
      <c r="E22" s="75"/>
      <c r="F22" s="75"/>
      <c r="G22" s="75"/>
      <c r="H22" s="75"/>
      <c r="I22" s="83"/>
      <c r="J22" s="66"/>
      <c r="K22" s="81"/>
      <c r="L22" s="81"/>
      <c r="M22" s="81"/>
      <c r="N22" s="81" t="str">
        <f t="shared" si="0"/>
        <v>Formula 13: Goal: Calculate Net Income: =C181-SUM(C182:C185)</v>
      </c>
      <c r="O22" s="81"/>
      <c r="P22" s="81"/>
      <c r="Q22" s="81"/>
      <c r="R22" s="81"/>
      <c r="S22" s="81"/>
      <c r="T22" s="81"/>
      <c r="U22" s="81"/>
      <c r="V22" s="81"/>
      <c r="W22" s="81"/>
    </row>
    <row r="23" ht="15.75" spans="1:23">
      <c r="A23" s="66"/>
      <c r="B23" s="79"/>
      <c r="C23" s="80"/>
      <c r="D23" s="80"/>
      <c r="E23" s="80"/>
      <c r="F23" s="80"/>
      <c r="G23" s="80"/>
      <c r="H23" s="80"/>
      <c r="I23" s="84"/>
      <c r="J23" s="66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ht="15.75" spans="1:23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</row>
    <row r="27" spans="1:23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</row>
    <row r="28" spans="1:23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</row>
    <row r="29" spans="1:23">
      <c r="A29" s="81"/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</row>
    <row r="30" spans="1:23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</row>
    <row r="31" spans="1:23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</row>
    <row r="32" spans="1:23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</row>
    <row r="33" spans="1:23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</row>
    <row r="34" spans="1:23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</row>
    <row r="35" spans="1:23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</row>
    <row r="36" spans="2:23"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2:23"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2:23"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2:23"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</row>
    <row r="40" spans="2:23"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</row>
    <row r="41" spans="2:23"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</row>
    <row r="42" spans="2:23"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</row>
    <row r="43" spans="2:23"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</row>
    <row r="44" spans="2:23"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</row>
    <row r="45" spans="2:23"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</row>
    <row r="46" spans="2:23"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</row>
    <row r="47" spans="2:23"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</row>
    <row r="48" spans="2:23"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</row>
    <row r="49" spans="2:23"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2:23"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2:23"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2:23"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</row>
    <row r="53" spans="2:23"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187"/>
  <sheetViews>
    <sheetView zoomScale="115" zoomScaleNormal="115" topLeftCell="A168" workbookViewId="0">
      <selection activeCell="C187" sqref="C187"/>
    </sheetView>
  </sheetViews>
  <sheetFormatPr defaultColWidth="9" defaultRowHeight="15"/>
  <cols>
    <col min="1" max="1" width="5.57142857142857" customWidth="1"/>
    <col min="2" max="2" width="21.5714285714286" customWidth="1"/>
    <col min="3" max="3" width="24.8571428571429" customWidth="1"/>
    <col min="4" max="4" width="21.5714285714286" customWidth="1"/>
    <col min="5" max="5" width="23.7142857142857" customWidth="1"/>
    <col min="6" max="6" width="19.5714285714286" customWidth="1"/>
    <col min="7" max="7" width="5.57142857142857" customWidth="1"/>
    <col min="8" max="8" width="31.8571428571429" customWidth="1"/>
    <col min="9" max="9" width="17.1428571428571" customWidth="1"/>
    <col min="10" max="10" width="21.2857142857143" customWidth="1"/>
    <col min="11" max="11" width="14" customWidth="1"/>
    <col min="12" max="12" width="53.4285714285714" customWidth="1"/>
    <col min="13" max="13" width="30.5714285714286" customWidth="1"/>
  </cols>
  <sheetData>
    <row r="1" spans="1:6">
      <c r="A1" s="19"/>
      <c r="B1" s="20" t="s">
        <v>6</v>
      </c>
      <c r="C1" s="21"/>
      <c r="D1" s="21"/>
      <c r="E1" s="21"/>
      <c r="F1" s="22"/>
    </row>
    <row r="2" spans="1:6">
      <c r="A2" s="23"/>
      <c r="B2" s="24" t="s">
        <v>7</v>
      </c>
      <c r="C2" s="25"/>
      <c r="D2" s="25"/>
      <c r="E2" s="25"/>
      <c r="F2" s="26"/>
    </row>
    <row r="3" spans="1:6">
      <c r="A3" s="23"/>
      <c r="B3" s="24" t="s">
        <v>8</v>
      </c>
      <c r="C3" s="25"/>
      <c r="D3" s="25"/>
      <c r="E3" s="25"/>
      <c r="F3" s="26"/>
    </row>
    <row r="4" spans="1:6">
      <c r="A4" s="23"/>
      <c r="B4" s="24" t="s">
        <v>9</v>
      </c>
      <c r="C4" s="25"/>
      <c r="D4" s="25"/>
      <c r="E4" s="25"/>
      <c r="F4" s="26"/>
    </row>
    <row r="5" spans="1:6">
      <c r="A5" s="23"/>
      <c r="B5" s="25"/>
      <c r="C5" s="25"/>
      <c r="D5" s="25"/>
      <c r="E5" s="25"/>
      <c r="F5" s="26"/>
    </row>
    <row r="6" spans="1:6">
      <c r="A6" s="23"/>
      <c r="B6" s="27" t="s">
        <v>10</v>
      </c>
      <c r="C6" s="25"/>
      <c r="D6" s="25"/>
      <c r="E6" s="25"/>
      <c r="F6" s="26"/>
    </row>
    <row r="7" spans="1:6">
      <c r="A7" s="23"/>
      <c r="B7" s="25" t="s">
        <v>11</v>
      </c>
      <c r="C7" s="25"/>
      <c r="D7" s="25"/>
      <c r="E7" s="25"/>
      <c r="F7" s="26"/>
    </row>
    <row r="8" spans="1:6">
      <c r="A8" s="23"/>
      <c r="B8" s="25" t="s">
        <v>12</v>
      </c>
      <c r="C8" s="25"/>
      <c r="D8" s="25"/>
      <c r="E8" s="25"/>
      <c r="F8" s="26"/>
    </row>
    <row r="9" spans="1:6">
      <c r="A9" s="23"/>
      <c r="B9" s="25" t="s">
        <v>13</v>
      </c>
      <c r="C9" s="25"/>
      <c r="D9" s="25"/>
      <c r="E9" s="25"/>
      <c r="F9" s="26"/>
    </row>
    <row r="10" spans="1:6">
      <c r="A10" s="23"/>
      <c r="B10" s="25" t="s">
        <v>14</v>
      </c>
      <c r="C10" s="25"/>
      <c r="D10" s="25"/>
      <c r="E10" s="25"/>
      <c r="F10" s="26"/>
    </row>
    <row r="11" spans="1:6">
      <c r="A11" s="23"/>
      <c r="B11" s="25" t="s">
        <v>15</v>
      </c>
      <c r="C11" s="25"/>
      <c r="D11" s="25"/>
      <c r="E11" s="25"/>
      <c r="F11" s="26"/>
    </row>
    <row r="12" spans="1:6">
      <c r="A12" s="23"/>
      <c r="B12" s="25" t="s">
        <v>16</v>
      </c>
      <c r="C12" s="25"/>
      <c r="D12" s="25"/>
      <c r="E12" s="25"/>
      <c r="F12" s="26"/>
    </row>
    <row r="13" spans="1:6">
      <c r="A13" s="23"/>
      <c r="B13" s="25" t="s">
        <v>17</v>
      </c>
      <c r="C13" s="25"/>
      <c r="D13" s="25"/>
      <c r="E13" s="25"/>
      <c r="F13" s="26"/>
    </row>
    <row r="14" spans="1:6">
      <c r="A14" s="28"/>
      <c r="B14" s="29" t="s">
        <v>18</v>
      </c>
      <c r="C14" s="29"/>
      <c r="D14" s="29"/>
      <c r="E14" s="29"/>
      <c r="F14" s="30"/>
    </row>
    <row r="17" spans="1:3">
      <c r="A17" s="31"/>
      <c r="B17" s="32" t="s">
        <v>19</v>
      </c>
      <c r="C17" s="22"/>
    </row>
    <row r="18" spans="1:3">
      <c r="A18" s="31"/>
      <c r="B18" s="33" t="s">
        <v>20</v>
      </c>
      <c r="C18" s="26"/>
    </row>
    <row r="19" spans="2:3">
      <c r="B19" s="33" t="s">
        <v>21</v>
      </c>
      <c r="C19" s="26"/>
    </row>
    <row r="20" spans="2:3">
      <c r="B20" s="34" t="s">
        <v>22</v>
      </c>
      <c r="C20" s="30"/>
    </row>
    <row r="22" spans="2:3">
      <c r="B22" s="35" t="s">
        <v>23</v>
      </c>
      <c r="C22" s="35" t="s">
        <v>24</v>
      </c>
    </row>
    <row r="23" spans="2:3">
      <c r="B23" s="36">
        <v>43038</v>
      </c>
      <c r="C23" s="5">
        <v>671</v>
      </c>
    </row>
    <row r="24" spans="2:3">
      <c r="B24" s="36">
        <v>43039</v>
      </c>
      <c r="C24" s="5">
        <v>374</v>
      </c>
    </row>
    <row r="25" spans="2:3">
      <c r="B25" s="36">
        <v>43040</v>
      </c>
      <c r="C25" s="5">
        <v>586</v>
      </c>
    </row>
    <row r="26" spans="2:3">
      <c r="B26" s="36">
        <v>43041</v>
      </c>
      <c r="C26" s="5">
        <v>637</v>
      </c>
    </row>
    <row r="27" spans="2:3">
      <c r="B27" s="36">
        <v>43042</v>
      </c>
      <c r="C27" s="5">
        <v>1007</v>
      </c>
    </row>
    <row r="28" spans="2:3">
      <c r="B28" s="36">
        <v>43043</v>
      </c>
      <c r="C28" s="5">
        <v>549</v>
      </c>
    </row>
    <row r="29" spans="2:3">
      <c r="B29" s="36">
        <v>43044</v>
      </c>
      <c r="C29" s="5">
        <v>556</v>
      </c>
    </row>
    <row r="30" spans="2:3">
      <c r="B30" s="36" t="s">
        <v>25</v>
      </c>
      <c r="C30" s="37">
        <f>SUM(C23:C29)</f>
        <v>4380</v>
      </c>
    </row>
    <row r="32" spans="1:8">
      <c r="A32" s="31" t="s">
        <v>26</v>
      </c>
      <c r="B32" s="32" t="s">
        <v>27</v>
      </c>
      <c r="C32" s="22"/>
      <c r="G32" s="31" t="s">
        <v>28</v>
      </c>
      <c r="H32" s="31"/>
    </row>
    <row r="33" spans="1:8">
      <c r="A33" s="31"/>
      <c r="B33" s="33" t="s">
        <v>20</v>
      </c>
      <c r="C33" s="26"/>
      <c r="G33" s="85" t="s">
        <v>29</v>
      </c>
      <c r="H33" s="38" t="s">
        <v>30</v>
      </c>
    </row>
    <row r="34" spans="2:8">
      <c r="B34" s="33" t="s">
        <v>31</v>
      </c>
      <c r="C34" s="26"/>
      <c r="G34" s="86" t="s">
        <v>32</v>
      </c>
      <c r="H34" s="39" t="s">
        <v>33</v>
      </c>
    </row>
    <row r="35" spans="2:8">
      <c r="B35" s="34" t="s">
        <v>34</v>
      </c>
      <c r="C35" s="30"/>
      <c r="G35" s="86" t="s">
        <v>35</v>
      </c>
      <c r="H35" s="39" t="s">
        <v>36</v>
      </c>
    </row>
    <row r="36" spans="7:8">
      <c r="G36" s="86" t="s">
        <v>37</v>
      </c>
      <c r="H36" s="39" t="s">
        <v>38</v>
      </c>
    </row>
    <row r="37" spans="2:8">
      <c r="B37" s="35" t="s">
        <v>39</v>
      </c>
      <c r="C37" s="40">
        <v>13500</v>
      </c>
      <c r="E37" t="s">
        <v>40</v>
      </c>
      <c r="F37" s="31"/>
      <c r="G37" s="86" t="s">
        <v>41</v>
      </c>
      <c r="H37" s="39" t="s">
        <v>42</v>
      </c>
    </row>
    <row r="38" spans="2:8">
      <c r="B38" s="35" t="s">
        <v>43</v>
      </c>
      <c r="C38" s="13">
        <f>C37/12</f>
        <v>1125</v>
      </c>
      <c r="E38" t="s">
        <v>44</v>
      </c>
      <c r="G38" s="87" t="s">
        <v>45</v>
      </c>
      <c r="H38" s="41" t="s">
        <v>46</v>
      </c>
    </row>
    <row r="39" spans="2:2">
      <c r="B39" s="42"/>
    </row>
    <row r="40" spans="1:4">
      <c r="A40" s="31" t="s">
        <v>47</v>
      </c>
      <c r="B40" s="32" t="s">
        <v>48</v>
      </c>
      <c r="C40" s="21"/>
      <c r="D40" s="22"/>
    </row>
    <row r="41" spans="2:4">
      <c r="B41" s="33" t="s">
        <v>20</v>
      </c>
      <c r="C41" s="25"/>
      <c r="D41" s="26"/>
    </row>
    <row r="42" spans="2:4">
      <c r="B42" s="33" t="s">
        <v>49</v>
      </c>
      <c r="C42" s="25"/>
      <c r="D42" s="26"/>
    </row>
    <row r="43" spans="2:4">
      <c r="B43" s="34" t="s">
        <v>50</v>
      </c>
      <c r="C43" s="29"/>
      <c r="D43" s="30"/>
    </row>
    <row r="44" spans="8:8">
      <c r="H44" s="42"/>
    </row>
    <row r="45" spans="2:6">
      <c r="B45" s="8" t="s">
        <v>51</v>
      </c>
      <c r="C45" s="8" t="s">
        <v>52</v>
      </c>
      <c r="D45" s="8" t="s">
        <v>53</v>
      </c>
      <c r="F45" s="43" t="s">
        <v>54</v>
      </c>
    </row>
    <row r="46" spans="2:6">
      <c r="B46" s="5" t="s">
        <v>55</v>
      </c>
      <c r="C46" s="11">
        <v>2830.34</v>
      </c>
      <c r="D46" s="18">
        <f>ROUND(C46*$F$46,2)</f>
        <v>474.08</v>
      </c>
      <c r="F46" s="10">
        <v>0.1675</v>
      </c>
    </row>
    <row r="47" spans="2:4">
      <c r="B47" s="5" t="s">
        <v>56</v>
      </c>
      <c r="C47" s="11">
        <v>2239.93</v>
      </c>
      <c r="D47" s="18">
        <f>ROUND(C47*$F$46,2)</f>
        <v>375.19</v>
      </c>
    </row>
    <row r="48" spans="2:6">
      <c r="B48" s="5" t="s">
        <v>57</v>
      </c>
      <c r="C48" s="11">
        <v>2953.98</v>
      </c>
      <c r="D48" s="18">
        <f>ROUND(C48*$F$46,2)</f>
        <v>494.79</v>
      </c>
      <c r="F48" t="s">
        <v>58</v>
      </c>
    </row>
    <row r="49" spans="2:6">
      <c r="B49" s="5" t="s">
        <v>59</v>
      </c>
      <c r="C49" s="11">
        <v>2926.74</v>
      </c>
      <c r="D49" s="18">
        <f>ROUND(C49*$F$46,2)</f>
        <v>490.23</v>
      </c>
      <c r="F49" t="s">
        <v>44</v>
      </c>
    </row>
    <row r="50" spans="2:4">
      <c r="B50" s="44"/>
      <c r="C50" s="5" t="s">
        <v>25</v>
      </c>
      <c r="D50" s="18">
        <f>SUM(D46:D49)</f>
        <v>1834.29</v>
      </c>
    </row>
    <row r="52" spans="1:5">
      <c r="A52" s="31" t="s">
        <v>60</v>
      </c>
      <c r="B52" s="32" t="s">
        <v>61</v>
      </c>
      <c r="C52" s="21"/>
      <c r="D52" s="21"/>
      <c r="E52" s="22"/>
    </row>
    <row r="53" spans="2:5">
      <c r="B53" s="33" t="s">
        <v>20</v>
      </c>
      <c r="C53" s="25"/>
      <c r="D53" s="25"/>
      <c r="E53" s="26"/>
    </row>
    <row r="54" spans="2:5">
      <c r="B54" s="33" t="s">
        <v>62</v>
      </c>
      <c r="C54" s="25"/>
      <c r="D54" s="25"/>
      <c r="E54" s="26"/>
    </row>
    <row r="55" spans="2:5">
      <c r="B55" s="34" t="s">
        <v>63</v>
      </c>
      <c r="C55" s="29"/>
      <c r="D55" s="29"/>
      <c r="E55" s="30"/>
    </row>
    <row r="57" spans="2:6">
      <c r="B57" s="4" t="s">
        <v>64</v>
      </c>
      <c r="C57" s="4" t="s">
        <v>65</v>
      </c>
      <c r="D57" s="4" t="s">
        <v>66</v>
      </c>
      <c r="E57" s="4" t="s">
        <v>67</v>
      </c>
      <c r="F57" s="4" t="s">
        <v>68</v>
      </c>
    </row>
    <row r="58" spans="2:6">
      <c r="B58" s="5" t="s">
        <v>69</v>
      </c>
      <c r="C58" s="5">
        <v>114</v>
      </c>
      <c r="D58" s="5">
        <v>45</v>
      </c>
      <c r="E58" s="5">
        <v>10</v>
      </c>
      <c r="F58" s="6">
        <f>(C58-D58)*E58</f>
        <v>690</v>
      </c>
    </row>
    <row r="59" spans="2:6">
      <c r="B59" s="5" t="s">
        <v>70</v>
      </c>
      <c r="C59" s="5">
        <v>146</v>
      </c>
      <c r="D59" s="5">
        <v>117</v>
      </c>
      <c r="E59" s="5">
        <v>20</v>
      </c>
      <c r="F59" s="6">
        <f>(C59-D59)*E59</f>
        <v>580</v>
      </c>
    </row>
    <row r="60" spans="2:9">
      <c r="B60" s="5" t="s">
        <v>71</v>
      </c>
      <c r="C60" s="5">
        <v>108</v>
      </c>
      <c r="D60" s="5">
        <v>102</v>
      </c>
      <c r="E60" s="5">
        <v>15</v>
      </c>
      <c r="F60" s="6">
        <f>(C60-D60)*E60</f>
        <v>90</v>
      </c>
      <c r="H60" s="32" t="s">
        <v>72</v>
      </c>
      <c r="I60" s="22"/>
    </row>
    <row r="61" spans="2:9">
      <c r="B61" s="5" t="s">
        <v>73</v>
      </c>
      <c r="C61" s="5">
        <v>61</v>
      </c>
      <c r="D61" s="5">
        <v>47</v>
      </c>
      <c r="E61" s="5">
        <v>10</v>
      </c>
      <c r="F61" s="6">
        <f>(C61-D61)*E61</f>
        <v>140</v>
      </c>
      <c r="H61" s="46" t="s">
        <v>74</v>
      </c>
      <c r="I61" s="26"/>
    </row>
    <row r="62" spans="2:9">
      <c r="B62" s="5" t="s">
        <v>75</v>
      </c>
      <c r="C62" s="5">
        <v>54</v>
      </c>
      <c r="D62" s="5">
        <v>51</v>
      </c>
      <c r="E62" s="5">
        <v>12</v>
      </c>
      <c r="F62" s="6">
        <f>(C62-D62)*E62</f>
        <v>36</v>
      </c>
      <c r="H62" s="46" t="s">
        <v>76</v>
      </c>
      <c r="I62" s="26"/>
    </row>
    <row r="63" spans="8:9">
      <c r="H63" s="46" t="s">
        <v>77</v>
      </c>
      <c r="I63" s="26"/>
    </row>
    <row r="64" spans="1:9">
      <c r="A64" s="31" t="s">
        <v>78</v>
      </c>
      <c r="B64" s="32" t="s">
        <v>79</v>
      </c>
      <c r="C64" s="21"/>
      <c r="D64" s="22"/>
      <c r="H64" s="47" t="s">
        <v>80</v>
      </c>
      <c r="I64" s="30"/>
    </row>
    <row r="65" spans="2:4">
      <c r="B65" s="33" t="s">
        <v>81</v>
      </c>
      <c r="C65" s="25"/>
      <c r="D65" s="26"/>
    </row>
    <row r="66" spans="2:4">
      <c r="B66" s="33" t="s">
        <v>82</v>
      </c>
      <c r="C66" s="25"/>
      <c r="D66" s="26"/>
    </row>
    <row r="67" spans="2:4">
      <c r="B67" s="34" t="s">
        <v>83</v>
      </c>
      <c r="C67" s="29"/>
      <c r="D67" s="30"/>
    </row>
    <row r="69" spans="2:6">
      <c r="B69" s="4" t="s">
        <v>64</v>
      </c>
      <c r="C69" s="4" t="s">
        <v>84</v>
      </c>
      <c r="D69" s="4" t="s">
        <v>85</v>
      </c>
      <c r="F69" s="31" t="s">
        <v>86</v>
      </c>
    </row>
    <row r="70" spans="2:6">
      <c r="B70" s="5" t="s">
        <v>69</v>
      </c>
      <c r="C70" s="5">
        <v>517231</v>
      </c>
      <c r="D70" s="6" t="str">
        <f>"item #"&amp;C70</f>
        <v>item #517231</v>
      </c>
      <c r="F70" t="s">
        <v>87</v>
      </c>
    </row>
    <row r="71" spans="2:6">
      <c r="B71" s="5" t="s">
        <v>70</v>
      </c>
      <c r="C71" s="5">
        <v>469890</v>
      </c>
      <c r="D71" s="6" t="str">
        <f>"item #"&amp;C71</f>
        <v>item #469890</v>
      </c>
      <c r="F71" t="s">
        <v>88</v>
      </c>
    </row>
    <row r="72" spans="2:6">
      <c r="B72" s="5" t="s">
        <v>71</v>
      </c>
      <c r="C72" s="5">
        <v>162451</v>
      </c>
      <c r="D72" s="6" t="str">
        <f>"item #"&amp;C72</f>
        <v>item #162451</v>
      </c>
      <c r="F72" s="31" t="s">
        <v>89</v>
      </c>
    </row>
    <row r="73" spans="2:6">
      <c r="B73" s="5" t="s">
        <v>73</v>
      </c>
      <c r="C73" s="5">
        <v>114541</v>
      </c>
      <c r="D73" s="6" t="str">
        <f>"item #"&amp;C73</f>
        <v>item #114541</v>
      </c>
      <c r="F73" t="s">
        <v>90</v>
      </c>
    </row>
    <row r="74" spans="2:4">
      <c r="B74" s="5" t="s">
        <v>75</v>
      </c>
      <c r="C74" s="5">
        <v>832593</v>
      </c>
      <c r="D74" s="6" t="str">
        <f>"item #"&amp;C74</f>
        <v>item #832593</v>
      </c>
    </row>
    <row r="76" spans="1:4">
      <c r="A76" s="31" t="s">
        <v>91</v>
      </c>
      <c r="B76" s="32" t="s">
        <v>92</v>
      </c>
      <c r="C76" s="21"/>
      <c r="D76" s="22"/>
    </row>
    <row r="77" spans="2:4">
      <c r="B77" s="33" t="s">
        <v>81</v>
      </c>
      <c r="C77" s="25"/>
      <c r="D77" s="26"/>
    </row>
    <row r="78" spans="2:4">
      <c r="B78" s="33" t="s">
        <v>93</v>
      </c>
      <c r="C78" s="25"/>
      <c r="D78" s="26"/>
    </row>
    <row r="79" spans="2:4">
      <c r="B79" s="34" t="s">
        <v>94</v>
      </c>
      <c r="C79" s="29"/>
      <c r="D79" s="30"/>
    </row>
    <row r="81" spans="2:5">
      <c r="B81" s="4" t="s">
        <v>95</v>
      </c>
      <c r="C81" s="4" t="s">
        <v>96</v>
      </c>
      <c r="D81" s="4" t="s">
        <v>97</v>
      </c>
      <c r="E81" s="4" t="s">
        <v>98</v>
      </c>
    </row>
    <row r="82" spans="2:7">
      <c r="B82" s="5" t="s">
        <v>99</v>
      </c>
      <c r="C82" s="5" t="s">
        <v>100</v>
      </c>
      <c r="D82" s="6" t="str">
        <f>B82&amp;" "&amp;C82</f>
        <v>Jimmy Garza</v>
      </c>
      <c r="E82" s="6" t="str">
        <f>C82&amp;","&amp;B82</f>
        <v>Garza,Jimmy</v>
      </c>
      <c r="G82" t="s">
        <v>101</v>
      </c>
    </row>
    <row r="83" spans="2:7">
      <c r="B83" s="5" t="s">
        <v>102</v>
      </c>
      <c r="C83" s="5" t="s">
        <v>103</v>
      </c>
      <c r="D83" s="6" t="str">
        <f t="shared" ref="D83:D88" si="0">B83&amp;" "&amp;C83</f>
        <v>Emma Petrov</v>
      </c>
      <c r="E83" s="6" t="str">
        <f t="shared" ref="E83:E88" si="1">C83&amp;","&amp;B83</f>
        <v>Petrov,Emma</v>
      </c>
      <c r="G83" t="s">
        <v>44</v>
      </c>
    </row>
    <row r="84" spans="2:5">
      <c r="B84" s="5" t="s">
        <v>104</v>
      </c>
      <c r="C84" s="5" t="s">
        <v>105</v>
      </c>
      <c r="D84" s="6" t="str">
        <f t="shared" si="0"/>
        <v>Rolando Robbins</v>
      </c>
      <c r="E84" s="6" t="str">
        <f t="shared" si="1"/>
        <v>Robbins,Rolando</v>
      </c>
    </row>
    <row r="85" spans="2:5">
      <c r="B85" s="5" t="s">
        <v>106</v>
      </c>
      <c r="C85" s="5" t="s">
        <v>107</v>
      </c>
      <c r="D85" s="6" t="str">
        <f t="shared" si="0"/>
        <v>Abdi Amari</v>
      </c>
      <c r="E85" s="6" t="str">
        <f t="shared" si="1"/>
        <v>Amari,Abdi</v>
      </c>
    </row>
    <row r="86" spans="2:5">
      <c r="B86" s="5" t="s">
        <v>108</v>
      </c>
      <c r="C86" s="5" t="s">
        <v>109</v>
      </c>
      <c r="D86" s="6" t="str">
        <f t="shared" si="0"/>
        <v>ShelaDown Cohen</v>
      </c>
      <c r="E86" s="6" t="str">
        <f t="shared" si="1"/>
        <v>Cohen,ShelaDown</v>
      </c>
    </row>
    <row r="87" spans="2:5">
      <c r="B87" s="5" t="s">
        <v>55</v>
      </c>
      <c r="C87" s="5" t="s">
        <v>110</v>
      </c>
      <c r="D87" s="6" t="str">
        <f t="shared" si="0"/>
        <v>Sioux Radcoolinator</v>
      </c>
      <c r="E87" s="6" t="str">
        <f t="shared" si="1"/>
        <v>Radcoolinator,Sioux</v>
      </c>
    </row>
    <row r="88" spans="2:5">
      <c r="B88" s="5" t="s">
        <v>111</v>
      </c>
      <c r="C88" s="5" t="s">
        <v>112</v>
      </c>
      <c r="D88" s="6" t="str">
        <f t="shared" si="0"/>
        <v>Miki Ito</v>
      </c>
      <c r="E88" s="6" t="str">
        <f t="shared" si="1"/>
        <v>Ito,Miki</v>
      </c>
    </row>
    <row r="90" spans="1:4">
      <c r="A90" s="31" t="s">
        <v>113</v>
      </c>
      <c r="B90" s="32" t="s">
        <v>114</v>
      </c>
      <c r="C90" s="21"/>
      <c r="D90" s="22"/>
    </row>
    <row r="91" spans="2:4">
      <c r="B91" s="33" t="s">
        <v>81</v>
      </c>
      <c r="C91" s="25"/>
      <c r="D91" s="26"/>
    </row>
    <row r="92" spans="2:4">
      <c r="B92" s="33" t="s">
        <v>21</v>
      </c>
      <c r="C92" s="25"/>
      <c r="D92" s="26"/>
    </row>
    <row r="93" spans="2:4">
      <c r="B93" s="34" t="s">
        <v>115</v>
      </c>
      <c r="C93" s="29"/>
      <c r="D93" s="30"/>
    </row>
    <row r="95" spans="2:5">
      <c r="B95" s="4" t="s">
        <v>116</v>
      </c>
      <c r="C95" s="4" t="s">
        <v>117</v>
      </c>
      <c r="E95" t="s">
        <v>118</v>
      </c>
    </row>
    <row r="96" spans="2:5">
      <c r="B96" s="5" t="s">
        <v>119</v>
      </c>
      <c r="C96" s="6" t="str">
        <f>RIGHT(B96,2)</f>
        <v>CO</v>
      </c>
      <c r="E96" t="s">
        <v>44</v>
      </c>
    </row>
    <row r="97" spans="2:3">
      <c r="B97" s="5" t="s">
        <v>120</v>
      </c>
      <c r="C97" s="6" t="str">
        <f>RIGHT(B97,2)</f>
        <v>CA</v>
      </c>
    </row>
    <row r="98" spans="2:3">
      <c r="B98" s="5" t="s">
        <v>121</v>
      </c>
      <c r="C98" s="6" t="str">
        <f>RIGHT(B98,2)</f>
        <v>WA</v>
      </c>
    </row>
    <row r="99" spans="2:3">
      <c r="B99" s="5" t="s">
        <v>122</v>
      </c>
      <c r="C99" s="6" t="str">
        <f>RIGHT(B99,2)</f>
        <v>CA</v>
      </c>
    </row>
    <row r="100" spans="2:3">
      <c r="B100" s="5" t="s">
        <v>123</v>
      </c>
      <c r="C100" s="6" t="str">
        <f>RIGHT(B100,2)</f>
        <v>CO</v>
      </c>
    </row>
    <row r="102" spans="1:4">
      <c r="A102" s="31" t="s">
        <v>124</v>
      </c>
      <c r="B102" s="32" t="s">
        <v>125</v>
      </c>
      <c r="C102" s="21"/>
      <c r="D102" s="22"/>
    </row>
    <row r="103" spans="2:4">
      <c r="B103" s="33" t="s">
        <v>81</v>
      </c>
      <c r="C103" s="25"/>
      <c r="D103" s="26"/>
    </row>
    <row r="104" spans="2:4">
      <c r="B104" s="33" t="s">
        <v>21</v>
      </c>
      <c r="C104" s="25"/>
      <c r="D104" s="26"/>
    </row>
    <row r="105" spans="2:4">
      <c r="B105" s="34" t="s">
        <v>115</v>
      </c>
      <c r="C105" s="29"/>
      <c r="D105" s="30"/>
    </row>
    <row r="107" spans="2:3">
      <c r="B107" s="4" t="s">
        <v>116</v>
      </c>
      <c r="C107" s="4" t="s">
        <v>126</v>
      </c>
    </row>
    <row r="108" spans="2:5">
      <c r="B108" s="5" t="s">
        <v>127</v>
      </c>
      <c r="C108" s="6" t="str">
        <f>LEFT(B108,6)</f>
        <v>517231</v>
      </c>
      <c r="E108" t="s">
        <v>128</v>
      </c>
    </row>
    <row r="109" spans="2:5">
      <c r="B109" s="5" t="s">
        <v>129</v>
      </c>
      <c r="C109" s="6" t="str">
        <f>LEFT(B109,6)</f>
        <v>469890</v>
      </c>
      <c r="E109" t="s">
        <v>44</v>
      </c>
    </row>
    <row r="110" spans="2:3">
      <c r="B110" s="5" t="s">
        <v>130</v>
      </c>
      <c r="C110" s="6" t="str">
        <f>LEFT(B110,6)</f>
        <v>162451</v>
      </c>
    </row>
    <row r="111" spans="2:3">
      <c r="B111" s="5" t="s">
        <v>131</v>
      </c>
      <c r="C111" s="6" t="str">
        <f>LEFT(B111,6)</f>
        <v>114541</v>
      </c>
    </row>
    <row r="112" spans="2:3">
      <c r="B112" s="5" t="s">
        <v>132</v>
      </c>
      <c r="C112" s="6" t="str">
        <f>LEFT(B112,6)</f>
        <v>832593</v>
      </c>
    </row>
    <row r="115" spans="1:4">
      <c r="A115" s="31" t="s">
        <v>133</v>
      </c>
      <c r="B115" s="32" t="s">
        <v>134</v>
      </c>
      <c r="C115" s="21"/>
      <c r="D115" s="22"/>
    </row>
    <row r="116" spans="2:4">
      <c r="B116" s="33" t="s">
        <v>135</v>
      </c>
      <c r="C116" s="25"/>
      <c r="D116" s="26"/>
    </row>
    <row r="117" spans="2:4">
      <c r="B117" s="33" t="s">
        <v>136</v>
      </c>
      <c r="C117" s="25"/>
      <c r="D117" s="26"/>
    </row>
    <row r="118" spans="2:4">
      <c r="B118" s="34" t="s">
        <v>137</v>
      </c>
      <c r="C118" s="29"/>
      <c r="D118" s="30"/>
    </row>
    <row r="119" spans="7:11">
      <c r="G119" s="31" t="s">
        <v>138</v>
      </c>
      <c r="H119" s="31"/>
      <c r="I119" s="31"/>
      <c r="J119" s="31"/>
      <c r="K119" s="31"/>
    </row>
    <row r="120" spans="2:11">
      <c r="B120" s="8" t="s">
        <v>139</v>
      </c>
      <c r="C120" s="8" t="s">
        <v>140</v>
      </c>
      <c r="G120" s="85" t="s">
        <v>141</v>
      </c>
      <c r="H120" s="48" t="s">
        <v>142</v>
      </c>
      <c r="I120" s="21"/>
      <c r="J120" s="21"/>
      <c r="K120" s="22"/>
    </row>
    <row r="121" spans="2:11">
      <c r="B121" s="10">
        <v>35.74</v>
      </c>
      <c r="C121" s="10">
        <v>35.74</v>
      </c>
      <c r="G121" s="86" t="s">
        <v>143</v>
      </c>
      <c r="H121" s="49" t="s">
        <v>144</v>
      </c>
      <c r="I121" s="25"/>
      <c r="J121" s="25"/>
      <c r="K121" s="26"/>
    </row>
    <row r="122" spans="2:11">
      <c r="B122" s="10">
        <v>73.61</v>
      </c>
      <c r="C122" s="10">
        <v>73.61</v>
      </c>
      <c r="G122" s="86" t="s">
        <v>145</v>
      </c>
      <c r="H122" s="49" t="s">
        <v>146</v>
      </c>
      <c r="I122" s="25"/>
      <c r="J122" s="25"/>
      <c r="K122" s="26"/>
    </row>
    <row r="123" spans="2:11">
      <c r="B123" s="10">
        <v>113.08</v>
      </c>
      <c r="C123" s="10">
        <v>113.08</v>
      </c>
      <c r="G123" s="86" t="s">
        <v>147</v>
      </c>
      <c r="H123" s="49" t="s">
        <v>148</v>
      </c>
      <c r="I123" s="25"/>
      <c r="J123" s="25"/>
      <c r="K123" s="26"/>
    </row>
    <row r="124" spans="2:11">
      <c r="B124" s="10">
        <v>100.49</v>
      </c>
      <c r="C124" s="10">
        <v>100.5</v>
      </c>
      <c r="G124" s="86" t="s">
        <v>149</v>
      </c>
      <c r="H124" s="49" t="s">
        <v>150</v>
      </c>
      <c r="I124" s="25"/>
      <c r="J124" s="25"/>
      <c r="K124" s="26"/>
    </row>
    <row r="125" spans="2:11">
      <c r="B125" s="10">
        <v>17.7</v>
      </c>
      <c r="C125" s="10">
        <v>17.7</v>
      </c>
      <c r="G125" s="87" t="s">
        <v>151</v>
      </c>
      <c r="H125" s="50" t="s">
        <v>152</v>
      </c>
      <c r="I125" s="29"/>
      <c r="J125" s="29"/>
      <c r="K125" s="30"/>
    </row>
    <row r="126" ht="15.75" spans="2:5">
      <c r="B126" s="51">
        <v>107.38</v>
      </c>
      <c r="C126" s="51">
        <v>107.38</v>
      </c>
      <c r="E126" s="8" t="s">
        <v>153</v>
      </c>
    </row>
    <row r="127" ht="15.75" spans="2:5">
      <c r="B127" s="52">
        <f t="shared" ref="B127:C127" si="2">SUM(B121:B126)</f>
        <v>448</v>
      </c>
      <c r="C127" s="64">
        <f t="shared" si="2"/>
        <v>448.01</v>
      </c>
      <c r="E127" s="65" t="b">
        <f>B127=C127</f>
        <v>0</v>
      </c>
    </row>
    <row r="128" ht="15.75"/>
    <row r="129" spans="1:4">
      <c r="A129" s="31" t="s">
        <v>154</v>
      </c>
      <c r="B129" s="32" t="s">
        <v>155</v>
      </c>
      <c r="C129" s="21"/>
      <c r="D129" s="22"/>
    </row>
    <row r="130" spans="2:4">
      <c r="B130" s="33" t="s">
        <v>135</v>
      </c>
      <c r="C130" s="25"/>
      <c r="D130" s="26"/>
    </row>
    <row r="131" spans="2:4">
      <c r="B131" s="33" t="s">
        <v>156</v>
      </c>
      <c r="C131" s="25"/>
      <c r="D131" s="26"/>
    </row>
    <row r="132" spans="2:4">
      <c r="B132" s="34" t="s">
        <v>157</v>
      </c>
      <c r="C132" s="29"/>
      <c r="D132" s="30"/>
    </row>
    <row r="134" spans="2:6">
      <c r="B134" s="8" t="s">
        <v>51</v>
      </c>
      <c r="C134" s="8" t="s">
        <v>158</v>
      </c>
      <c r="D134" s="8" t="s">
        <v>159</v>
      </c>
      <c r="F134" s="16" t="s">
        <v>160</v>
      </c>
    </row>
    <row r="135" spans="2:6">
      <c r="B135" s="10" t="s">
        <v>161</v>
      </c>
      <c r="C135" s="11">
        <v>55000</v>
      </c>
      <c r="D135" s="18" t="b">
        <f>C135&gt;=$F$135</f>
        <v>1</v>
      </c>
      <c r="F135" s="11">
        <v>55000</v>
      </c>
    </row>
    <row r="136" spans="2:4">
      <c r="B136" s="10" t="s">
        <v>162</v>
      </c>
      <c r="C136" s="11">
        <v>41197.98</v>
      </c>
      <c r="D136" s="18" t="b">
        <f>C136&gt;=$F$135</f>
        <v>0</v>
      </c>
    </row>
    <row r="137" spans="2:10">
      <c r="B137" s="10" t="s">
        <v>163</v>
      </c>
      <c r="C137" s="11">
        <v>74558.65</v>
      </c>
      <c r="D137" s="18" t="b">
        <f>C137&gt;=$F$135</f>
        <v>1</v>
      </c>
      <c r="F137" s="31" t="s">
        <v>138</v>
      </c>
      <c r="G137" s="31"/>
      <c r="H137" s="31"/>
      <c r="I137" s="31"/>
      <c r="J137" s="31"/>
    </row>
    <row r="138" spans="2:10">
      <c r="B138" s="17" t="s">
        <v>164</v>
      </c>
      <c r="C138" s="11">
        <v>53741.33</v>
      </c>
      <c r="D138" s="18" t="b">
        <f>C138&gt;=$F$135</f>
        <v>0</v>
      </c>
      <c r="F138" s="85" t="s">
        <v>141</v>
      </c>
      <c r="G138" s="48" t="s">
        <v>142</v>
      </c>
      <c r="H138" s="21"/>
      <c r="I138" s="21"/>
      <c r="J138" s="22"/>
    </row>
    <row r="139" spans="2:10">
      <c r="B139" s="10" t="s">
        <v>165</v>
      </c>
      <c r="C139" s="11">
        <v>37251.06</v>
      </c>
      <c r="D139" s="18" t="b">
        <f>C139&gt;=$F$135</f>
        <v>0</v>
      </c>
      <c r="F139" s="86" t="s">
        <v>143</v>
      </c>
      <c r="G139" s="49" t="s">
        <v>144</v>
      </c>
      <c r="H139" s="25"/>
      <c r="I139" s="25"/>
      <c r="J139" s="26"/>
    </row>
    <row r="140" spans="2:10">
      <c r="B140" s="10" t="s">
        <v>166</v>
      </c>
      <c r="C140" s="11">
        <v>54999.99</v>
      </c>
      <c r="D140" s="18" t="b">
        <f>C140&gt;=$F$135</f>
        <v>0</v>
      </c>
      <c r="F140" s="86" t="s">
        <v>145</v>
      </c>
      <c r="G140" s="49" t="s">
        <v>146</v>
      </c>
      <c r="H140" s="25"/>
      <c r="I140" s="25"/>
      <c r="J140" s="26"/>
    </row>
    <row r="141" spans="6:10">
      <c r="F141" s="86" t="s">
        <v>147</v>
      </c>
      <c r="G141" s="49" t="s">
        <v>148</v>
      </c>
      <c r="H141" s="25"/>
      <c r="I141" s="25"/>
      <c r="J141" s="26"/>
    </row>
    <row r="142" spans="1:10">
      <c r="A142" s="31" t="s">
        <v>167</v>
      </c>
      <c r="B142" s="32" t="s">
        <v>168</v>
      </c>
      <c r="C142" s="21"/>
      <c r="D142" s="22"/>
      <c r="F142" s="86" t="s">
        <v>149</v>
      </c>
      <c r="G142" s="49" t="s">
        <v>150</v>
      </c>
      <c r="H142" s="25"/>
      <c r="I142" s="25"/>
      <c r="J142" s="26"/>
    </row>
    <row r="143" spans="2:10">
      <c r="B143" s="33" t="s">
        <v>20</v>
      </c>
      <c r="C143" s="25"/>
      <c r="D143" s="26"/>
      <c r="F143" s="87" t="s">
        <v>151</v>
      </c>
      <c r="G143" s="50" t="s">
        <v>152</v>
      </c>
      <c r="H143" s="29"/>
      <c r="I143" s="29"/>
      <c r="J143" s="30"/>
    </row>
    <row r="144" spans="2:4">
      <c r="B144" s="33" t="s">
        <v>169</v>
      </c>
      <c r="C144" s="25"/>
      <c r="D144" s="26"/>
    </row>
    <row r="145" spans="2:6">
      <c r="B145" s="34" t="s">
        <v>170</v>
      </c>
      <c r="C145" s="29"/>
      <c r="D145" s="30"/>
      <c r="F145" s="54" t="s">
        <v>171</v>
      </c>
    </row>
    <row r="146" spans="6:6">
      <c r="F146" s="54" t="s">
        <v>172</v>
      </c>
    </row>
    <row r="147" spans="2:3">
      <c r="B147" s="8" t="s">
        <v>64</v>
      </c>
      <c r="C147" s="8" t="s">
        <v>158</v>
      </c>
    </row>
    <row r="148" spans="2:3">
      <c r="B148" s="10" t="s">
        <v>70</v>
      </c>
      <c r="C148" s="11">
        <v>43</v>
      </c>
    </row>
    <row r="149" spans="2:3">
      <c r="B149" s="10" t="s">
        <v>75</v>
      </c>
      <c r="C149" s="11">
        <v>23</v>
      </c>
    </row>
    <row r="150" spans="2:3">
      <c r="B150" s="10" t="s">
        <v>75</v>
      </c>
      <c r="C150" s="11">
        <v>23</v>
      </c>
    </row>
    <row r="151" spans="2:3">
      <c r="B151" s="17" t="s">
        <v>70</v>
      </c>
      <c r="C151" s="11">
        <v>43</v>
      </c>
    </row>
    <row r="152" spans="2:3">
      <c r="B152" s="10" t="s">
        <v>69</v>
      </c>
      <c r="C152" s="11">
        <v>19.95</v>
      </c>
    </row>
    <row r="153" spans="2:3">
      <c r="B153" s="10" t="s">
        <v>70</v>
      </c>
      <c r="C153" s="11">
        <v>43</v>
      </c>
    </row>
    <row r="155" spans="2:3">
      <c r="B155" s="8" t="s">
        <v>64</v>
      </c>
      <c r="C155" s="8" t="s">
        <v>173</v>
      </c>
    </row>
    <row r="156" spans="2:3">
      <c r="B156" s="10" t="s">
        <v>69</v>
      </c>
      <c r="C156" s="6">
        <f>COUNTIFS($B$148:$B$153,B156)</f>
        <v>1</v>
      </c>
    </row>
    <row r="157" spans="2:3">
      <c r="B157" s="10" t="s">
        <v>70</v>
      </c>
      <c r="C157" s="6">
        <f>COUNTIFS($B$148:$B$153,B157)</f>
        <v>3</v>
      </c>
    </row>
    <row r="158" spans="2:3">
      <c r="B158" s="10" t="s">
        <v>75</v>
      </c>
      <c r="C158" s="6">
        <f>COUNTIFS($B$148:$B$153,B158)</f>
        <v>2</v>
      </c>
    </row>
    <row r="160" spans="1:10">
      <c r="A160" s="31" t="s">
        <v>174</v>
      </c>
      <c r="B160" s="32" t="s">
        <v>175</v>
      </c>
      <c r="C160" s="21"/>
      <c r="D160" s="22"/>
      <c r="G160" s="19">
        <v>1</v>
      </c>
      <c r="H160" s="21" t="s">
        <v>176</v>
      </c>
      <c r="I160" s="21"/>
      <c r="J160" s="22"/>
    </row>
    <row r="161" spans="2:10">
      <c r="B161" s="33" t="s">
        <v>135</v>
      </c>
      <c r="C161" s="25"/>
      <c r="D161" s="26"/>
      <c r="G161" s="55">
        <v>2</v>
      </c>
      <c r="H161" s="49" t="s">
        <v>177</v>
      </c>
      <c r="I161" s="49"/>
      <c r="J161" s="26"/>
    </row>
    <row r="162" spans="2:10">
      <c r="B162" s="33" t="s">
        <v>178</v>
      </c>
      <c r="C162" s="25"/>
      <c r="D162" s="26"/>
      <c r="G162" s="23"/>
      <c r="H162" s="56" t="s">
        <v>179</v>
      </c>
      <c r="I162" s="25"/>
      <c r="J162" s="26"/>
    </row>
    <row r="163" spans="2:10">
      <c r="B163" s="34" t="s">
        <v>180</v>
      </c>
      <c r="C163" s="29"/>
      <c r="D163" s="30"/>
      <c r="G163" s="23"/>
      <c r="H163" s="56" t="s">
        <v>181</v>
      </c>
      <c r="I163" s="25"/>
      <c r="J163" s="26"/>
    </row>
    <row r="164" spans="7:10">
      <c r="G164" s="23">
        <v>3</v>
      </c>
      <c r="H164" s="25" t="s">
        <v>182</v>
      </c>
      <c r="I164" s="25"/>
      <c r="J164" s="26"/>
    </row>
    <row r="165" spans="2:10">
      <c r="B165" s="4" t="s">
        <v>65</v>
      </c>
      <c r="C165" s="4" t="s">
        <v>183</v>
      </c>
      <c r="D165" s="4" t="s">
        <v>184</v>
      </c>
      <c r="E165" s="4" t="s">
        <v>185</v>
      </c>
      <c r="G165" s="23"/>
      <c r="H165" s="56" t="s">
        <v>186</v>
      </c>
      <c r="I165" s="25"/>
      <c r="J165" s="26"/>
    </row>
    <row r="166" spans="2:10">
      <c r="B166" s="5">
        <v>114</v>
      </c>
      <c r="C166" s="5">
        <v>45</v>
      </c>
      <c r="D166" s="6">
        <f>B166-C166</f>
        <v>69</v>
      </c>
      <c r="E166" s="6" t="b">
        <f>$D$173&gt;B166-C166</f>
        <v>0</v>
      </c>
      <c r="G166" s="23"/>
      <c r="H166" s="56" t="s">
        <v>187</v>
      </c>
      <c r="I166" s="25"/>
      <c r="J166" s="26"/>
    </row>
    <row r="167" spans="2:10">
      <c r="B167" s="5">
        <v>146</v>
      </c>
      <c r="C167" s="5">
        <v>121</v>
      </c>
      <c r="D167" s="6">
        <f t="shared" ref="D167:D170" si="3">B167-C167</f>
        <v>25</v>
      </c>
      <c r="E167" s="6" t="b">
        <f>$D$173&gt;B167-C167</f>
        <v>0</v>
      </c>
      <c r="G167" s="23">
        <v>4</v>
      </c>
      <c r="H167" s="25" t="s">
        <v>188</v>
      </c>
      <c r="I167" s="25"/>
      <c r="J167" s="26"/>
    </row>
    <row r="168" spans="2:10">
      <c r="B168" s="5">
        <v>108</v>
      </c>
      <c r="C168" s="5">
        <v>102</v>
      </c>
      <c r="D168" s="6">
        <f t="shared" si="3"/>
        <v>6</v>
      </c>
      <c r="E168" s="6" t="b">
        <f>$D$173&gt;B168-C168</f>
        <v>1</v>
      </c>
      <c r="G168" s="23">
        <v>5</v>
      </c>
      <c r="H168" s="25" t="s">
        <v>189</v>
      </c>
      <c r="I168" s="25"/>
      <c r="J168" s="26"/>
    </row>
    <row r="169" spans="2:10">
      <c r="B169" s="5">
        <v>61</v>
      </c>
      <c r="C169" s="5">
        <v>21</v>
      </c>
      <c r="D169" s="6">
        <f t="shared" si="3"/>
        <v>40</v>
      </c>
      <c r="E169" s="6" t="b">
        <f>$D$173&gt;B169-C169</f>
        <v>0</v>
      </c>
      <c r="G169" s="23"/>
      <c r="H169" s="56" t="s">
        <v>190</v>
      </c>
      <c r="I169" s="25"/>
      <c r="J169" s="26"/>
    </row>
    <row r="170" spans="2:10">
      <c r="B170" s="5">
        <v>54</v>
      </c>
      <c r="C170" s="5">
        <v>51</v>
      </c>
      <c r="D170" s="6">
        <f t="shared" si="3"/>
        <v>3</v>
      </c>
      <c r="E170" s="6" t="b">
        <f>$D$173&gt;B170-C170</f>
        <v>1</v>
      </c>
      <c r="G170" s="23">
        <v>6</v>
      </c>
      <c r="H170" s="25" t="s">
        <v>191</v>
      </c>
      <c r="I170" s="25"/>
      <c r="J170" s="26"/>
    </row>
    <row r="171" spans="7:10">
      <c r="G171" s="23">
        <v>7</v>
      </c>
      <c r="H171" s="25" t="s">
        <v>192</v>
      </c>
      <c r="I171" s="25"/>
      <c r="J171" s="26"/>
    </row>
    <row r="172" spans="4:10">
      <c r="D172" s="57" t="s">
        <v>193</v>
      </c>
      <c r="G172" s="23">
        <v>8</v>
      </c>
      <c r="H172" s="25" t="s">
        <v>194</v>
      </c>
      <c r="I172" s="25"/>
      <c r="J172" s="26"/>
    </row>
    <row r="173" spans="4:10">
      <c r="D173" s="5">
        <v>25</v>
      </c>
      <c r="G173" s="28">
        <v>9</v>
      </c>
      <c r="H173" s="29" t="s">
        <v>195</v>
      </c>
      <c r="I173" s="29"/>
      <c r="J173" s="30"/>
    </row>
    <row r="174" spans="4:4">
      <c r="D174" s="5" t="str">
        <f>"** If we have "&amp;D173&amp;" or more, we do not need to re-order."</f>
        <v>** If we have 25 or more, we do not need to re-order.</v>
      </c>
    </row>
    <row r="176" spans="1:6">
      <c r="A176" s="31" t="s">
        <v>196</v>
      </c>
      <c r="B176" s="32" t="s">
        <v>197</v>
      </c>
      <c r="C176" s="21"/>
      <c r="D176" s="22"/>
      <c r="F176" s="88" t="s">
        <v>198</v>
      </c>
    </row>
    <row r="177" spans="2:4">
      <c r="B177" s="33" t="s">
        <v>20</v>
      </c>
      <c r="C177" s="25"/>
      <c r="D177" s="26"/>
    </row>
    <row r="178" spans="2:4">
      <c r="B178" s="33" t="s">
        <v>199</v>
      </c>
      <c r="C178" s="25"/>
      <c r="D178" s="26"/>
    </row>
    <row r="179" spans="2:4">
      <c r="B179" s="34" t="s">
        <v>22</v>
      </c>
      <c r="C179" s="29"/>
      <c r="D179" s="30"/>
    </row>
    <row r="181" spans="2:3">
      <c r="B181" s="5" t="s">
        <v>200</v>
      </c>
      <c r="C181" s="58">
        <v>125700</v>
      </c>
    </row>
    <row r="182" spans="2:3">
      <c r="B182" s="59" t="s">
        <v>201</v>
      </c>
      <c r="C182" s="58">
        <v>12500</v>
      </c>
    </row>
    <row r="183" spans="2:3">
      <c r="B183" s="59" t="s">
        <v>202</v>
      </c>
      <c r="C183" s="58">
        <v>22000</v>
      </c>
    </row>
    <row r="184" spans="2:3">
      <c r="B184" s="59" t="s">
        <v>203</v>
      </c>
      <c r="C184" s="58">
        <v>11500</v>
      </c>
    </row>
    <row r="185" ht="15.75" spans="2:3">
      <c r="B185" s="60" t="s">
        <v>68</v>
      </c>
      <c r="C185" s="61">
        <v>69570</v>
      </c>
    </row>
    <row r="186" ht="15.75" spans="2:3">
      <c r="B186" s="62" t="s">
        <v>204</v>
      </c>
      <c r="C186" s="63">
        <f>C181-SUM(C182:C185)</f>
        <v>10130</v>
      </c>
    </row>
    <row r="187" ht="15.75"/>
  </sheetData>
  <sortState ref="B156:C158">
    <sortCondition ref="B156"/>
  </sortState>
  <pageMargins left="0.7" right="0.7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187"/>
  <sheetViews>
    <sheetView zoomScale="115" zoomScaleNormal="115" workbookViewId="0">
      <selection activeCell="A17" sqref="A17"/>
    </sheetView>
  </sheetViews>
  <sheetFormatPr defaultColWidth="9" defaultRowHeight="15"/>
  <cols>
    <col min="1" max="1" width="5.57142857142857" customWidth="1"/>
    <col min="2" max="2" width="21.5714285714286" customWidth="1"/>
    <col min="3" max="3" width="24.8571428571429" customWidth="1"/>
    <col min="4" max="4" width="21.5714285714286" customWidth="1"/>
    <col min="5" max="5" width="23.7142857142857" customWidth="1"/>
    <col min="6" max="6" width="19.5714285714286" customWidth="1"/>
    <col min="7" max="7" width="5.57142857142857" customWidth="1"/>
    <col min="8" max="8" width="31.8571428571429" customWidth="1"/>
    <col min="9" max="9" width="17.1428571428571" customWidth="1"/>
    <col min="10" max="10" width="21.2857142857143" customWidth="1"/>
    <col min="11" max="11" width="14" customWidth="1"/>
    <col min="12" max="12" width="53.4285714285714" customWidth="1"/>
    <col min="13" max="13" width="30.5714285714286" customWidth="1"/>
  </cols>
  <sheetData>
    <row r="1" spans="1:6">
      <c r="A1" s="19"/>
      <c r="B1" s="20" t="s">
        <v>6</v>
      </c>
      <c r="C1" s="21"/>
      <c r="D1" s="21"/>
      <c r="E1" s="21"/>
      <c r="F1" s="22"/>
    </row>
    <row r="2" spans="1:6">
      <c r="A2" s="23"/>
      <c r="B2" s="24" t="s">
        <v>7</v>
      </c>
      <c r="C2" s="25"/>
      <c r="D2" s="25"/>
      <c r="E2" s="25"/>
      <c r="F2" s="26"/>
    </row>
    <row r="3" spans="1:6">
      <c r="A3" s="23"/>
      <c r="B3" s="24" t="s">
        <v>8</v>
      </c>
      <c r="C3" s="25"/>
      <c r="D3" s="25"/>
      <c r="E3" s="25"/>
      <c r="F3" s="26"/>
    </row>
    <row r="4" spans="1:6">
      <c r="A4" s="23"/>
      <c r="B4" s="24" t="s">
        <v>9</v>
      </c>
      <c r="C4" s="25"/>
      <c r="D4" s="25"/>
      <c r="E4" s="25"/>
      <c r="F4" s="26"/>
    </row>
    <row r="5" spans="1:6">
      <c r="A5" s="23"/>
      <c r="B5" s="25"/>
      <c r="C5" s="25"/>
      <c r="D5" s="25"/>
      <c r="E5" s="25"/>
      <c r="F5" s="26"/>
    </row>
    <row r="6" spans="1:6">
      <c r="A6" s="23"/>
      <c r="B6" s="27" t="s">
        <v>10</v>
      </c>
      <c r="C6" s="25"/>
      <c r="D6" s="25"/>
      <c r="E6" s="25"/>
      <c r="F6" s="26"/>
    </row>
    <row r="7" spans="1:6">
      <c r="A7" s="23"/>
      <c r="B7" s="25" t="s">
        <v>11</v>
      </c>
      <c r="C7" s="25"/>
      <c r="D7" s="25"/>
      <c r="E7" s="25"/>
      <c r="F7" s="26"/>
    </row>
    <row r="8" spans="1:6">
      <c r="A8" s="23"/>
      <c r="B8" s="25" t="s">
        <v>12</v>
      </c>
      <c r="C8" s="25"/>
      <c r="D8" s="25"/>
      <c r="E8" s="25"/>
      <c r="F8" s="26"/>
    </row>
    <row r="9" spans="1:6">
      <c r="A9" s="23"/>
      <c r="B9" s="25" t="s">
        <v>13</v>
      </c>
      <c r="C9" s="25"/>
      <c r="D9" s="25"/>
      <c r="E9" s="25"/>
      <c r="F9" s="26"/>
    </row>
    <row r="10" spans="1:6">
      <c r="A10" s="23"/>
      <c r="B10" s="25" t="s">
        <v>14</v>
      </c>
      <c r="C10" s="25"/>
      <c r="D10" s="25"/>
      <c r="E10" s="25"/>
      <c r="F10" s="26"/>
    </row>
    <row r="11" spans="1:6">
      <c r="A11" s="23"/>
      <c r="B11" s="25" t="s">
        <v>15</v>
      </c>
      <c r="C11" s="25"/>
      <c r="D11" s="25"/>
      <c r="E11" s="25"/>
      <c r="F11" s="26"/>
    </row>
    <row r="12" spans="1:6">
      <c r="A12" s="23"/>
      <c r="B12" s="25" t="s">
        <v>16</v>
      </c>
      <c r="C12" s="25"/>
      <c r="D12" s="25"/>
      <c r="E12" s="25"/>
      <c r="F12" s="26"/>
    </row>
    <row r="13" spans="1:6">
      <c r="A13" s="23"/>
      <c r="B13" s="25" t="s">
        <v>17</v>
      </c>
      <c r="C13" s="25"/>
      <c r="D13" s="25"/>
      <c r="E13" s="25"/>
      <c r="F13" s="26"/>
    </row>
    <row r="14" spans="1:6">
      <c r="A14" s="28"/>
      <c r="B14" s="29" t="s">
        <v>18</v>
      </c>
      <c r="C14" s="29"/>
      <c r="D14" s="29"/>
      <c r="E14" s="29"/>
      <c r="F14" s="30"/>
    </row>
    <row r="17" spans="1:3">
      <c r="A17" s="31" t="s">
        <v>205</v>
      </c>
      <c r="B17" s="32" t="s">
        <v>19</v>
      </c>
      <c r="C17" s="22"/>
    </row>
    <row r="18" spans="1:3">
      <c r="A18" s="31"/>
      <c r="B18" s="33" t="s">
        <v>20</v>
      </c>
      <c r="C18" s="26"/>
    </row>
    <row r="19" spans="2:3">
      <c r="B19" s="33" t="s">
        <v>21</v>
      </c>
      <c r="C19" s="26"/>
    </row>
    <row r="20" spans="2:3">
      <c r="B20" s="34" t="s">
        <v>22</v>
      </c>
      <c r="C20" s="30"/>
    </row>
    <row r="22" spans="2:3">
      <c r="B22" s="35" t="s">
        <v>23</v>
      </c>
      <c r="C22" s="35" t="s">
        <v>24</v>
      </c>
    </row>
    <row r="23" spans="2:3">
      <c r="B23" s="36">
        <v>43038</v>
      </c>
      <c r="C23" s="5">
        <v>671</v>
      </c>
    </row>
    <row r="24" spans="2:3">
      <c r="B24" s="36">
        <v>43039</v>
      </c>
      <c r="C24" s="5">
        <v>374</v>
      </c>
    </row>
    <row r="25" spans="2:3">
      <c r="B25" s="36">
        <v>43040</v>
      </c>
      <c r="C25" s="5">
        <v>586</v>
      </c>
    </row>
    <row r="26" spans="2:3">
      <c r="B26" s="36">
        <v>43041</v>
      </c>
      <c r="C26" s="5">
        <v>637</v>
      </c>
    </row>
    <row r="27" spans="2:3">
      <c r="B27" s="36">
        <v>43042</v>
      </c>
      <c r="C27" s="5">
        <v>1007</v>
      </c>
    </row>
    <row r="28" spans="2:3">
      <c r="B28" s="36">
        <v>43043</v>
      </c>
      <c r="C28" s="5">
        <v>549</v>
      </c>
    </row>
    <row r="29" spans="2:3">
      <c r="B29" s="36">
        <v>43044</v>
      </c>
      <c r="C29" s="5">
        <v>556</v>
      </c>
    </row>
    <row r="30" spans="2:4">
      <c r="B30" s="36" t="s">
        <v>25</v>
      </c>
      <c r="C30" s="37">
        <f>SUM(C23:C29)</f>
        <v>4380</v>
      </c>
      <c r="D30" t="str">
        <f>IF(_xlfn.ISFORMULA(C30),_xlfn.FORMULATEXT(C30),"")</f>
        <v>=SUM(C23:C29)</v>
      </c>
    </row>
    <row r="32" spans="1:8">
      <c r="A32" s="31" t="s">
        <v>26</v>
      </c>
      <c r="B32" s="32" t="s">
        <v>27</v>
      </c>
      <c r="C32" s="22"/>
      <c r="G32" s="31" t="s">
        <v>28</v>
      </c>
      <c r="H32" s="31"/>
    </row>
    <row r="33" spans="1:8">
      <c r="A33" s="31"/>
      <c r="B33" s="33" t="s">
        <v>20</v>
      </c>
      <c r="C33" s="26"/>
      <c r="G33" s="85" t="s">
        <v>29</v>
      </c>
      <c r="H33" s="38" t="s">
        <v>30</v>
      </c>
    </row>
    <row r="34" spans="2:8">
      <c r="B34" s="33" t="s">
        <v>31</v>
      </c>
      <c r="C34" s="26"/>
      <c r="G34" s="86" t="s">
        <v>32</v>
      </c>
      <c r="H34" s="39" t="s">
        <v>33</v>
      </c>
    </row>
    <row r="35" spans="2:8">
      <c r="B35" s="34" t="s">
        <v>34</v>
      </c>
      <c r="C35" s="30"/>
      <c r="G35" s="86" t="s">
        <v>35</v>
      </c>
      <c r="H35" s="39" t="s">
        <v>36</v>
      </c>
    </row>
    <row r="36" spans="7:8">
      <c r="G36" s="86" t="s">
        <v>37</v>
      </c>
      <c r="H36" s="39" t="s">
        <v>38</v>
      </c>
    </row>
    <row r="37" spans="2:8">
      <c r="B37" s="35" t="s">
        <v>39</v>
      </c>
      <c r="C37" s="40">
        <v>13500</v>
      </c>
      <c r="E37" t="s">
        <v>40</v>
      </c>
      <c r="F37" s="31"/>
      <c r="G37" s="86" t="s">
        <v>41</v>
      </c>
      <c r="H37" s="39" t="s">
        <v>42</v>
      </c>
    </row>
    <row r="38" spans="2:8">
      <c r="B38" s="35" t="s">
        <v>43</v>
      </c>
      <c r="C38" s="13">
        <f>C37/12</f>
        <v>1125</v>
      </c>
      <c r="D38" t="str">
        <f>IF(_xlfn.ISFORMULA(C38),_xlfn.FORMULATEXT(C38),"")</f>
        <v>=C37/12</v>
      </c>
      <c r="E38" t="s">
        <v>44</v>
      </c>
      <c r="G38" s="87" t="s">
        <v>45</v>
      </c>
      <c r="H38" s="41" t="s">
        <v>46</v>
      </c>
    </row>
    <row r="39" spans="2:2">
      <c r="B39" s="42"/>
    </row>
    <row r="40" spans="1:4">
      <c r="A40" s="31" t="s">
        <v>47</v>
      </c>
      <c r="B40" s="32" t="s">
        <v>48</v>
      </c>
      <c r="C40" s="21"/>
      <c r="D40" s="22"/>
    </row>
    <row r="41" spans="2:4">
      <c r="B41" s="33" t="s">
        <v>20</v>
      </c>
      <c r="C41" s="25"/>
      <c r="D41" s="26"/>
    </row>
    <row r="42" spans="2:4">
      <c r="B42" s="33" t="s">
        <v>49</v>
      </c>
      <c r="C42" s="25"/>
      <c r="D42" s="26"/>
    </row>
    <row r="43" spans="2:4">
      <c r="B43" s="34" t="s">
        <v>50</v>
      </c>
      <c r="C43" s="29"/>
      <c r="D43" s="30"/>
    </row>
    <row r="44" spans="8:8">
      <c r="H44" s="42"/>
    </row>
    <row r="45" spans="2:6">
      <c r="B45" s="8" t="s">
        <v>51</v>
      </c>
      <c r="C45" s="8" t="s">
        <v>52</v>
      </c>
      <c r="D45" s="8" t="s">
        <v>53</v>
      </c>
      <c r="F45" s="43" t="s">
        <v>54</v>
      </c>
    </row>
    <row r="46" spans="2:6">
      <c r="B46" s="5" t="s">
        <v>55</v>
      </c>
      <c r="C46" s="11">
        <v>2830.34</v>
      </c>
      <c r="D46" s="18">
        <f>ROUND(C46*$F$46,2)</f>
        <v>474.08</v>
      </c>
      <c r="E46" t="str">
        <f>IF(_xlfn.ISFORMULA(D46),_xlfn.FORMULATEXT(D46),"")</f>
        <v>=ROUND(C46*$F$46,2)</v>
      </c>
      <c r="F46" s="10">
        <v>0.1675</v>
      </c>
    </row>
    <row r="47" spans="2:4">
      <c r="B47" s="5" t="s">
        <v>56</v>
      </c>
      <c r="C47" s="11">
        <v>2239.93</v>
      </c>
      <c r="D47" s="18">
        <f t="shared" ref="D47:D49" si="0">ROUND(C47*$F$46,2)</f>
        <v>375.19</v>
      </c>
    </row>
    <row r="48" spans="2:6">
      <c r="B48" s="5" t="s">
        <v>57</v>
      </c>
      <c r="C48" s="11">
        <v>2953.98</v>
      </c>
      <c r="D48" s="18">
        <f t="shared" si="0"/>
        <v>494.79</v>
      </c>
      <c r="F48" t="s">
        <v>58</v>
      </c>
    </row>
    <row r="49" spans="2:6">
      <c r="B49" s="5" t="s">
        <v>59</v>
      </c>
      <c r="C49" s="11">
        <v>2926.74</v>
      </c>
      <c r="D49" s="18">
        <f t="shared" si="0"/>
        <v>490.23</v>
      </c>
      <c r="F49" t="s">
        <v>44</v>
      </c>
    </row>
    <row r="50" spans="2:4">
      <c r="B50" s="44"/>
      <c r="C50" s="5" t="s">
        <v>25</v>
      </c>
      <c r="D50" s="45">
        <f>SUM(D46:D49)</f>
        <v>1834.29</v>
      </c>
    </row>
    <row r="52" spans="1:5">
      <c r="A52" s="31" t="s">
        <v>60</v>
      </c>
      <c r="B52" s="32" t="s">
        <v>61</v>
      </c>
      <c r="C52" s="21"/>
      <c r="D52" s="21"/>
      <c r="E52" s="22"/>
    </row>
    <row r="53" spans="2:5">
      <c r="B53" s="33" t="s">
        <v>20</v>
      </c>
      <c r="C53" s="25"/>
      <c r="D53" s="25"/>
      <c r="E53" s="26"/>
    </row>
    <row r="54" spans="2:5">
      <c r="B54" s="33" t="s">
        <v>62</v>
      </c>
      <c r="C54" s="25"/>
      <c r="D54" s="25"/>
      <c r="E54" s="26"/>
    </row>
    <row r="55" spans="2:5">
      <c r="B55" s="34" t="s">
        <v>63</v>
      </c>
      <c r="C55" s="29"/>
      <c r="D55" s="29"/>
      <c r="E55" s="30"/>
    </row>
    <row r="57" spans="2:6">
      <c r="B57" s="4" t="s">
        <v>64</v>
      </c>
      <c r="C57" s="4" t="s">
        <v>65</v>
      </c>
      <c r="D57" s="4" t="s">
        <v>66</v>
      </c>
      <c r="E57" s="4" t="s">
        <v>67</v>
      </c>
      <c r="F57" s="4" t="s">
        <v>68</v>
      </c>
    </row>
    <row r="58" spans="2:7">
      <c r="B58" s="5" t="s">
        <v>69</v>
      </c>
      <c r="C58" s="5">
        <v>114</v>
      </c>
      <c r="D58" s="5">
        <v>45</v>
      </c>
      <c r="E58" s="5">
        <v>10</v>
      </c>
      <c r="F58" s="6">
        <f>(C58-D58)*E58</f>
        <v>690</v>
      </c>
      <c r="G58" t="str">
        <f>IF(_xlfn.ISFORMULA(F58),_xlfn.FORMULATEXT(F58),"")</f>
        <v>=(C58-D58)*E58</v>
      </c>
    </row>
    <row r="59" spans="2:6">
      <c r="B59" s="5" t="s">
        <v>70</v>
      </c>
      <c r="C59" s="5">
        <v>146</v>
      </c>
      <c r="D59" s="5">
        <v>117</v>
      </c>
      <c r="E59" s="5">
        <v>20</v>
      </c>
      <c r="F59" s="6">
        <f t="shared" ref="F59:F62" si="1">(C59-D59)*E59</f>
        <v>580</v>
      </c>
    </row>
    <row r="60" spans="2:9">
      <c r="B60" s="5" t="s">
        <v>71</v>
      </c>
      <c r="C60" s="5">
        <v>108</v>
      </c>
      <c r="D60" s="5">
        <v>102</v>
      </c>
      <c r="E60" s="5">
        <v>15</v>
      </c>
      <c r="F60" s="6">
        <f t="shared" si="1"/>
        <v>90</v>
      </c>
      <c r="H60" s="32" t="s">
        <v>72</v>
      </c>
      <c r="I60" s="22"/>
    </row>
    <row r="61" spans="2:9">
      <c r="B61" s="5" t="s">
        <v>73</v>
      </c>
      <c r="C61" s="5">
        <v>61</v>
      </c>
      <c r="D61" s="5">
        <v>47</v>
      </c>
      <c r="E61" s="5">
        <v>10</v>
      </c>
      <c r="F61" s="6">
        <f t="shared" si="1"/>
        <v>140</v>
      </c>
      <c r="H61" s="46" t="s">
        <v>74</v>
      </c>
      <c r="I61" s="26"/>
    </row>
    <row r="62" spans="2:9">
      <c r="B62" s="5" t="s">
        <v>75</v>
      </c>
      <c r="C62" s="5">
        <v>54</v>
      </c>
      <c r="D62" s="5">
        <v>51</v>
      </c>
      <c r="E62" s="5">
        <v>12</v>
      </c>
      <c r="F62" s="6">
        <f t="shared" si="1"/>
        <v>36</v>
      </c>
      <c r="H62" s="46" t="s">
        <v>76</v>
      </c>
      <c r="I62" s="26"/>
    </row>
    <row r="63" spans="8:9">
      <c r="H63" s="46" t="s">
        <v>77</v>
      </c>
      <c r="I63" s="26"/>
    </row>
    <row r="64" spans="1:9">
      <c r="A64" s="31" t="s">
        <v>78</v>
      </c>
      <c r="B64" s="32" t="s">
        <v>79</v>
      </c>
      <c r="C64" s="21"/>
      <c r="D64" s="22"/>
      <c r="H64" s="47" t="s">
        <v>80</v>
      </c>
      <c r="I64" s="30"/>
    </row>
    <row r="65" spans="2:4">
      <c r="B65" s="33" t="s">
        <v>81</v>
      </c>
      <c r="C65" s="25"/>
      <c r="D65" s="26"/>
    </row>
    <row r="66" spans="2:4">
      <c r="B66" s="33" t="s">
        <v>82</v>
      </c>
      <c r="C66" s="25"/>
      <c r="D66" s="26"/>
    </row>
    <row r="67" spans="2:4">
      <c r="B67" s="34" t="s">
        <v>83</v>
      </c>
      <c r="C67" s="29"/>
      <c r="D67" s="30"/>
    </row>
    <row r="69" spans="2:6">
      <c r="B69" s="4" t="s">
        <v>64</v>
      </c>
      <c r="C69" s="4" t="s">
        <v>84</v>
      </c>
      <c r="D69" s="4" t="s">
        <v>85</v>
      </c>
      <c r="F69" s="31" t="s">
        <v>86</v>
      </c>
    </row>
    <row r="70" spans="2:6">
      <c r="B70" s="5" t="s">
        <v>69</v>
      </c>
      <c r="C70" s="5">
        <v>517231</v>
      </c>
      <c r="D70" s="6" t="str">
        <f>"Item # "&amp;C70</f>
        <v>Item # 517231</v>
      </c>
      <c r="E70" t="str">
        <f>IF(_xlfn.ISFORMULA(D70),_xlfn.FORMULATEXT(D70),"")</f>
        <v>="Item # "&amp;C70</v>
      </c>
      <c r="F70" t="s">
        <v>87</v>
      </c>
    </row>
    <row r="71" spans="2:6">
      <c r="B71" s="5" t="s">
        <v>70</v>
      </c>
      <c r="C71" s="5">
        <v>469890</v>
      </c>
      <c r="D71" s="6" t="str">
        <f t="shared" ref="D71:D74" si="2">"Item # "&amp;C71</f>
        <v>Item # 469890</v>
      </c>
      <c r="F71" t="s">
        <v>88</v>
      </c>
    </row>
    <row r="72" spans="2:6">
      <c r="B72" s="5" t="s">
        <v>71</v>
      </c>
      <c r="C72" s="5">
        <v>162451</v>
      </c>
      <c r="D72" s="6" t="str">
        <f t="shared" si="2"/>
        <v>Item # 162451</v>
      </c>
      <c r="F72" s="31" t="s">
        <v>89</v>
      </c>
    </row>
    <row r="73" spans="2:6">
      <c r="B73" s="5" t="s">
        <v>73</v>
      </c>
      <c r="C73" s="5">
        <v>114541</v>
      </c>
      <c r="D73" s="6" t="str">
        <f t="shared" si="2"/>
        <v>Item # 114541</v>
      </c>
      <c r="F73" t="s">
        <v>90</v>
      </c>
    </row>
    <row r="74" spans="2:4">
      <c r="B74" s="5" t="s">
        <v>75</v>
      </c>
      <c r="C74" s="5">
        <v>832593</v>
      </c>
      <c r="D74" s="6" t="str">
        <f t="shared" si="2"/>
        <v>Item # 832593</v>
      </c>
    </row>
    <row r="76" spans="1:4">
      <c r="A76" s="31" t="s">
        <v>91</v>
      </c>
      <c r="B76" s="32" t="s">
        <v>92</v>
      </c>
      <c r="C76" s="21"/>
      <c r="D76" s="22"/>
    </row>
    <row r="77" spans="2:4">
      <c r="B77" s="33" t="s">
        <v>81</v>
      </c>
      <c r="C77" s="25"/>
      <c r="D77" s="26"/>
    </row>
    <row r="78" spans="2:4">
      <c r="B78" s="33" t="s">
        <v>93</v>
      </c>
      <c r="C78" s="25"/>
      <c r="D78" s="26"/>
    </row>
    <row r="79" spans="2:4">
      <c r="B79" s="34" t="s">
        <v>94</v>
      </c>
      <c r="C79" s="29"/>
      <c r="D79" s="30"/>
    </row>
    <row r="81" spans="2:5">
      <c r="B81" s="4" t="s">
        <v>95</v>
      </c>
      <c r="C81" s="4" t="s">
        <v>96</v>
      </c>
      <c r="D81" s="4" t="s">
        <v>97</v>
      </c>
      <c r="E81" s="4" t="s">
        <v>98</v>
      </c>
    </row>
    <row r="82" spans="2:7">
      <c r="B82" s="5" t="s">
        <v>99</v>
      </c>
      <c r="C82" s="5" t="s">
        <v>100</v>
      </c>
      <c r="D82" s="6" t="str">
        <f>B82&amp;" "&amp;C82</f>
        <v>Jimmy Garza</v>
      </c>
      <c r="E82" s="6" t="str">
        <f>C82&amp;", "&amp;B82</f>
        <v>Garza, Jimmy</v>
      </c>
      <c r="F82" t="str">
        <f>IF(_xlfn.ISFORMULA(E82),_xlfn.FORMULATEXT(E82),"")</f>
        <v>=C82&amp;", "&amp;B82</v>
      </c>
      <c r="G82" t="s">
        <v>101</v>
      </c>
    </row>
    <row r="83" spans="2:7">
      <c r="B83" s="5" t="s">
        <v>102</v>
      </c>
      <c r="C83" s="5" t="s">
        <v>103</v>
      </c>
      <c r="D83" s="6" t="str">
        <f t="shared" ref="D83:D88" si="3">B83&amp;" "&amp;C83</f>
        <v>Emma Petrov</v>
      </c>
      <c r="E83" s="6" t="str">
        <f t="shared" ref="E83:E88" si="4">C83&amp;", "&amp;B83</f>
        <v>Petrov, Emma</v>
      </c>
      <c r="G83" t="s">
        <v>44</v>
      </c>
    </row>
    <row r="84" spans="2:5">
      <c r="B84" s="5" t="s">
        <v>104</v>
      </c>
      <c r="C84" s="5" t="s">
        <v>105</v>
      </c>
      <c r="D84" s="6" t="str">
        <f t="shared" si="3"/>
        <v>Rolando Robbins</v>
      </c>
      <c r="E84" s="6" t="str">
        <f t="shared" si="4"/>
        <v>Robbins, Rolando</v>
      </c>
    </row>
    <row r="85" spans="2:5">
      <c r="B85" s="5" t="s">
        <v>106</v>
      </c>
      <c r="C85" s="5" t="s">
        <v>107</v>
      </c>
      <c r="D85" s="6" t="str">
        <f t="shared" si="3"/>
        <v>Abdi Amari</v>
      </c>
      <c r="E85" s="6" t="str">
        <f t="shared" si="4"/>
        <v>Amari, Abdi</v>
      </c>
    </row>
    <row r="86" spans="2:5">
      <c r="B86" s="5" t="s">
        <v>108</v>
      </c>
      <c r="C86" s="5" t="s">
        <v>109</v>
      </c>
      <c r="D86" s="6" t="str">
        <f t="shared" si="3"/>
        <v>ShelaDown Cohen</v>
      </c>
      <c r="E86" s="6" t="str">
        <f t="shared" si="4"/>
        <v>Cohen, ShelaDown</v>
      </c>
    </row>
    <row r="87" spans="2:5">
      <c r="B87" s="5" t="s">
        <v>55</v>
      </c>
      <c r="C87" s="5" t="s">
        <v>110</v>
      </c>
      <c r="D87" s="6" t="str">
        <f t="shared" si="3"/>
        <v>Sioux Radcoolinator</v>
      </c>
      <c r="E87" s="6" t="str">
        <f t="shared" si="4"/>
        <v>Radcoolinator, Sioux</v>
      </c>
    </row>
    <row r="88" spans="2:5">
      <c r="B88" s="5" t="s">
        <v>111</v>
      </c>
      <c r="C88" s="5" t="s">
        <v>112</v>
      </c>
      <c r="D88" s="6" t="str">
        <f t="shared" si="3"/>
        <v>Miki Ito</v>
      </c>
      <c r="E88" s="6" t="str">
        <f t="shared" si="4"/>
        <v>Ito, Miki</v>
      </c>
    </row>
    <row r="90" spans="1:4">
      <c r="A90" s="31" t="s">
        <v>113</v>
      </c>
      <c r="B90" s="32" t="s">
        <v>114</v>
      </c>
      <c r="C90" s="21"/>
      <c r="D90" s="22"/>
    </row>
    <row r="91" spans="2:4">
      <c r="B91" s="33" t="s">
        <v>81</v>
      </c>
      <c r="C91" s="25"/>
      <c r="D91" s="26"/>
    </row>
    <row r="92" spans="2:4">
      <c r="B92" s="33" t="s">
        <v>21</v>
      </c>
      <c r="C92" s="25"/>
      <c r="D92" s="26"/>
    </row>
    <row r="93" spans="2:4">
      <c r="B93" s="34" t="s">
        <v>115</v>
      </c>
      <c r="C93" s="29"/>
      <c r="D93" s="30"/>
    </row>
    <row r="95" spans="2:5">
      <c r="B95" s="4" t="s">
        <v>116</v>
      </c>
      <c r="C95" s="4" t="s">
        <v>117</v>
      </c>
      <c r="E95" t="s">
        <v>118</v>
      </c>
    </row>
    <row r="96" spans="2:5">
      <c r="B96" s="5" t="s">
        <v>119</v>
      </c>
      <c r="C96" s="6" t="str">
        <f>RIGHT(B96,2)</f>
        <v>CO</v>
      </c>
      <c r="D96" t="str">
        <f>IF(_xlfn.ISFORMULA(C96),_xlfn.FORMULATEXT(C96),"")</f>
        <v>=RIGHT(B96,2)</v>
      </c>
      <c r="E96" t="s">
        <v>44</v>
      </c>
    </row>
    <row r="97" spans="2:3">
      <c r="B97" s="5" t="s">
        <v>120</v>
      </c>
      <c r="C97" s="6" t="str">
        <f t="shared" ref="C97:C100" si="5">RIGHT(B97,2)</f>
        <v>CA</v>
      </c>
    </row>
    <row r="98" spans="2:3">
      <c r="B98" s="5" t="s">
        <v>121</v>
      </c>
      <c r="C98" s="6" t="str">
        <f t="shared" si="5"/>
        <v>WA</v>
      </c>
    </row>
    <row r="99" spans="2:3">
      <c r="B99" s="5" t="s">
        <v>122</v>
      </c>
      <c r="C99" s="6" t="str">
        <f t="shared" si="5"/>
        <v>CA</v>
      </c>
    </row>
    <row r="100" spans="2:3">
      <c r="B100" s="5" t="s">
        <v>123</v>
      </c>
      <c r="C100" s="6" t="str">
        <f t="shared" si="5"/>
        <v>CO</v>
      </c>
    </row>
    <row r="102" spans="1:4">
      <c r="A102" s="31" t="s">
        <v>124</v>
      </c>
      <c r="B102" s="32" t="s">
        <v>125</v>
      </c>
      <c r="C102" s="21"/>
      <c r="D102" s="22"/>
    </row>
    <row r="103" spans="2:4">
      <c r="B103" s="33" t="s">
        <v>81</v>
      </c>
      <c r="C103" s="25"/>
      <c r="D103" s="26"/>
    </row>
    <row r="104" spans="2:4">
      <c r="B104" s="33" t="s">
        <v>21</v>
      </c>
      <c r="C104" s="25"/>
      <c r="D104" s="26"/>
    </row>
    <row r="105" spans="2:4">
      <c r="B105" s="34" t="s">
        <v>115</v>
      </c>
      <c r="C105" s="29"/>
      <c r="D105" s="30"/>
    </row>
    <row r="107" spans="2:3">
      <c r="B107" s="4" t="s">
        <v>116</v>
      </c>
      <c r="C107" s="4" t="s">
        <v>126</v>
      </c>
    </row>
    <row r="108" spans="2:5">
      <c r="B108" s="5" t="s">
        <v>127</v>
      </c>
      <c r="C108" s="6" t="str">
        <f>LEFT(B108,6)</f>
        <v>517231</v>
      </c>
      <c r="D108" t="str">
        <f>IF(_xlfn.ISFORMULA(C108),_xlfn.FORMULATEXT(C108),"")</f>
        <v>=LEFT(B108,6)</v>
      </c>
      <c r="E108" t="s">
        <v>128</v>
      </c>
    </row>
    <row r="109" spans="2:5">
      <c r="B109" s="5" t="s">
        <v>129</v>
      </c>
      <c r="C109" s="6" t="str">
        <f t="shared" ref="C109:C112" si="6">LEFT(B109,6)</f>
        <v>469890</v>
      </c>
      <c r="E109" t="s">
        <v>44</v>
      </c>
    </row>
    <row r="110" spans="2:3">
      <c r="B110" s="5" t="s">
        <v>130</v>
      </c>
      <c r="C110" s="6" t="str">
        <f t="shared" si="6"/>
        <v>162451</v>
      </c>
    </row>
    <row r="111" spans="2:3">
      <c r="B111" s="5" t="s">
        <v>131</v>
      </c>
      <c r="C111" s="6" t="str">
        <f t="shared" si="6"/>
        <v>114541</v>
      </c>
    </row>
    <row r="112" spans="2:3">
      <c r="B112" s="5" t="s">
        <v>132</v>
      </c>
      <c r="C112" s="6" t="str">
        <f t="shared" si="6"/>
        <v>832593</v>
      </c>
    </row>
    <row r="115" spans="1:4">
      <c r="A115" s="31" t="s">
        <v>133</v>
      </c>
      <c r="B115" s="32" t="s">
        <v>134</v>
      </c>
      <c r="C115" s="21"/>
      <c r="D115" s="22"/>
    </row>
    <row r="116" spans="2:4">
      <c r="B116" s="33" t="s">
        <v>135</v>
      </c>
      <c r="C116" s="25"/>
      <c r="D116" s="26"/>
    </row>
    <row r="117" spans="2:4">
      <c r="B117" s="33" t="s">
        <v>136</v>
      </c>
      <c r="C117" s="25"/>
      <c r="D117" s="26"/>
    </row>
    <row r="118" spans="2:4">
      <c r="B118" s="34" t="s">
        <v>137</v>
      </c>
      <c r="C118" s="29"/>
      <c r="D118" s="30"/>
    </row>
    <row r="119" spans="7:11">
      <c r="G119" s="31" t="s">
        <v>138</v>
      </c>
      <c r="H119" s="31"/>
      <c r="I119" s="31"/>
      <c r="J119" s="31"/>
      <c r="K119" s="31"/>
    </row>
    <row r="120" spans="2:11">
      <c r="B120" s="8" t="s">
        <v>139</v>
      </c>
      <c r="C120" s="8" t="s">
        <v>140</v>
      </c>
      <c r="G120" s="85" t="s">
        <v>141</v>
      </c>
      <c r="H120" s="48" t="s">
        <v>142</v>
      </c>
      <c r="I120" s="21"/>
      <c r="J120" s="21"/>
      <c r="K120" s="22"/>
    </row>
    <row r="121" spans="2:11">
      <c r="B121" s="10">
        <v>35.74</v>
      </c>
      <c r="C121" s="10">
        <v>35.74</v>
      </c>
      <c r="G121" s="86" t="s">
        <v>143</v>
      </c>
      <c r="H121" s="49" t="s">
        <v>144</v>
      </c>
      <c r="I121" s="25"/>
      <c r="J121" s="25"/>
      <c r="K121" s="26"/>
    </row>
    <row r="122" spans="2:11">
      <c r="B122" s="10">
        <v>73.61</v>
      </c>
      <c r="C122" s="10">
        <v>73.61</v>
      </c>
      <c r="G122" s="86" t="s">
        <v>145</v>
      </c>
      <c r="H122" s="49" t="s">
        <v>146</v>
      </c>
      <c r="I122" s="25"/>
      <c r="J122" s="25"/>
      <c r="K122" s="26"/>
    </row>
    <row r="123" spans="2:11">
      <c r="B123" s="10">
        <v>113.08</v>
      </c>
      <c r="C123" s="10">
        <v>113.08</v>
      </c>
      <c r="G123" s="86" t="s">
        <v>147</v>
      </c>
      <c r="H123" s="49" t="s">
        <v>148</v>
      </c>
      <c r="I123" s="25"/>
      <c r="J123" s="25"/>
      <c r="K123" s="26"/>
    </row>
    <row r="124" spans="2:11">
      <c r="B124" s="10">
        <v>100.5</v>
      </c>
      <c r="C124" s="10">
        <v>100.5</v>
      </c>
      <c r="G124" s="86" t="s">
        <v>149</v>
      </c>
      <c r="H124" s="49" t="s">
        <v>150</v>
      </c>
      <c r="I124" s="25"/>
      <c r="J124" s="25"/>
      <c r="K124" s="26"/>
    </row>
    <row r="125" spans="2:11">
      <c r="B125" s="10">
        <v>17.7</v>
      </c>
      <c r="C125" s="10">
        <v>17.7</v>
      </c>
      <c r="G125" s="87" t="s">
        <v>151</v>
      </c>
      <c r="H125" s="50" t="s">
        <v>152</v>
      </c>
      <c r="I125" s="29"/>
      <c r="J125" s="29"/>
      <c r="K125" s="30"/>
    </row>
    <row r="126" ht="15.75" spans="2:5">
      <c r="B126" s="51">
        <v>107.38</v>
      </c>
      <c r="C126" s="51">
        <v>107.38</v>
      </c>
      <c r="E126" s="8" t="s">
        <v>153</v>
      </c>
    </row>
    <row r="127" ht="15.75" spans="2:6">
      <c r="B127" s="52">
        <f t="shared" ref="B127:C127" si="7">SUM(B121:B126)</f>
        <v>448.01</v>
      </c>
      <c r="C127" s="53">
        <f t="shared" si="7"/>
        <v>448.01</v>
      </c>
      <c r="E127" s="6" t="b">
        <f>B127=C127</f>
        <v>1</v>
      </c>
      <c r="F127" t="str">
        <f>IF(_xlfn.ISFORMULA(E127),_xlfn.FORMULATEXT(E127),"")</f>
        <v>=B127=C127</v>
      </c>
    </row>
    <row r="128" ht="15.75"/>
    <row r="129" spans="1:4">
      <c r="A129" s="31" t="s">
        <v>154</v>
      </c>
      <c r="B129" s="32" t="s">
        <v>155</v>
      </c>
      <c r="C129" s="21"/>
      <c r="D129" s="22"/>
    </row>
    <row r="130" spans="2:4">
      <c r="B130" s="33" t="s">
        <v>135</v>
      </c>
      <c r="C130" s="25"/>
      <c r="D130" s="26"/>
    </row>
    <row r="131" spans="2:4">
      <c r="B131" s="33" t="s">
        <v>156</v>
      </c>
      <c r="C131" s="25"/>
      <c r="D131" s="26"/>
    </row>
    <row r="132" spans="2:4">
      <c r="B132" s="34" t="s">
        <v>157</v>
      </c>
      <c r="C132" s="29"/>
      <c r="D132" s="30"/>
    </row>
    <row r="134" spans="2:6">
      <c r="B134" s="8" t="s">
        <v>51</v>
      </c>
      <c r="C134" s="8" t="s">
        <v>158</v>
      </c>
      <c r="D134" s="8" t="s">
        <v>159</v>
      </c>
      <c r="F134" s="16" t="s">
        <v>160</v>
      </c>
    </row>
    <row r="135" spans="2:6">
      <c r="B135" s="10" t="s">
        <v>161</v>
      </c>
      <c r="C135" s="11">
        <v>55000</v>
      </c>
      <c r="D135" s="6" t="b">
        <f>C135&gt;=$F$135</f>
        <v>1</v>
      </c>
      <c r="E135" t="str">
        <f>IF(_xlfn.ISFORMULA(D135),_xlfn.FORMULATEXT(D135),"")</f>
        <v>=C135&gt;=$F$135</v>
      </c>
      <c r="F135" s="11">
        <v>55000</v>
      </c>
    </row>
    <row r="136" spans="2:4">
      <c r="B136" s="10" t="s">
        <v>162</v>
      </c>
      <c r="C136" s="11">
        <v>41197.98</v>
      </c>
      <c r="D136" s="6" t="b">
        <f t="shared" ref="D136:D140" si="8">C136&gt;=$F$135</f>
        <v>0</v>
      </c>
    </row>
    <row r="137" spans="2:10">
      <c r="B137" s="10" t="s">
        <v>163</v>
      </c>
      <c r="C137" s="11">
        <v>74558.65</v>
      </c>
      <c r="D137" s="6" t="b">
        <f t="shared" si="8"/>
        <v>1</v>
      </c>
      <c r="F137" s="31" t="s">
        <v>138</v>
      </c>
      <c r="G137" s="31"/>
      <c r="H137" s="31"/>
      <c r="I137" s="31"/>
      <c r="J137" s="31"/>
    </row>
    <row r="138" spans="2:10">
      <c r="B138" s="17" t="s">
        <v>164</v>
      </c>
      <c r="C138" s="11">
        <v>53741.33</v>
      </c>
      <c r="D138" s="6" t="b">
        <f t="shared" si="8"/>
        <v>0</v>
      </c>
      <c r="F138" s="85" t="s">
        <v>141</v>
      </c>
      <c r="G138" s="48" t="s">
        <v>142</v>
      </c>
      <c r="H138" s="21"/>
      <c r="I138" s="21"/>
      <c r="J138" s="22"/>
    </row>
    <row r="139" spans="2:10">
      <c r="B139" s="10" t="s">
        <v>165</v>
      </c>
      <c r="C139" s="11">
        <v>37251.06</v>
      </c>
      <c r="D139" s="6" t="b">
        <f t="shared" si="8"/>
        <v>0</v>
      </c>
      <c r="F139" s="86" t="s">
        <v>143</v>
      </c>
      <c r="G139" s="49" t="s">
        <v>144</v>
      </c>
      <c r="H139" s="25"/>
      <c r="I139" s="25"/>
      <c r="J139" s="26"/>
    </row>
    <row r="140" spans="2:10">
      <c r="B140" s="10" t="s">
        <v>166</v>
      </c>
      <c r="C140" s="11">
        <v>54999.99</v>
      </c>
      <c r="D140" s="6" t="b">
        <f t="shared" si="8"/>
        <v>0</v>
      </c>
      <c r="F140" s="86" t="s">
        <v>145</v>
      </c>
      <c r="G140" s="49" t="s">
        <v>146</v>
      </c>
      <c r="H140" s="25"/>
      <c r="I140" s="25"/>
      <c r="J140" s="26"/>
    </row>
    <row r="141" spans="6:10">
      <c r="F141" s="86" t="s">
        <v>147</v>
      </c>
      <c r="G141" s="49" t="s">
        <v>148</v>
      </c>
      <c r="H141" s="25"/>
      <c r="I141" s="25"/>
      <c r="J141" s="26"/>
    </row>
    <row r="142" spans="1:10">
      <c r="A142" s="31" t="s">
        <v>167</v>
      </c>
      <c r="B142" s="32" t="s">
        <v>168</v>
      </c>
      <c r="C142" s="21"/>
      <c r="D142" s="22"/>
      <c r="F142" s="86" t="s">
        <v>149</v>
      </c>
      <c r="G142" s="49" t="s">
        <v>150</v>
      </c>
      <c r="H142" s="25"/>
      <c r="I142" s="25"/>
      <c r="J142" s="26"/>
    </row>
    <row r="143" spans="2:10">
      <c r="B143" s="33" t="s">
        <v>20</v>
      </c>
      <c r="C143" s="25"/>
      <c r="D143" s="26"/>
      <c r="F143" s="87" t="s">
        <v>151</v>
      </c>
      <c r="G143" s="50" t="s">
        <v>152</v>
      </c>
      <c r="H143" s="29"/>
      <c r="I143" s="29"/>
      <c r="J143" s="30"/>
    </row>
    <row r="144" spans="2:4">
      <c r="B144" s="33" t="s">
        <v>169</v>
      </c>
      <c r="C144" s="25"/>
      <c r="D144" s="26"/>
    </row>
    <row r="145" spans="2:6">
      <c r="B145" s="34" t="s">
        <v>170</v>
      </c>
      <c r="C145" s="29"/>
      <c r="D145" s="30"/>
      <c r="F145" s="54" t="s">
        <v>171</v>
      </c>
    </row>
    <row r="146" spans="6:6">
      <c r="F146" s="54" t="s">
        <v>172</v>
      </c>
    </row>
    <row r="147" spans="2:3">
      <c r="B147" s="8" t="s">
        <v>64</v>
      </c>
      <c r="C147" s="8" t="s">
        <v>158</v>
      </c>
    </row>
    <row r="148" spans="2:3">
      <c r="B148" s="10" t="s">
        <v>70</v>
      </c>
      <c r="C148" s="11">
        <v>43</v>
      </c>
    </row>
    <row r="149" spans="2:3">
      <c r="B149" s="10" t="s">
        <v>75</v>
      </c>
      <c r="C149" s="11">
        <v>23</v>
      </c>
    </row>
    <row r="150" spans="2:3">
      <c r="B150" s="10" t="s">
        <v>75</v>
      </c>
      <c r="C150" s="11">
        <v>23</v>
      </c>
    </row>
    <row r="151" spans="2:3">
      <c r="B151" s="17" t="s">
        <v>70</v>
      </c>
      <c r="C151" s="11">
        <v>43</v>
      </c>
    </row>
    <row r="152" spans="2:3">
      <c r="B152" s="10" t="s">
        <v>69</v>
      </c>
      <c r="C152" s="11">
        <v>19.95</v>
      </c>
    </row>
    <row r="153" spans="2:3">
      <c r="B153" s="10" t="s">
        <v>70</v>
      </c>
      <c r="C153" s="11">
        <v>43</v>
      </c>
    </row>
    <row r="155" spans="2:3">
      <c r="B155" s="8" t="s">
        <v>64</v>
      </c>
      <c r="C155" s="8" t="s">
        <v>173</v>
      </c>
    </row>
    <row r="156" spans="2:4">
      <c r="B156" s="10" t="s">
        <v>69</v>
      </c>
      <c r="C156" s="6">
        <f>COUNTIFS($B$148:$B$153,B156)</f>
        <v>1</v>
      </c>
      <c r="D156" t="str">
        <f>IF(_xlfn.ISFORMULA(C156),_xlfn.FORMULATEXT(C156),"")</f>
        <v>=COUNTIFS($B$148:$B$153,B156)</v>
      </c>
    </row>
    <row r="157" spans="2:3">
      <c r="B157" s="10" t="s">
        <v>70</v>
      </c>
      <c r="C157" s="6">
        <f t="shared" ref="C157:C158" si="9">COUNTIFS($B$148:$B$153,B157)</f>
        <v>3</v>
      </c>
    </row>
    <row r="158" spans="2:3">
      <c r="B158" s="10" t="s">
        <v>75</v>
      </c>
      <c r="C158" s="6">
        <f t="shared" si="9"/>
        <v>2</v>
      </c>
    </row>
    <row r="160" spans="1:10">
      <c r="A160" s="31" t="s">
        <v>174</v>
      </c>
      <c r="B160" s="32" t="s">
        <v>175</v>
      </c>
      <c r="C160" s="21"/>
      <c r="D160" s="22"/>
      <c r="G160" s="19">
        <v>1</v>
      </c>
      <c r="H160" s="21" t="s">
        <v>176</v>
      </c>
      <c r="I160" s="21"/>
      <c r="J160" s="22"/>
    </row>
    <row r="161" spans="2:10">
      <c r="B161" s="33" t="s">
        <v>135</v>
      </c>
      <c r="C161" s="25"/>
      <c r="D161" s="26"/>
      <c r="G161" s="55">
        <v>2</v>
      </c>
      <c r="H161" s="49" t="s">
        <v>177</v>
      </c>
      <c r="I161" s="49"/>
      <c r="J161" s="26"/>
    </row>
    <row r="162" spans="2:10">
      <c r="B162" s="33" t="s">
        <v>178</v>
      </c>
      <c r="C162" s="25"/>
      <c r="D162" s="26"/>
      <c r="G162" s="23"/>
      <c r="H162" s="56" t="s">
        <v>179</v>
      </c>
      <c r="I162" s="25"/>
      <c r="J162" s="26"/>
    </row>
    <row r="163" spans="2:10">
      <c r="B163" s="34" t="s">
        <v>180</v>
      </c>
      <c r="C163" s="29"/>
      <c r="D163" s="30"/>
      <c r="G163" s="23"/>
      <c r="H163" s="56" t="s">
        <v>181</v>
      </c>
      <c r="I163" s="25"/>
      <c r="J163" s="26"/>
    </row>
    <row r="164" spans="7:10">
      <c r="G164" s="23">
        <v>3</v>
      </c>
      <c r="H164" s="25" t="s">
        <v>182</v>
      </c>
      <c r="I164" s="25"/>
      <c r="J164" s="26"/>
    </row>
    <row r="165" spans="2:10">
      <c r="B165" s="4" t="s">
        <v>65</v>
      </c>
      <c r="C165" s="4" t="s">
        <v>183</v>
      </c>
      <c r="D165" s="4" t="s">
        <v>184</v>
      </c>
      <c r="E165" s="4" t="s">
        <v>185</v>
      </c>
      <c r="G165" s="23"/>
      <c r="H165" s="56" t="s">
        <v>186</v>
      </c>
      <c r="I165" s="25"/>
      <c r="J165" s="26"/>
    </row>
    <row r="166" spans="2:10">
      <c r="B166" s="5">
        <v>114</v>
      </c>
      <c r="C166" s="5">
        <v>45</v>
      </c>
      <c r="D166" s="6">
        <f>B166-C166</f>
        <v>69</v>
      </c>
      <c r="E166" s="6" t="b">
        <f>$D$173&gt;B166-C166</f>
        <v>0</v>
      </c>
      <c r="F166" t="str">
        <f>IF(_xlfn.ISFORMULA(E166),_xlfn.FORMULATEXT(E166),"")</f>
        <v>=$D$173&gt;B166-C166</v>
      </c>
      <c r="G166" s="23"/>
      <c r="H166" s="56" t="s">
        <v>187</v>
      </c>
      <c r="I166" s="25"/>
      <c r="J166" s="26"/>
    </row>
    <row r="167" spans="2:10">
      <c r="B167" s="5">
        <v>146</v>
      </c>
      <c r="C167" s="5">
        <v>121</v>
      </c>
      <c r="D167" s="6">
        <f t="shared" ref="D167:D170" si="10">B167-C167</f>
        <v>25</v>
      </c>
      <c r="E167" s="6" t="b">
        <f t="shared" ref="E167:E170" si="11">$D$173&gt;B167-C167</f>
        <v>0</v>
      </c>
      <c r="G167" s="23">
        <v>4</v>
      </c>
      <c r="H167" s="25" t="s">
        <v>188</v>
      </c>
      <c r="I167" s="25"/>
      <c r="J167" s="26"/>
    </row>
    <row r="168" spans="2:10">
      <c r="B168" s="5">
        <v>108</v>
      </c>
      <c r="C168" s="5">
        <v>102</v>
      </c>
      <c r="D168" s="6">
        <f t="shared" si="10"/>
        <v>6</v>
      </c>
      <c r="E168" s="6" t="b">
        <f t="shared" si="11"/>
        <v>1</v>
      </c>
      <c r="G168" s="23">
        <v>5</v>
      </c>
      <c r="H168" s="25" t="s">
        <v>189</v>
      </c>
      <c r="I168" s="25"/>
      <c r="J168" s="26"/>
    </row>
    <row r="169" spans="2:10">
      <c r="B169" s="5">
        <v>61</v>
      </c>
      <c r="C169" s="5">
        <v>21</v>
      </c>
      <c r="D169" s="6">
        <f t="shared" si="10"/>
        <v>40</v>
      </c>
      <c r="E169" s="6" t="b">
        <f t="shared" si="11"/>
        <v>0</v>
      </c>
      <c r="G169" s="23"/>
      <c r="H169" s="56" t="s">
        <v>190</v>
      </c>
      <c r="I169" s="25"/>
      <c r="J169" s="26"/>
    </row>
    <row r="170" spans="2:10">
      <c r="B170" s="5">
        <v>54</v>
      </c>
      <c r="C170" s="5">
        <v>51</v>
      </c>
      <c r="D170" s="6">
        <f t="shared" si="10"/>
        <v>3</v>
      </c>
      <c r="E170" s="6" t="b">
        <f t="shared" si="11"/>
        <v>1</v>
      </c>
      <c r="G170" s="23">
        <v>6</v>
      </c>
      <c r="H170" s="25" t="s">
        <v>191</v>
      </c>
      <c r="I170" s="25"/>
      <c r="J170" s="26"/>
    </row>
    <row r="171" spans="7:10">
      <c r="G171" s="23">
        <v>7</v>
      </c>
      <c r="H171" s="25" t="s">
        <v>192</v>
      </c>
      <c r="I171" s="25"/>
      <c r="J171" s="26"/>
    </row>
    <row r="172" spans="4:10">
      <c r="D172" s="57" t="s">
        <v>193</v>
      </c>
      <c r="G172" s="23">
        <v>8</v>
      </c>
      <c r="H172" s="25" t="s">
        <v>194</v>
      </c>
      <c r="I172" s="25"/>
      <c r="J172" s="26"/>
    </row>
    <row r="173" spans="4:10">
      <c r="D173" s="5">
        <v>25</v>
      </c>
      <c r="G173" s="28">
        <v>9</v>
      </c>
      <c r="H173" s="29" t="s">
        <v>195</v>
      </c>
      <c r="I173" s="29"/>
      <c r="J173" s="30"/>
    </row>
    <row r="174" spans="4:4">
      <c r="D174" s="5" t="str">
        <f>"** If we have "&amp;D173&amp;" or more, we do not need to re-order."</f>
        <v>** If we have 25 or more, we do not need to re-order.</v>
      </c>
    </row>
    <row r="176" spans="1:4">
      <c r="A176" s="31" t="s">
        <v>196</v>
      </c>
      <c r="B176" s="32" t="s">
        <v>197</v>
      </c>
      <c r="C176" s="21"/>
      <c r="D176" s="22"/>
    </row>
    <row r="177" spans="2:4">
      <c r="B177" s="33" t="s">
        <v>20</v>
      </c>
      <c r="C177" s="25"/>
      <c r="D177" s="26"/>
    </row>
    <row r="178" spans="2:4">
      <c r="B178" s="33" t="s">
        <v>199</v>
      </c>
      <c r="C178" s="25"/>
      <c r="D178" s="26"/>
    </row>
    <row r="179" spans="2:4">
      <c r="B179" s="34" t="s">
        <v>22</v>
      </c>
      <c r="C179" s="29"/>
      <c r="D179" s="30"/>
    </row>
    <row r="181" spans="2:3">
      <c r="B181" s="5" t="s">
        <v>200</v>
      </c>
      <c r="C181" s="58">
        <v>125700</v>
      </c>
    </row>
    <row r="182" spans="2:3">
      <c r="B182" s="59" t="s">
        <v>201</v>
      </c>
      <c r="C182" s="58">
        <v>12500</v>
      </c>
    </row>
    <row r="183" spans="2:3">
      <c r="B183" s="59" t="s">
        <v>202</v>
      </c>
      <c r="C183" s="58">
        <v>22000</v>
      </c>
    </row>
    <row r="184" spans="2:3">
      <c r="B184" s="59" t="s">
        <v>203</v>
      </c>
      <c r="C184" s="58">
        <v>11500</v>
      </c>
    </row>
    <row r="185" ht="15.75" spans="2:3">
      <c r="B185" s="60" t="s">
        <v>68</v>
      </c>
      <c r="C185" s="61">
        <v>69570</v>
      </c>
    </row>
    <row r="186" ht="15.75" spans="2:4">
      <c r="B186" s="62" t="s">
        <v>204</v>
      </c>
      <c r="C186" s="63">
        <f>C181-SUM(C182:C185)</f>
        <v>10130</v>
      </c>
      <c r="D186" t="str">
        <f>IF(_xlfn.ISFORMULA(C186),_xlfn.FORMULATEXT(C186),"")</f>
        <v>=C181-SUM(C182:C185)</v>
      </c>
    </row>
    <row r="187" ht="15.75"/>
  </sheetData>
  <pageMargins left="0.7" right="0.7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E10"/>
  <sheetViews>
    <sheetView workbookViewId="0">
      <selection activeCell="F12" sqref="F12"/>
    </sheetView>
  </sheetViews>
  <sheetFormatPr defaultColWidth="9" defaultRowHeight="15" outlineLevelCol="4"/>
  <cols>
    <col min="1" max="1" width="21.5714285714286" customWidth="1"/>
    <col min="2" max="2" width="24.8571428571429" customWidth="1"/>
    <col min="3" max="3" width="21.5714285714286" customWidth="1"/>
    <col min="4" max="4" width="23.7142857142857" customWidth="1"/>
    <col min="5" max="5" width="19.5714285714286" customWidth="1"/>
    <col min="6" max="6" width="5.57142857142857" customWidth="1"/>
    <col min="7" max="7" width="31.8571428571429" customWidth="1"/>
  </cols>
  <sheetData>
    <row r="1" spans="1:4">
      <c r="A1" s="1" t="s">
        <v>206</v>
      </c>
      <c r="B1" s="2"/>
      <c r="C1" s="2"/>
      <c r="D1" s="3"/>
    </row>
    <row r="3" spans="1:5">
      <c r="A3" s="4" t="s">
        <v>64</v>
      </c>
      <c r="B3" s="4" t="s">
        <v>65</v>
      </c>
      <c r="C3" s="4" t="s">
        <v>66</v>
      </c>
      <c r="D3" s="4" t="s">
        <v>67</v>
      </c>
      <c r="E3" s="4" t="s">
        <v>68</v>
      </c>
    </row>
    <row r="4" spans="1:5">
      <c r="A4" s="5" t="s">
        <v>69</v>
      </c>
      <c r="B4" s="5">
        <v>42</v>
      </c>
      <c r="C4" s="5">
        <v>0</v>
      </c>
      <c r="D4" s="5">
        <v>12.33</v>
      </c>
      <c r="E4" s="14">
        <f>(B4-C4)*D4</f>
        <v>517.86</v>
      </c>
    </row>
    <row r="5" spans="1:5">
      <c r="A5" s="5" t="s">
        <v>70</v>
      </c>
      <c r="B5" s="5">
        <v>239</v>
      </c>
      <c r="C5" s="5">
        <v>178</v>
      </c>
      <c r="D5" s="5">
        <v>21.37</v>
      </c>
      <c r="E5" s="14">
        <f>(B5-C5)*D5</f>
        <v>1303.57</v>
      </c>
    </row>
    <row r="6" spans="1:5">
      <c r="A6" s="5" t="s">
        <v>71</v>
      </c>
      <c r="B6" s="5">
        <v>174</v>
      </c>
      <c r="C6" s="5">
        <v>81</v>
      </c>
      <c r="D6" s="5">
        <v>14.87</v>
      </c>
      <c r="E6" s="14">
        <f>(B6-C6)*D6</f>
        <v>1382.91</v>
      </c>
    </row>
    <row r="7" spans="1:5">
      <c r="A7" s="5" t="s">
        <v>73</v>
      </c>
      <c r="B7" s="5">
        <v>136</v>
      </c>
      <c r="C7" s="5">
        <v>42</v>
      </c>
      <c r="D7" s="5">
        <v>13.65</v>
      </c>
      <c r="E7" s="14">
        <f>(B7-C7)*D7</f>
        <v>1283.1</v>
      </c>
    </row>
    <row r="8" spans="1:5">
      <c r="A8" s="5" t="s">
        <v>75</v>
      </c>
      <c r="B8" s="5">
        <v>194</v>
      </c>
      <c r="C8" s="5">
        <v>96</v>
      </c>
      <c r="D8" s="5">
        <v>12.82</v>
      </c>
      <c r="E8" s="14">
        <f>(B8-C8)*D8</f>
        <v>1256.36</v>
      </c>
    </row>
    <row r="10" spans="4:4">
      <c r="D10" t="s">
        <v>207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E10"/>
  <sheetViews>
    <sheetView workbookViewId="0">
      <selection activeCell="E4" sqref="E4"/>
    </sheetView>
  </sheetViews>
  <sheetFormatPr defaultColWidth="9" defaultRowHeight="15" outlineLevelCol="4"/>
  <cols>
    <col min="1" max="1" width="21.5714285714286" customWidth="1"/>
    <col min="2" max="2" width="24.8571428571429" customWidth="1"/>
    <col min="3" max="3" width="21.5714285714286" customWidth="1"/>
    <col min="4" max="4" width="23.7142857142857" customWidth="1"/>
    <col min="5" max="5" width="19.5714285714286" customWidth="1"/>
    <col min="6" max="6" width="5.57142857142857" customWidth="1"/>
    <col min="7" max="7" width="31.8571428571429" customWidth="1"/>
  </cols>
  <sheetData>
    <row r="1" spans="1:4">
      <c r="A1" s="1" t="s">
        <v>206</v>
      </c>
      <c r="B1" s="2"/>
      <c r="C1" s="2"/>
      <c r="D1" s="3"/>
    </row>
    <row r="3" spans="1:5">
      <c r="A3" s="4" t="s">
        <v>64</v>
      </c>
      <c r="B3" s="4" t="s">
        <v>65</v>
      </c>
      <c r="C3" s="4" t="s">
        <v>66</v>
      </c>
      <c r="D3" s="4" t="s">
        <v>67</v>
      </c>
      <c r="E3" s="4" t="s">
        <v>68</v>
      </c>
    </row>
    <row r="4" spans="1:5">
      <c r="A4" s="5" t="s">
        <v>69</v>
      </c>
      <c r="B4" s="5">
        <v>42</v>
      </c>
      <c r="C4" s="5">
        <v>0</v>
      </c>
      <c r="D4" s="5">
        <v>12.33</v>
      </c>
      <c r="E4" s="13">
        <f t="shared" ref="E4:E8" si="0">(B4-C4)*D4</f>
        <v>517.86</v>
      </c>
    </row>
    <row r="5" spans="1:5">
      <c r="A5" s="5" t="s">
        <v>70</v>
      </c>
      <c r="B5" s="5">
        <v>239</v>
      </c>
      <c r="C5" s="5">
        <v>178</v>
      </c>
      <c r="D5" s="5">
        <v>21.37</v>
      </c>
      <c r="E5" s="13">
        <f t="shared" si="0"/>
        <v>1303.57</v>
      </c>
    </row>
    <row r="6" spans="1:5">
      <c r="A6" s="5" t="s">
        <v>71</v>
      </c>
      <c r="B6" s="5">
        <v>174</v>
      </c>
      <c r="C6" s="5">
        <v>81</v>
      </c>
      <c r="D6" s="5">
        <v>14.87</v>
      </c>
      <c r="E6" s="13">
        <f t="shared" si="0"/>
        <v>1382.91</v>
      </c>
    </row>
    <row r="7" spans="1:5">
      <c r="A7" s="5" t="s">
        <v>73</v>
      </c>
      <c r="B7" s="5">
        <v>136</v>
      </c>
      <c r="C7" s="5">
        <v>42</v>
      </c>
      <c r="D7" s="5">
        <v>13.65</v>
      </c>
      <c r="E7" s="13">
        <f t="shared" si="0"/>
        <v>1283.1</v>
      </c>
    </row>
    <row r="8" spans="1:5">
      <c r="A8" s="5" t="s">
        <v>75</v>
      </c>
      <c r="B8" s="5">
        <v>194</v>
      </c>
      <c r="C8" s="5">
        <v>96</v>
      </c>
      <c r="D8" s="5">
        <v>12.82</v>
      </c>
      <c r="E8" s="13">
        <f t="shared" si="0"/>
        <v>1256.36</v>
      </c>
    </row>
    <row r="10" spans="4:4">
      <c r="D10" t="s">
        <v>207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E53"/>
  <sheetViews>
    <sheetView topLeftCell="A4" workbookViewId="0">
      <selection activeCell="C4" sqref="C4:C53"/>
    </sheetView>
  </sheetViews>
  <sheetFormatPr defaultColWidth="9" defaultRowHeight="15" outlineLevelCol="4"/>
  <cols>
    <col min="1" max="2" width="14.5714285714286" customWidth="1"/>
    <col min="3" max="3" width="17.7142857142857" customWidth="1"/>
  </cols>
  <sheetData>
    <row r="1" spans="1:5">
      <c r="A1" s="1" t="s">
        <v>208</v>
      </c>
      <c r="B1" s="2"/>
      <c r="C1" s="2"/>
      <c r="D1" s="2"/>
      <c r="E1" s="3"/>
    </row>
    <row r="3" spans="1:3">
      <c r="A3" s="4" t="s">
        <v>209</v>
      </c>
      <c r="B3" s="4" t="s">
        <v>210</v>
      </c>
      <c r="C3" s="4" t="s">
        <v>211</v>
      </c>
    </row>
    <row r="4" spans="1:3">
      <c r="A4" s="5" t="s">
        <v>212</v>
      </c>
      <c r="B4" s="5" t="s">
        <v>213</v>
      </c>
      <c r="C4" s="6" t="str">
        <f>A4&amp;" "&amp;B4</f>
        <v>Coralie Land</v>
      </c>
    </row>
    <row r="5" spans="1:3">
      <c r="A5" s="5" t="s">
        <v>214</v>
      </c>
      <c r="B5" s="5" t="s">
        <v>215</v>
      </c>
      <c r="C5" s="6" t="str">
        <f t="shared" ref="C5:C36" si="0">A5&amp;" "&amp;B5</f>
        <v>Anjanette Pickett</v>
      </c>
    </row>
    <row r="6" spans="1:3">
      <c r="A6" s="5" t="s">
        <v>216</v>
      </c>
      <c r="B6" s="5" t="s">
        <v>217</v>
      </c>
      <c r="C6" s="6" t="str">
        <f t="shared" si="0"/>
        <v>Mellie Berube</v>
      </c>
    </row>
    <row r="7" spans="1:3">
      <c r="A7" s="5" t="s">
        <v>218</v>
      </c>
      <c r="B7" s="5" t="s">
        <v>219</v>
      </c>
      <c r="C7" s="6" t="str">
        <f t="shared" si="0"/>
        <v>Georgene Haight</v>
      </c>
    </row>
    <row r="8" spans="1:3">
      <c r="A8" s="5" t="s">
        <v>220</v>
      </c>
      <c r="B8" s="5" t="s">
        <v>221</v>
      </c>
      <c r="C8" s="6" t="str">
        <f t="shared" si="0"/>
        <v>Billi Smalls</v>
      </c>
    </row>
    <row r="9" spans="1:3">
      <c r="A9" s="5" t="s">
        <v>222</v>
      </c>
      <c r="B9" s="5" t="s">
        <v>223</v>
      </c>
      <c r="C9" s="6" t="str">
        <f t="shared" si="0"/>
        <v>Jacqulyn Jefferies</v>
      </c>
    </row>
    <row r="10" spans="1:3">
      <c r="A10" s="5" t="s">
        <v>224</v>
      </c>
      <c r="B10" s="5" t="s">
        <v>225</v>
      </c>
      <c r="C10" s="6" t="str">
        <f t="shared" si="0"/>
        <v>Nathanial Church</v>
      </c>
    </row>
    <row r="11" spans="1:3">
      <c r="A11" s="5" t="s">
        <v>226</v>
      </c>
      <c r="B11" s="5" t="s">
        <v>227</v>
      </c>
      <c r="C11" s="6" t="str">
        <f t="shared" si="0"/>
        <v>Leonia Otero</v>
      </c>
    </row>
    <row r="12" spans="1:3">
      <c r="A12" s="5" t="s">
        <v>228</v>
      </c>
      <c r="B12" s="5" t="s">
        <v>229</v>
      </c>
      <c r="C12" s="6" t="str">
        <f t="shared" si="0"/>
        <v>Marquita Vance</v>
      </c>
    </row>
    <row r="13" spans="1:3">
      <c r="A13" s="5" t="s">
        <v>230</v>
      </c>
      <c r="B13" s="5" t="s">
        <v>231</v>
      </c>
      <c r="C13" s="6" t="str">
        <f t="shared" si="0"/>
        <v>Mireille Laney</v>
      </c>
    </row>
    <row r="14" spans="1:3">
      <c r="A14" s="5" t="s">
        <v>232</v>
      </c>
      <c r="B14" s="5" t="s">
        <v>233</v>
      </c>
      <c r="C14" s="6" t="str">
        <f t="shared" si="0"/>
        <v>Haydee Peralta</v>
      </c>
    </row>
    <row r="15" spans="1:3">
      <c r="A15" s="5" t="s">
        <v>234</v>
      </c>
      <c r="B15" s="5" t="s">
        <v>235</v>
      </c>
      <c r="C15" s="6" t="str">
        <f t="shared" si="0"/>
        <v>Jenelle Messer</v>
      </c>
    </row>
    <row r="16" spans="1:3">
      <c r="A16" s="5" t="s">
        <v>236</v>
      </c>
      <c r="B16" s="5" t="s">
        <v>237</v>
      </c>
      <c r="C16" s="6" t="str">
        <f t="shared" si="0"/>
        <v>Mason Mclean</v>
      </c>
    </row>
    <row r="17" spans="1:3">
      <c r="A17" s="5" t="s">
        <v>238</v>
      </c>
      <c r="B17" s="5" t="s">
        <v>239</v>
      </c>
      <c r="C17" s="6" t="str">
        <f t="shared" si="0"/>
        <v>Lidia Wylie</v>
      </c>
    </row>
    <row r="18" spans="1:3">
      <c r="A18" s="5" t="s">
        <v>240</v>
      </c>
      <c r="B18" s="5" t="s">
        <v>241</v>
      </c>
      <c r="C18" s="6" t="str">
        <f t="shared" si="0"/>
        <v>Darius Blackman</v>
      </c>
    </row>
    <row r="19" spans="1:3">
      <c r="A19" s="5" t="s">
        <v>242</v>
      </c>
      <c r="B19" s="5" t="s">
        <v>243</v>
      </c>
      <c r="C19" s="6" t="str">
        <f t="shared" si="0"/>
        <v>Lilli Benefield</v>
      </c>
    </row>
    <row r="20" spans="1:3">
      <c r="A20" s="5" t="s">
        <v>244</v>
      </c>
      <c r="B20" s="5" t="s">
        <v>245</v>
      </c>
      <c r="C20" s="6" t="str">
        <f t="shared" si="0"/>
        <v>Trisha Warden</v>
      </c>
    </row>
    <row r="21" spans="1:3">
      <c r="A21" s="5" t="s">
        <v>246</v>
      </c>
      <c r="B21" s="5" t="s">
        <v>247</v>
      </c>
      <c r="C21" s="6" t="str">
        <f t="shared" si="0"/>
        <v>Alexander Dugas</v>
      </c>
    </row>
    <row r="22" spans="1:3">
      <c r="A22" s="5" t="s">
        <v>248</v>
      </c>
      <c r="B22" s="5" t="s">
        <v>249</v>
      </c>
      <c r="C22" s="6" t="str">
        <f t="shared" si="0"/>
        <v>Imogene South</v>
      </c>
    </row>
    <row r="23" spans="1:3">
      <c r="A23" s="5" t="s">
        <v>250</v>
      </c>
      <c r="B23" s="5" t="s">
        <v>251</v>
      </c>
      <c r="C23" s="6" t="str">
        <f t="shared" si="0"/>
        <v>Margarito Tinsley</v>
      </c>
    </row>
    <row r="24" spans="1:3">
      <c r="A24" s="5" t="s">
        <v>252</v>
      </c>
      <c r="B24" s="5" t="s">
        <v>253</v>
      </c>
      <c r="C24" s="6" t="str">
        <f t="shared" si="0"/>
        <v>Augustina Williford</v>
      </c>
    </row>
    <row r="25" spans="1:3">
      <c r="A25" s="5" t="s">
        <v>254</v>
      </c>
      <c r="B25" s="5" t="s">
        <v>255</v>
      </c>
      <c r="C25" s="6" t="str">
        <f t="shared" si="0"/>
        <v>Nanette Pettit</v>
      </c>
    </row>
    <row r="26" spans="1:3">
      <c r="A26" s="5" t="s">
        <v>256</v>
      </c>
      <c r="B26" s="5" t="s">
        <v>257</v>
      </c>
      <c r="C26" s="6" t="str">
        <f t="shared" si="0"/>
        <v>Brianne Yoo</v>
      </c>
    </row>
    <row r="27" spans="1:3">
      <c r="A27" s="5" t="s">
        <v>258</v>
      </c>
      <c r="B27" s="5" t="s">
        <v>259</v>
      </c>
      <c r="C27" s="6" t="str">
        <f t="shared" si="0"/>
        <v>Angla Zhang</v>
      </c>
    </row>
    <row r="28" spans="1:3">
      <c r="A28" s="5" t="s">
        <v>260</v>
      </c>
      <c r="B28" s="5" t="s">
        <v>261</v>
      </c>
      <c r="C28" s="6" t="str">
        <f t="shared" si="0"/>
        <v>Kayleigh Towns</v>
      </c>
    </row>
    <row r="29" spans="1:3">
      <c r="A29" s="5" t="s">
        <v>262</v>
      </c>
      <c r="B29" s="5" t="s">
        <v>263</v>
      </c>
      <c r="C29" s="6" t="str">
        <f t="shared" si="0"/>
        <v>Calista Shelby</v>
      </c>
    </row>
    <row r="30" spans="1:3">
      <c r="A30" s="5" t="s">
        <v>264</v>
      </c>
      <c r="B30" s="5" t="s">
        <v>265</v>
      </c>
      <c r="C30" s="6" t="str">
        <f t="shared" si="0"/>
        <v>Freddie Houghton</v>
      </c>
    </row>
    <row r="31" spans="1:3">
      <c r="A31" s="5" t="s">
        <v>266</v>
      </c>
      <c r="B31" s="5" t="s">
        <v>267</v>
      </c>
      <c r="C31" s="6" t="str">
        <f t="shared" si="0"/>
        <v>Bernardina Mireles</v>
      </c>
    </row>
    <row r="32" spans="1:3">
      <c r="A32" s="5" t="s">
        <v>268</v>
      </c>
      <c r="B32" s="5" t="s">
        <v>269</v>
      </c>
      <c r="C32" s="6" t="str">
        <f t="shared" si="0"/>
        <v>Odell Doran</v>
      </c>
    </row>
    <row r="33" spans="1:3">
      <c r="A33" s="5" t="s">
        <v>270</v>
      </c>
      <c r="B33" s="5" t="s">
        <v>271</v>
      </c>
      <c r="C33" s="6" t="str">
        <f t="shared" si="0"/>
        <v>Darlena Blodgett</v>
      </c>
    </row>
    <row r="34" spans="1:3">
      <c r="A34" s="5" t="s">
        <v>272</v>
      </c>
      <c r="B34" s="5" t="s">
        <v>273</v>
      </c>
      <c r="C34" s="6" t="str">
        <f t="shared" si="0"/>
        <v>Von Spence</v>
      </c>
    </row>
    <row r="35" spans="1:3">
      <c r="A35" s="5" t="s">
        <v>274</v>
      </c>
      <c r="B35" s="5" t="s">
        <v>275</v>
      </c>
      <c r="C35" s="6" t="str">
        <f t="shared" si="0"/>
        <v>Mike Redmon</v>
      </c>
    </row>
    <row r="36" spans="1:3">
      <c r="A36" s="5" t="s">
        <v>276</v>
      </c>
      <c r="B36" s="5" t="s">
        <v>277</v>
      </c>
      <c r="C36" s="6" t="str">
        <f t="shared" si="0"/>
        <v>Bea Burnette</v>
      </c>
    </row>
    <row r="37" spans="1:3">
      <c r="A37" s="5" t="s">
        <v>278</v>
      </c>
      <c r="B37" s="5" t="s">
        <v>279</v>
      </c>
      <c r="C37" s="6" t="str">
        <f t="shared" ref="C37:C53" si="1">A37&amp;" "&amp;B37</f>
        <v>Lesley Crider</v>
      </c>
    </row>
    <row r="38" spans="1:3">
      <c r="A38" s="5" t="s">
        <v>280</v>
      </c>
      <c r="B38" s="5" t="s">
        <v>281</v>
      </c>
      <c r="C38" s="6" t="str">
        <f t="shared" si="1"/>
        <v>Jerilyn Muse</v>
      </c>
    </row>
    <row r="39" spans="1:3">
      <c r="A39" s="5" t="s">
        <v>282</v>
      </c>
      <c r="B39" s="5" t="s">
        <v>283</v>
      </c>
      <c r="C39" s="6" t="str">
        <f t="shared" si="1"/>
        <v>Mary Teague</v>
      </c>
    </row>
    <row r="40" spans="1:3">
      <c r="A40" s="5" t="s">
        <v>284</v>
      </c>
      <c r="B40" s="5" t="s">
        <v>285</v>
      </c>
      <c r="C40" s="6" t="str">
        <f t="shared" si="1"/>
        <v>Elenor Toro</v>
      </c>
    </row>
    <row r="41" spans="1:3">
      <c r="A41" s="5" t="s">
        <v>286</v>
      </c>
      <c r="B41" s="5" t="s">
        <v>287</v>
      </c>
      <c r="C41" s="6" t="str">
        <f t="shared" si="1"/>
        <v>Zella Crutcher</v>
      </c>
    </row>
    <row r="42" spans="1:3">
      <c r="A42" s="5" t="s">
        <v>288</v>
      </c>
      <c r="B42" s="5" t="s">
        <v>289</v>
      </c>
      <c r="C42" s="6" t="str">
        <f t="shared" si="1"/>
        <v>Carmelita Myrick</v>
      </c>
    </row>
    <row r="43" spans="1:3">
      <c r="A43" s="5" t="s">
        <v>290</v>
      </c>
      <c r="B43" s="5" t="s">
        <v>291</v>
      </c>
      <c r="C43" s="6" t="str">
        <f t="shared" si="1"/>
        <v>Jone Reece</v>
      </c>
    </row>
    <row r="44" spans="1:3">
      <c r="A44" s="5" t="s">
        <v>292</v>
      </c>
      <c r="B44" s="5" t="s">
        <v>293</v>
      </c>
      <c r="C44" s="6" t="str">
        <f t="shared" si="1"/>
        <v>Sharita Mcgregor</v>
      </c>
    </row>
    <row r="45" spans="1:3">
      <c r="A45" s="5" t="s">
        <v>294</v>
      </c>
      <c r="B45" s="5" t="s">
        <v>295</v>
      </c>
      <c r="C45" s="6" t="str">
        <f t="shared" si="1"/>
        <v>Lesa Dillon</v>
      </c>
    </row>
    <row r="46" spans="1:3">
      <c r="A46" s="5" t="s">
        <v>296</v>
      </c>
      <c r="B46" s="5" t="s">
        <v>297</v>
      </c>
      <c r="C46" s="6" t="str">
        <f t="shared" si="1"/>
        <v>Nicolle Campos</v>
      </c>
    </row>
    <row r="47" spans="1:3">
      <c r="A47" s="5" t="s">
        <v>298</v>
      </c>
      <c r="B47" s="5" t="s">
        <v>299</v>
      </c>
      <c r="C47" s="6" t="str">
        <f t="shared" si="1"/>
        <v>Angeline Snow</v>
      </c>
    </row>
    <row r="48" spans="1:3">
      <c r="A48" s="5" t="s">
        <v>300</v>
      </c>
      <c r="B48" s="5" t="s">
        <v>301</v>
      </c>
      <c r="C48" s="6" t="str">
        <f t="shared" si="1"/>
        <v>Cornelia Dehart</v>
      </c>
    </row>
    <row r="49" spans="1:3">
      <c r="A49" s="5" t="s">
        <v>302</v>
      </c>
      <c r="B49" s="5" t="s">
        <v>303</v>
      </c>
      <c r="C49" s="6" t="str">
        <f t="shared" si="1"/>
        <v>Jerrod Zavala</v>
      </c>
    </row>
    <row r="50" spans="1:3">
      <c r="A50" s="5" t="s">
        <v>304</v>
      </c>
      <c r="B50" s="5" t="s">
        <v>305</v>
      </c>
      <c r="C50" s="6" t="str">
        <f t="shared" si="1"/>
        <v>Donnie Manley</v>
      </c>
    </row>
    <row r="51" spans="1:3">
      <c r="A51" s="5" t="s">
        <v>306</v>
      </c>
      <c r="B51" s="5" t="s">
        <v>307</v>
      </c>
      <c r="C51" s="6" t="str">
        <f t="shared" si="1"/>
        <v>Selma Pridgen</v>
      </c>
    </row>
    <row r="52" spans="1:3">
      <c r="A52" s="5" t="s">
        <v>308</v>
      </c>
      <c r="B52" s="5" t="s">
        <v>309</v>
      </c>
      <c r="C52" s="6" t="str">
        <f t="shared" si="1"/>
        <v>Lia Homan</v>
      </c>
    </row>
    <row r="53" spans="1:3">
      <c r="A53" s="5" t="s">
        <v>310</v>
      </c>
      <c r="B53" s="5" t="s">
        <v>311</v>
      </c>
      <c r="C53" s="6" t="str">
        <f t="shared" si="1"/>
        <v>Merissa Earl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E53"/>
  <sheetViews>
    <sheetView workbookViewId="0">
      <selection activeCell="C4" sqref="C4"/>
    </sheetView>
  </sheetViews>
  <sheetFormatPr defaultColWidth="9" defaultRowHeight="15" outlineLevelCol="4"/>
  <cols>
    <col min="1" max="2" width="14.5714285714286" customWidth="1"/>
    <col min="3" max="3" width="20.4285714285714" customWidth="1"/>
  </cols>
  <sheetData>
    <row r="1" spans="1:5">
      <c r="A1" s="1" t="s">
        <v>208</v>
      </c>
      <c r="B1" s="2"/>
      <c r="C1" s="2"/>
      <c r="D1" s="2"/>
      <c r="E1" s="3"/>
    </row>
    <row r="3" spans="1:3">
      <c r="A3" s="4" t="s">
        <v>209</v>
      </c>
      <c r="B3" s="4" t="s">
        <v>210</v>
      </c>
      <c r="C3" s="4" t="s">
        <v>211</v>
      </c>
    </row>
    <row r="4" spans="1:3">
      <c r="A4" s="5" t="s">
        <v>212</v>
      </c>
      <c r="B4" s="5" t="s">
        <v>213</v>
      </c>
      <c r="C4" s="6" t="str">
        <f>A4&amp;" "&amp;B4</f>
        <v>Coralie Land</v>
      </c>
    </row>
    <row r="5" spans="1:3">
      <c r="A5" s="5" t="s">
        <v>214</v>
      </c>
      <c r="B5" s="5" t="s">
        <v>215</v>
      </c>
      <c r="C5" s="6" t="str">
        <f t="shared" ref="C5:C53" si="0">A5&amp;" "&amp;B5</f>
        <v>Anjanette Pickett</v>
      </c>
    </row>
    <row r="6" spans="1:3">
      <c r="A6" s="5" t="s">
        <v>216</v>
      </c>
      <c r="B6" s="5" t="s">
        <v>217</v>
      </c>
      <c r="C6" s="6" t="str">
        <f t="shared" si="0"/>
        <v>Mellie Berube</v>
      </c>
    </row>
    <row r="7" spans="1:3">
      <c r="A7" s="5" t="s">
        <v>218</v>
      </c>
      <c r="B7" s="5" t="s">
        <v>219</v>
      </c>
      <c r="C7" s="6" t="str">
        <f t="shared" si="0"/>
        <v>Georgene Haight</v>
      </c>
    </row>
    <row r="8" spans="1:3">
      <c r="A8" s="5" t="s">
        <v>220</v>
      </c>
      <c r="B8" s="5" t="s">
        <v>221</v>
      </c>
      <c r="C8" s="6" t="str">
        <f t="shared" si="0"/>
        <v>Billi Smalls</v>
      </c>
    </row>
    <row r="9" spans="1:3">
      <c r="A9" s="5" t="s">
        <v>222</v>
      </c>
      <c r="B9" s="5" t="s">
        <v>223</v>
      </c>
      <c r="C9" s="6" t="str">
        <f t="shared" si="0"/>
        <v>Jacqulyn Jefferies</v>
      </c>
    </row>
    <row r="10" spans="1:3">
      <c r="A10" s="5" t="s">
        <v>224</v>
      </c>
      <c r="B10" s="5" t="s">
        <v>225</v>
      </c>
      <c r="C10" s="6" t="str">
        <f t="shared" si="0"/>
        <v>Nathanial Church</v>
      </c>
    </row>
    <row r="11" spans="1:3">
      <c r="A11" s="5" t="s">
        <v>226</v>
      </c>
      <c r="B11" s="5" t="s">
        <v>227</v>
      </c>
      <c r="C11" s="6" t="str">
        <f t="shared" si="0"/>
        <v>Leonia Otero</v>
      </c>
    </row>
    <row r="12" spans="1:3">
      <c r="A12" s="5" t="s">
        <v>228</v>
      </c>
      <c r="B12" s="5" t="s">
        <v>229</v>
      </c>
      <c r="C12" s="6" t="str">
        <f t="shared" si="0"/>
        <v>Marquita Vance</v>
      </c>
    </row>
    <row r="13" spans="1:3">
      <c r="A13" s="5" t="s">
        <v>230</v>
      </c>
      <c r="B13" s="5" t="s">
        <v>231</v>
      </c>
      <c r="C13" s="6" t="str">
        <f t="shared" si="0"/>
        <v>Mireille Laney</v>
      </c>
    </row>
    <row r="14" spans="1:3">
      <c r="A14" s="5" t="s">
        <v>232</v>
      </c>
      <c r="B14" s="5" t="s">
        <v>233</v>
      </c>
      <c r="C14" s="6" t="str">
        <f t="shared" si="0"/>
        <v>Haydee Peralta</v>
      </c>
    </row>
    <row r="15" spans="1:3">
      <c r="A15" s="5" t="s">
        <v>234</v>
      </c>
      <c r="B15" s="5" t="s">
        <v>235</v>
      </c>
      <c r="C15" s="6" t="str">
        <f t="shared" si="0"/>
        <v>Jenelle Messer</v>
      </c>
    </row>
    <row r="16" spans="1:3">
      <c r="A16" s="5" t="s">
        <v>236</v>
      </c>
      <c r="B16" s="5" t="s">
        <v>237</v>
      </c>
      <c r="C16" s="6" t="str">
        <f t="shared" si="0"/>
        <v>Mason Mclean</v>
      </c>
    </row>
    <row r="17" spans="1:3">
      <c r="A17" s="5" t="s">
        <v>238</v>
      </c>
      <c r="B17" s="5" t="s">
        <v>239</v>
      </c>
      <c r="C17" s="6" t="str">
        <f t="shared" si="0"/>
        <v>Lidia Wylie</v>
      </c>
    </row>
    <row r="18" spans="1:3">
      <c r="A18" s="5" t="s">
        <v>240</v>
      </c>
      <c r="B18" s="5" t="s">
        <v>241</v>
      </c>
      <c r="C18" s="6" t="str">
        <f t="shared" si="0"/>
        <v>Darius Blackman</v>
      </c>
    </row>
    <row r="19" spans="1:3">
      <c r="A19" s="5" t="s">
        <v>242</v>
      </c>
      <c r="B19" s="5" t="s">
        <v>243</v>
      </c>
      <c r="C19" s="6" t="str">
        <f t="shared" si="0"/>
        <v>Lilli Benefield</v>
      </c>
    </row>
    <row r="20" spans="1:3">
      <c r="A20" s="5" t="s">
        <v>244</v>
      </c>
      <c r="B20" s="5" t="s">
        <v>245</v>
      </c>
      <c r="C20" s="6" t="str">
        <f t="shared" si="0"/>
        <v>Trisha Warden</v>
      </c>
    </row>
    <row r="21" spans="1:3">
      <c r="A21" s="5" t="s">
        <v>246</v>
      </c>
      <c r="B21" s="5" t="s">
        <v>247</v>
      </c>
      <c r="C21" s="6" t="str">
        <f t="shared" si="0"/>
        <v>Alexander Dugas</v>
      </c>
    </row>
    <row r="22" spans="1:3">
      <c r="A22" s="5" t="s">
        <v>248</v>
      </c>
      <c r="B22" s="5" t="s">
        <v>249</v>
      </c>
      <c r="C22" s="6" t="str">
        <f t="shared" si="0"/>
        <v>Imogene South</v>
      </c>
    </row>
    <row r="23" spans="1:3">
      <c r="A23" s="5" t="s">
        <v>250</v>
      </c>
      <c r="B23" s="5" t="s">
        <v>251</v>
      </c>
      <c r="C23" s="6" t="str">
        <f t="shared" si="0"/>
        <v>Margarito Tinsley</v>
      </c>
    </row>
    <row r="24" spans="1:3">
      <c r="A24" s="5" t="s">
        <v>252</v>
      </c>
      <c r="B24" s="5" t="s">
        <v>253</v>
      </c>
      <c r="C24" s="6" t="str">
        <f t="shared" si="0"/>
        <v>Augustina Williford</v>
      </c>
    </row>
    <row r="25" spans="1:3">
      <c r="A25" s="5" t="s">
        <v>254</v>
      </c>
      <c r="B25" s="5" t="s">
        <v>255</v>
      </c>
      <c r="C25" s="6" t="str">
        <f t="shared" si="0"/>
        <v>Nanette Pettit</v>
      </c>
    </row>
    <row r="26" spans="1:3">
      <c r="A26" s="5" t="s">
        <v>256</v>
      </c>
      <c r="B26" s="5" t="s">
        <v>257</v>
      </c>
      <c r="C26" s="6" t="str">
        <f t="shared" si="0"/>
        <v>Brianne Yoo</v>
      </c>
    </row>
    <row r="27" spans="1:3">
      <c r="A27" s="5" t="s">
        <v>258</v>
      </c>
      <c r="B27" s="5" t="s">
        <v>259</v>
      </c>
      <c r="C27" s="6" t="str">
        <f t="shared" si="0"/>
        <v>Angla Zhang</v>
      </c>
    </row>
    <row r="28" spans="1:3">
      <c r="A28" s="5" t="s">
        <v>260</v>
      </c>
      <c r="B28" s="5" t="s">
        <v>261</v>
      </c>
      <c r="C28" s="6" t="str">
        <f t="shared" si="0"/>
        <v>Kayleigh Towns</v>
      </c>
    </row>
    <row r="29" spans="1:3">
      <c r="A29" s="5" t="s">
        <v>262</v>
      </c>
      <c r="B29" s="5" t="s">
        <v>263</v>
      </c>
      <c r="C29" s="6" t="str">
        <f t="shared" si="0"/>
        <v>Calista Shelby</v>
      </c>
    </row>
    <row r="30" spans="1:3">
      <c r="A30" s="5" t="s">
        <v>264</v>
      </c>
      <c r="B30" s="5" t="s">
        <v>265</v>
      </c>
      <c r="C30" s="6" t="str">
        <f t="shared" si="0"/>
        <v>Freddie Houghton</v>
      </c>
    </row>
    <row r="31" spans="1:3">
      <c r="A31" s="5" t="s">
        <v>266</v>
      </c>
      <c r="B31" s="5" t="s">
        <v>267</v>
      </c>
      <c r="C31" s="6" t="str">
        <f t="shared" si="0"/>
        <v>Bernardina Mireles</v>
      </c>
    </row>
    <row r="32" spans="1:3">
      <c r="A32" s="5" t="s">
        <v>268</v>
      </c>
      <c r="B32" s="5" t="s">
        <v>269</v>
      </c>
      <c r="C32" s="6" t="str">
        <f t="shared" si="0"/>
        <v>Odell Doran</v>
      </c>
    </row>
    <row r="33" spans="1:3">
      <c r="A33" s="5" t="s">
        <v>270</v>
      </c>
      <c r="B33" s="5" t="s">
        <v>271</v>
      </c>
      <c r="C33" s="6" t="str">
        <f t="shared" si="0"/>
        <v>Darlena Blodgett</v>
      </c>
    </row>
    <row r="34" spans="1:3">
      <c r="A34" s="5" t="s">
        <v>272</v>
      </c>
      <c r="B34" s="5" t="s">
        <v>273</v>
      </c>
      <c r="C34" s="6" t="str">
        <f t="shared" si="0"/>
        <v>Von Spence</v>
      </c>
    </row>
    <row r="35" spans="1:3">
      <c r="A35" s="5" t="s">
        <v>274</v>
      </c>
      <c r="B35" s="5" t="s">
        <v>275</v>
      </c>
      <c r="C35" s="6" t="str">
        <f t="shared" si="0"/>
        <v>Mike Redmon</v>
      </c>
    </row>
    <row r="36" spans="1:3">
      <c r="A36" s="5" t="s">
        <v>276</v>
      </c>
      <c r="B36" s="5" t="s">
        <v>277</v>
      </c>
      <c r="C36" s="6" t="str">
        <f t="shared" si="0"/>
        <v>Bea Burnette</v>
      </c>
    </row>
    <row r="37" spans="1:3">
      <c r="A37" s="5" t="s">
        <v>278</v>
      </c>
      <c r="B37" s="5" t="s">
        <v>279</v>
      </c>
      <c r="C37" s="6" t="str">
        <f t="shared" si="0"/>
        <v>Lesley Crider</v>
      </c>
    </row>
    <row r="38" spans="1:3">
      <c r="A38" s="5" t="s">
        <v>280</v>
      </c>
      <c r="B38" s="5" t="s">
        <v>281</v>
      </c>
      <c r="C38" s="6" t="str">
        <f t="shared" si="0"/>
        <v>Jerilyn Muse</v>
      </c>
    </row>
    <row r="39" spans="1:3">
      <c r="A39" s="5" t="s">
        <v>282</v>
      </c>
      <c r="B39" s="5" t="s">
        <v>283</v>
      </c>
      <c r="C39" s="6" t="str">
        <f t="shared" si="0"/>
        <v>Mary Teague</v>
      </c>
    </row>
    <row r="40" spans="1:3">
      <c r="A40" s="5" t="s">
        <v>284</v>
      </c>
      <c r="B40" s="5" t="s">
        <v>285</v>
      </c>
      <c r="C40" s="6" t="str">
        <f t="shared" si="0"/>
        <v>Elenor Toro</v>
      </c>
    </row>
    <row r="41" spans="1:3">
      <c r="A41" s="5" t="s">
        <v>286</v>
      </c>
      <c r="B41" s="5" t="s">
        <v>287</v>
      </c>
      <c r="C41" s="6" t="str">
        <f t="shared" si="0"/>
        <v>Zella Crutcher</v>
      </c>
    </row>
    <row r="42" spans="1:3">
      <c r="A42" s="5" t="s">
        <v>288</v>
      </c>
      <c r="B42" s="5" t="s">
        <v>289</v>
      </c>
      <c r="C42" s="6" t="str">
        <f t="shared" si="0"/>
        <v>Carmelita Myrick</v>
      </c>
    </row>
    <row r="43" spans="1:3">
      <c r="A43" s="5" t="s">
        <v>290</v>
      </c>
      <c r="B43" s="5" t="s">
        <v>291</v>
      </c>
      <c r="C43" s="6" t="str">
        <f t="shared" si="0"/>
        <v>Jone Reece</v>
      </c>
    </row>
    <row r="44" spans="1:3">
      <c r="A44" s="5" t="s">
        <v>292</v>
      </c>
      <c r="B44" s="5" t="s">
        <v>293</v>
      </c>
      <c r="C44" s="6" t="str">
        <f t="shared" si="0"/>
        <v>Sharita Mcgregor</v>
      </c>
    </row>
    <row r="45" spans="1:3">
      <c r="A45" s="5" t="s">
        <v>294</v>
      </c>
      <c r="B45" s="5" t="s">
        <v>295</v>
      </c>
      <c r="C45" s="6" t="str">
        <f t="shared" si="0"/>
        <v>Lesa Dillon</v>
      </c>
    </row>
    <row r="46" spans="1:3">
      <c r="A46" s="5" t="s">
        <v>296</v>
      </c>
      <c r="B46" s="5" t="s">
        <v>297</v>
      </c>
      <c r="C46" s="6" t="str">
        <f t="shared" si="0"/>
        <v>Nicolle Campos</v>
      </c>
    </row>
    <row r="47" spans="1:3">
      <c r="A47" s="5" t="s">
        <v>298</v>
      </c>
      <c r="B47" s="5" t="s">
        <v>299</v>
      </c>
      <c r="C47" s="6" t="str">
        <f t="shared" si="0"/>
        <v>Angeline Snow</v>
      </c>
    </row>
    <row r="48" spans="1:3">
      <c r="A48" s="5" t="s">
        <v>300</v>
      </c>
      <c r="B48" s="5" t="s">
        <v>301</v>
      </c>
      <c r="C48" s="6" t="str">
        <f t="shared" si="0"/>
        <v>Cornelia Dehart</v>
      </c>
    </row>
    <row r="49" spans="1:3">
      <c r="A49" s="5" t="s">
        <v>302</v>
      </c>
      <c r="B49" s="5" t="s">
        <v>303</v>
      </c>
      <c r="C49" s="6" t="str">
        <f t="shared" si="0"/>
        <v>Jerrod Zavala</v>
      </c>
    </row>
    <row r="50" spans="1:3">
      <c r="A50" s="5" t="s">
        <v>304</v>
      </c>
      <c r="B50" s="5" t="s">
        <v>305</v>
      </c>
      <c r="C50" s="6" t="str">
        <f t="shared" si="0"/>
        <v>Donnie Manley</v>
      </c>
    </row>
    <row r="51" spans="1:3">
      <c r="A51" s="5" t="s">
        <v>306</v>
      </c>
      <c r="B51" s="5" t="s">
        <v>307</v>
      </c>
      <c r="C51" s="6" t="str">
        <f t="shared" si="0"/>
        <v>Selma Pridgen</v>
      </c>
    </row>
    <row r="52" spans="1:3">
      <c r="A52" s="5" t="s">
        <v>308</v>
      </c>
      <c r="B52" s="5" t="s">
        <v>309</v>
      </c>
      <c r="C52" s="6" t="str">
        <f t="shared" si="0"/>
        <v>Lia Homan</v>
      </c>
    </row>
    <row r="53" spans="1:3">
      <c r="A53" s="5" t="s">
        <v>310</v>
      </c>
      <c r="B53" s="5" t="s">
        <v>311</v>
      </c>
      <c r="C53" s="6" t="str">
        <f t="shared" si="0"/>
        <v>Merissa Earl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F53"/>
  <sheetViews>
    <sheetView topLeftCell="A4" workbookViewId="0">
      <selection activeCell="C4" sqref="C4:C53"/>
    </sheetView>
  </sheetViews>
  <sheetFormatPr defaultColWidth="9" defaultRowHeight="15" outlineLevelCol="5"/>
  <cols>
    <col min="1" max="1" width="21.5714285714286" customWidth="1"/>
    <col min="2" max="2" width="24.8571428571429" customWidth="1"/>
    <col min="3" max="3" width="21.5714285714286" customWidth="1"/>
    <col min="4" max="4" width="23.7142857142857" customWidth="1"/>
    <col min="5" max="5" width="19.5714285714286" customWidth="1"/>
    <col min="6" max="6" width="5.57142857142857" customWidth="1"/>
    <col min="7" max="7" width="31.8571428571429" customWidth="1"/>
  </cols>
  <sheetData>
    <row r="1" spans="1:6">
      <c r="A1" s="1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2"/>
      <c r="C1" s="3"/>
      <c r="D1" s="3"/>
      <c r="E1" s="3"/>
      <c r="F1" s="3"/>
    </row>
    <row r="3" spans="1:5">
      <c r="A3" s="8" t="s">
        <v>51</v>
      </c>
      <c r="B3" s="8" t="s">
        <v>158</v>
      </c>
      <c r="C3" s="8" t="s">
        <v>159</v>
      </c>
      <c r="E3" s="16" t="s">
        <v>160</v>
      </c>
    </row>
    <row r="4" spans="1:5">
      <c r="A4" s="10" t="s">
        <v>312</v>
      </c>
      <c r="B4" s="11">
        <v>518255.4</v>
      </c>
      <c r="C4" s="18" t="b">
        <f>B4&gt;$E$4</f>
        <v>1</v>
      </c>
      <c r="E4" s="11">
        <v>275000</v>
      </c>
    </row>
    <row r="5" spans="1:3">
      <c r="A5" s="10" t="s">
        <v>313</v>
      </c>
      <c r="B5" s="11">
        <v>201697.4</v>
      </c>
      <c r="C5" s="18" t="b">
        <f t="shared" ref="C5:C36" si="0">B5&gt;$E$4</f>
        <v>0</v>
      </c>
    </row>
    <row r="6" spans="1:3">
      <c r="A6" s="10" t="s">
        <v>314</v>
      </c>
      <c r="B6" s="11">
        <v>183485</v>
      </c>
      <c r="C6" s="18" t="b">
        <f t="shared" si="0"/>
        <v>0</v>
      </c>
    </row>
    <row r="7" spans="1:3">
      <c r="A7" s="17" t="s">
        <v>315</v>
      </c>
      <c r="B7" s="11">
        <v>375968.3</v>
      </c>
      <c r="C7" s="18" t="b">
        <f t="shared" si="0"/>
        <v>1</v>
      </c>
    </row>
    <row r="8" spans="1:3">
      <c r="A8" s="10" t="s">
        <v>316</v>
      </c>
      <c r="B8" s="11">
        <v>279628.4</v>
      </c>
      <c r="C8" s="18" t="b">
        <f t="shared" si="0"/>
        <v>1</v>
      </c>
    </row>
    <row r="9" spans="1:3">
      <c r="A9" s="10" t="s">
        <v>317</v>
      </c>
      <c r="B9" s="11">
        <v>462232.3</v>
      </c>
      <c r="C9" s="18" t="b">
        <f t="shared" si="0"/>
        <v>1</v>
      </c>
    </row>
    <row r="10" spans="1:3">
      <c r="A10" s="5" t="s">
        <v>318</v>
      </c>
      <c r="B10" s="11">
        <v>370787.8</v>
      </c>
      <c r="C10" s="18" t="b">
        <f t="shared" si="0"/>
        <v>1</v>
      </c>
    </row>
    <row r="11" spans="1:3">
      <c r="A11" s="5" t="s">
        <v>319</v>
      </c>
      <c r="B11" s="11">
        <v>260098.7</v>
      </c>
      <c r="C11" s="18" t="b">
        <f t="shared" si="0"/>
        <v>0</v>
      </c>
    </row>
    <row r="12" spans="1:3">
      <c r="A12" s="5" t="s">
        <v>320</v>
      </c>
      <c r="B12" s="11">
        <v>461327</v>
      </c>
      <c r="C12" s="18" t="b">
        <f t="shared" si="0"/>
        <v>1</v>
      </c>
    </row>
    <row r="13" spans="1:3">
      <c r="A13" s="5" t="s">
        <v>321</v>
      </c>
      <c r="B13" s="11">
        <v>386667.3</v>
      </c>
      <c r="C13" s="18" t="b">
        <f t="shared" si="0"/>
        <v>1</v>
      </c>
    </row>
    <row r="14" spans="1:3">
      <c r="A14" s="5" t="s">
        <v>322</v>
      </c>
      <c r="B14" s="11">
        <v>220681</v>
      </c>
      <c r="C14" s="18" t="b">
        <f t="shared" si="0"/>
        <v>0</v>
      </c>
    </row>
    <row r="15" spans="1:3">
      <c r="A15" s="5" t="s">
        <v>323</v>
      </c>
      <c r="B15" s="11">
        <v>195685.1</v>
      </c>
      <c r="C15" s="18" t="b">
        <f t="shared" si="0"/>
        <v>0</v>
      </c>
    </row>
    <row r="16" spans="1:3">
      <c r="A16" s="5" t="s">
        <v>324</v>
      </c>
      <c r="B16" s="11">
        <v>161110</v>
      </c>
      <c r="C16" s="18" t="b">
        <f t="shared" si="0"/>
        <v>0</v>
      </c>
    </row>
    <row r="17" spans="1:3">
      <c r="A17" s="5" t="s">
        <v>325</v>
      </c>
      <c r="B17" s="11">
        <v>460737.4</v>
      </c>
      <c r="C17" s="18" t="b">
        <f t="shared" si="0"/>
        <v>1</v>
      </c>
    </row>
    <row r="18" spans="1:3">
      <c r="A18" s="5" t="s">
        <v>326</v>
      </c>
      <c r="B18" s="11">
        <v>418287.5</v>
      </c>
      <c r="C18" s="18" t="b">
        <f t="shared" si="0"/>
        <v>1</v>
      </c>
    </row>
    <row r="19" spans="1:3">
      <c r="A19" s="5" t="s">
        <v>327</v>
      </c>
      <c r="B19" s="11">
        <v>173385.2</v>
      </c>
      <c r="C19" s="18" t="b">
        <f t="shared" si="0"/>
        <v>0</v>
      </c>
    </row>
    <row r="20" spans="1:3">
      <c r="A20" s="5" t="s">
        <v>328</v>
      </c>
      <c r="B20" s="11">
        <v>315896.8</v>
      </c>
      <c r="C20" s="18" t="b">
        <f t="shared" si="0"/>
        <v>1</v>
      </c>
    </row>
    <row r="21" spans="1:3">
      <c r="A21" s="5" t="s">
        <v>329</v>
      </c>
      <c r="B21" s="11">
        <v>414279.1</v>
      </c>
      <c r="C21" s="18" t="b">
        <f t="shared" si="0"/>
        <v>1</v>
      </c>
    </row>
    <row r="22" spans="1:3">
      <c r="A22" s="5" t="s">
        <v>330</v>
      </c>
      <c r="B22" s="11">
        <v>228288.9</v>
      </c>
      <c r="C22" s="18" t="b">
        <f t="shared" si="0"/>
        <v>0</v>
      </c>
    </row>
    <row r="23" spans="1:3">
      <c r="A23" s="5" t="s">
        <v>331</v>
      </c>
      <c r="B23" s="11">
        <v>467344.7</v>
      </c>
      <c r="C23" s="18" t="b">
        <f t="shared" si="0"/>
        <v>1</v>
      </c>
    </row>
    <row r="24" spans="1:3">
      <c r="A24" s="5" t="s">
        <v>332</v>
      </c>
      <c r="B24" s="11">
        <v>480070.8</v>
      </c>
      <c r="C24" s="18" t="b">
        <f t="shared" si="0"/>
        <v>1</v>
      </c>
    </row>
    <row r="25" spans="1:3">
      <c r="A25" s="5" t="s">
        <v>333</v>
      </c>
      <c r="B25" s="11">
        <v>372549.5</v>
      </c>
      <c r="C25" s="18" t="b">
        <f t="shared" si="0"/>
        <v>1</v>
      </c>
    </row>
    <row r="26" spans="1:3">
      <c r="A26" s="5" t="s">
        <v>334</v>
      </c>
      <c r="B26" s="11">
        <v>499725.4</v>
      </c>
      <c r="C26" s="18" t="b">
        <f t="shared" si="0"/>
        <v>1</v>
      </c>
    </row>
    <row r="27" spans="1:3">
      <c r="A27" s="5" t="s">
        <v>335</v>
      </c>
      <c r="B27" s="11">
        <v>195820</v>
      </c>
      <c r="C27" s="18" t="b">
        <f t="shared" si="0"/>
        <v>0</v>
      </c>
    </row>
    <row r="28" spans="1:3">
      <c r="A28" s="5" t="s">
        <v>336</v>
      </c>
      <c r="B28" s="11">
        <v>328958</v>
      </c>
      <c r="C28" s="18" t="b">
        <f t="shared" si="0"/>
        <v>1</v>
      </c>
    </row>
    <row r="29" spans="1:3">
      <c r="A29" s="5" t="s">
        <v>337</v>
      </c>
      <c r="B29" s="11">
        <v>505408</v>
      </c>
      <c r="C29" s="18" t="b">
        <f t="shared" si="0"/>
        <v>1</v>
      </c>
    </row>
    <row r="30" spans="1:3">
      <c r="A30" s="5" t="s">
        <v>338</v>
      </c>
      <c r="B30" s="11">
        <v>268865.8</v>
      </c>
      <c r="C30" s="18" t="b">
        <f t="shared" si="0"/>
        <v>0</v>
      </c>
    </row>
    <row r="31" spans="1:3">
      <c r="A31" s="5" t="s">
        <v>339</v>
      </c>
      <c r="B31" s="11">
        <v>446130.4</v>
      </c>
      <c r="C31" s="18" t="b">
        <f t="shared" si="0"/>
        <v>1</v>
      </c>
    </row>
    <row r="32" spans="1:3">
      <c r="A32" s="5" t="s">
        <v>340</v>
      </c>
      <c r="B32" s="11">
        <v>492634.3</v>
      </c>
      <c r="C32" s="18" t="b">
        <f t="shared" si="0"/>
        <v>1</v>
      </c>
    </row>
    <row r="33" spans="1:3">
      <c r="A33" s="5" t="s">
        <v>341</v>
      </c>
      <c r="B33" s="11">
        <v>175036.3</v>
      </c>
      <c r="C33" s="18" t="b">
        <f t="shared" si="0"/>
        <v>0</v>
      </c>
    </row>
    <row r="34" spans="1:3">
      <c r="A34" s="5" t="s">
        <v>342</v>
      </c>
      <c r="B34" s="11">
        <v>210474.6</v>
      </c>
      <c r="C34" s="18" t="b">
        <f t="shared" si="0"/>
        <v>0</v>
      </c>
    </row>
    <row r="35" spans="1:3">
      <c r="A35" s="5" t="s">
        <v>343</v>
      </c>
      <c r="B35" s="11">
        <v>171539.5</v>
      </c>
      <c r="C35" s="18" t="b">
        <f t="shared" si="0"/>
        <v>0</v>
      </c>
    </row>
    <row r="36" spans="1:3">
      <c r="A36" s="5" t="s">
        <v>344</v>
      </c>
      <c r="B36" s="11">
        <v>201733.5</v>
      </c>
      <c r="C36" s="18" t="b">
        <f t="shared" si="0"/>
        <v>0</v>
      </c>
    </row>
    <row r="37" spans="1:3">
      <c r="A37" s="5" t="s">
        <v>345</v>
      </c>
      <c r="B37" s="11">
        <v>393559</v>
      </c>
      <c r="C37" s="18" t="b">
        <f t="shared" ref="C37:C53" si="1">B37&gt;$E$4</f>
        <v>1</v>
      </c>
    </row>
    <row r="38" spans="1:3">
      <c r="A38" s="5" t="s">
        <v>346</v>
      </c>
      <c r="B38" s="11">
        <v>394131.6</v>
      </c>
      <c r="C38" s="18" t="b">
        <f t="shared" si="1"/>
        <v>1</v>
      </c>
    </row>
    <row r="39" spans="1:3">
      <c r="A39" s="5" t="s">
        <v>347</v>
      </c>
      <c r="B39" s="11">
        <v>325929.7</v>
      </c>
      <c r="C39" s="18" t="b">
        <f t="shared" si="1"/>
        <v>1</v>
      </c>
    </row>
    <row r="40" spans="1:3">
      <c r="A40" s="5" t="s">
        <v>348</v>
      </c>
      <c r="B40" s="11">
        <v>500054.6</v>
      </c>
      <c r="C40" s="18" t="b">
        <f t="shared" si="1"/>
        <v>1</v>
      </c>
    </row>
    <row r="41" spans="1:3">
      <c r="A41" s="5" t="s">
        <v>349</v>
      </c>
      <c r="B41" s="11">
        <v>144362.8</v>
      </c>
      <c r="C41" s="18" t="b">
        <f t="shared" si="1"/>
        <v>0</v>
      </c>
    </row>
    <row r="42" spans="1:3">
      <c r="A42" s="5" t="s">
        <v>350</v>
      </c>
      <c r="B42" s="11">
        <v>480052.7</v>
      </c>
      <c r="C42" s="18" t="b">
        <f t="shared" si="1"/>
        <v>1</v>
      </c>
    </row>
    <row r="43" spans="1:3">
      <c r="A43" s="5" t="s">
        <v>351</v>
      </c>
      <c r="B43" s="11">
        <v>346188.7</v>
      </c>
      <c r="C43" s="18" t="b">
        <f t="shared" si="1"/>
        <v>1</v>
      </c>
    </row>
    <row r="44" spans="1:3">
      <c r="A44" s="5" t="s">
        <v>352</v>
      </c>
      <c r="B44" s="11">
        <v>204883.6</v>
      </c>
      <c r="C44" s="18" t="b">
        <f t="shared" si="1"/>
        <v>0</v>
      </c>
    </row>
    <row r="45" spans="1:3">
      <c r="A45" s="5" t="s">
        <v>353</v>
      </c>
      <c r="B45" s="11">
        <v>223180.6</v>
      </c>
      <c r="C45" s="18" t="b">
        <f t="shared" si="1"/>
        <v>0</v>
      </c>
    </row>
    <row r="46" spans="1:3">
      <c r="A46" s="5" t="s">
        <v>354</v>
      </c>
      <c r="B46" s="11">
        <v>270623.8</v>
      </c>
      <c r="C46" s="18" t="b">
        <f t="shared" si="1"/>
        <v>0</v>
      </c>
    </row>
    <row r="47" spans="1:3">
      <c r="A47" s="5" t="s">
        <v>355</v>
      </c>
      <c r="B47" s="11">
        <v>443911.7</v>
      </c>
      <c r="C47" s="18" t="b">
        <f t="shared" si="1"/>
        <v>1</v>
      </c>
    </row>
    <row r="48" spans="1:3">
      <c r="A48" s="5" t="s">
        <v>356</v>
      </c>
      <c r="B48" s="11">
        <v>184445.3</v>
      </c>
      <c r="C48" s="18" t="b">
        <f t="shared" si="1"/>
        <v>0</v>
      </c>
    </row>
    <row r="49" spans="1:3">
      <c r="A49" s="5" t="s">
        <v>357</v>
      </c>
      <c r="B49" s="11">
        <v>194937.9</v>
      </c>
      <c r="C49" s="18" t="b">
        <f t="shared" si="1"/>
        <v>0</v>
      </c>
    </row>
    <row r="50" spans="1:3">
      <c r="A50" s="5" t="s">
        <v>358</v>
      </c>
      <c r="B50" s="11">
        <v>392699.1</v>
      </c>
      <c r="C50" s="18" t="b">
        <f t="shared" si="1"/>
        <v>1</v>
      </c>
    </row>
    <row r="51" spans="1:3">
      <c r="A51" s="5" t="s">
        <v>359</v>
      </c>
      <c r="B51" s="11">
        <v>265833.8</v>
      </c>
      <c r="C51" s="18" t="b">
        <f t="shared" si="1"/>
        <v>0</v>
      </c>
    </row>
    <row r="52" spans="1:3">
      <c r="A52" s="5" t="s">
        <v>360</v>
      </c>
      <c r="B52" s="11">
        <v>250453.7</v>
      </c>
      <c r="C52" s="18" t="b">
        <f t="shared" si="1"/>
        <v>0</v>
      </c>
    </row>
    <row r="53" spans="1:3">
      <c r="A53" s="5" t="s">
        <v>361</v>
      </c>
      <c r="B53" s="11">
        <v>395043.5</v>
      </c>
      <c r="C53" s="18" t="b">
        <f t="shared" si="1"/>
        <v>1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F53"/>
  <sheetViews>
    <sheetView topLeftCell="A18" workbookViewId="0">
      <selection activeCell="A3" sqref="A3:B53"/>
    </sheetView>
  </sheetViews>
  <sheetFormatPr defaultColWidth="9" defaultRowHeight="15" outlineLevelCol="5"/>
  <cols>
    <col min="1" max="1" width="21.5714285714286" customWidth="1"/>
    <col min="2" max="2" width="24.8571428571429" customWidth="1"/>
    <col min="3" max="3" width="21.5714285714286" customWidth="1"/>
    <col min="4" max="4" width="23.7142857142857" customWidth="1"/>
    <col min="5" max="5" width="19.5714285714286" customWidth="1"/>
    <col min="6" max="6" width="5.57142857142857" customWidth="1"/>
    <col min="7" max="7" width="31.8571428571429" customWidth="1"/>
  </cols>
  <sheetData>
    <row r="1" spans="1:6">
      <c r="A1" s="1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2"/>
      <c r="C1" s="3"/>
      <c r="D1" s="3"/>
      <c r="E1" s="3"/>
      <c r="F1" s="3"/>
    </row>
    <row r="3" spans="1:5">
      <c r="A3" s="8" t="s">
        <v>51</v>
      </c>
      <c r="B3" s="8" t="s">
        <v>158</v>
      </c>
      <c r="C3" s="8" t="s">
        <v>159</v>
      </c>
      <c r="E3" s="16" t="s">
        <v>160</v>
      </c>
    </row>
    <row r="4" spans="1:5">
      <c r="A4" s="10" t="s">
        <v>312</v>
      </c>
      <c r="B4" s="11">
        <v>518255.4</v>
      </c>
      <c r="C4" s="6" t="b">
        <f>B4&gt;=$E$4</f>
        <v>1</v>
      </c>
      <c r="E4" s="11">
        <v>275000</v>
      </c>
    </row>
    <row r="5" spans="1:3">
      <c r="A5" s="10" t="s">
        <v>313</v>
      </c>
      <c r="B5" s="11">
        <v>201697.4</v>
      </c>
      <c r="C5" s="6" t="b">
        <f t="shared" ref="C5:C53" si="0">B5&gt;=$E$4</f>
        <v>0</v>
      </c>
    </row>
    <row r="6" spans="1:3">
      <c r="A6" s="10" t="s">
        <v>314</v>
      </c>
      <c r="B6" s="11">
        <v>183485</v>
      </c>
      <c r="C6" s="6" t="b">
        <f t="shared" si="0"/>
        <v>0</v>
      </c>
    </row>
    <row r="7" spans="1:3">
      <c r="A7" s="17" t="s">
        <v>315</v>
      </c>
      <c r="B7" s="11">
        <v>375968.3</v>
      </c>
      <c r="C7" s="6" t="b">
        <f t="shared" si="0"/>
        <v>1</v>
      </c>
    </row>
    <row r="8" spans="1:3">
      <c r="A8" s="10" t="s">
        <v>316</v>
      </c>
      <c r="B8" s="11">
        <v>279628.4</v>
      </c>
      <c r="C8" s="6" t="b">
        <f t="shared" si="0"/>
        <v>1</v>
      </c>
    </row>
    <row r="9" spans="1:3">
      <c r="A9" s="10" t="s">
        <v>317</v>
      </c>
      <c r="B9" s="11">
        <v>462232.3</v>
      </c>
      <c r="C9" s="6" t="b">
        <f t="shared" si="0"/>
        <v>1</v>
      </c>
    </row>
    <row r="10" spans="1:3">
      <c r="A10" s="5" t="s">
        <v>318</v>
      </c>
      <c r="B10" s="11">
        <v>370787.8</v>
      </c>
      <c r="C10" s="6" t="b">
        <f t="shared" si="0"/>
        <v>1</v>
      </c>
    </row>
    <row r="11" spans="1:3">
      <c r="A11" s="5" t="s">
        <v>319</v>
      </c>
      <c r="B11" s="11">
        <v>260098.7</v>
      </c>
      <c r="C11" s="6" t="b">
        <f t="shared" si="0"/>
        <v>0</v>
      </c>
    </row>
    <row r="12" spans="1:3">
      <c r="A12" s="5" t="s">
        <v>320</v>
      </c>
      <c r="B12" s="11">
        <v>461327</v>
      </c>
      <c r="C12" s="6" t="b">
        <f t="shared" si="0"/>
        <v>1</v>
      </c>
    </row>
    <row r="13" spans="1:3">
      <c r="A13" s="5" t="s">
        <v>321</v>
      </c>
      <c r="B13" s="11">
        <v>386667.3</v>
      </c>
      <c r="C13" s="6" t="b">
        <f t="shared" si="0"/>
        <v>1</v>
      </c>
    </row>
    <row r="14" spans="1:3">
      <c r="A14" s="5" t="s">
        <v>322</v>
      </c>
      <c r="B14" s="11">
        <v>220681</v>
      </c>
      <c r="C14" s="6" t="b">
        <f t="shared" si="0"/>
        <v>0</v>
      </c>
    </row>
    <row r="15" spans="1:3">
      <c r="A15" s="5" t="s">
        <v>323</v>
      </c>
      <c r="B15" s="11">
        <v>195685.1</v>
      </c>
      <c r="C15" s="6" t="b">
        <f t="shared" si="0"/>
        <v>0</v>
      </c>
    </row>
    <row r="16" spans="1:3">
      <c r="A16" s="5" t="s">
        <v>324</v>
      </c>
      <c r="B16" s="11">
        <v>161110</v>
      </c>
      <c r="C16" s="6" t="b">
        <f t="shared" si="0"/>
        <v>0</v>
      </c>
    </row>
    <row r="17" spans="1:3">
      <c r="A17" s="5" t="s">
        <v>325</v>
      </c>
      <c r="B17" s="11">
        <v>460737.4</v>
      </c>
      <c r="C17" s="6" t="b">
        <f t="shared" si="0"/>
        <v>1</v>
      </c>
    </row>
    <row r="18" spans="1:3">
      <c r="A18" s="5" t="s">
        <v>326</v>
      </c>
      <c r="B18" s="11">
        <v>418287.5</v>
      </c>
      <c r="C18" s="6" t="b">
        <f t="shared" si="0"/>
        <v>1</v>
      </c>
    </row>
    <row r="19" spans="1:3">
      <c r="A19" s="5" t="s">
        <v>327</v>
      </c>
      <c r="B19" s="11">
        <v>173385.2</v>
      </c>
      <c r="C19" s="6" t="b">
        <f t="shared" si="0"/>
        <v>0</v>
      </c>
    </row>
    <row r="20" spans="1:3">
      <c r="A20" s="5" t="s">
        <v>328</v>
      </c>
      <c r="B20" s="11">
        <v>315896.8</v>
      </c>
      <c r="C20" s="6" t="b">
        <f t="shared" si="0"/>
        <v>1</v>
      </c>
    </row>
    <row r="21" spans="1:3">
      <c r="A21" s="5" t="s">
        <v>329</v>
      </c>
      <c r="B21" s="11">
        <v>414279.1</v>
      </c>
      <c r="C21" s="6" t="b">
        <f t="shared" si="0"/>
        <v>1</v>
      </c>
    </row>
    <row r="22" spans="1:3">
      <c r="A22" s="5" t="s">
        <v>330</v>
      </c>
      <c r="B22" s="11">
        <v>228288.9</v>
      </c>
      <c r="C22" s="6" t="b">
        <f t="shared" si="0"/>
        <v>0</v>
      </c>
    </row>
    <row r="23" spans="1:3">
      <c r="A23" s="5" t="s">
        <v>331</v>
      </c>
      <c r="B23" s="11">
        <v>467344.7</v>
      </c>
      <c r="C23" s="6" t="b">
        <f t="shared" si="0"/>
        <v>1</v>
      </c>
    </row>
    <row r="24" spans="1:3">
      <c r="A24" s="5" t="s">
        <v>332</v>
      </c>
      <c r="B24" s="11">
        <v>480070.8</v>
      </c>
      <c r="C24" s="6" t="b">
        <f t="shared" si="0"/>
        <v>1</v>
      </c>
    </row>
    <row r="25" spans="1:3">
      <c r="A25" s="5" t="s">
        <v>333</v>
      </c>
      <c r="B25" s="11">
        <v>372549.5</v>
      </c>
      <c r="C25" s="6" t="b">
        <f t="shared" si="0"/>
        <v>1</v>
      </c>
    </row>
    <row r="26" spans="1:3">
      <c r="A26" s="5" t="s">
        <v>334</v>
      </c>
      <c r="B26" s="11">
        <v>499725.4</v>
      </c>
      <c r="C26" s="6" t="b">
        <f t="shared" si="0"/>
        <v>1</v>
      </c>
    </row>
    <row r="27" spans="1:3">
      <c r="A27" s="5" t="s">
        <v>335</v>
      </c>
      <c r="B27" s="11">
        <v>195820</v>
      </c>
      <c r="C27" s="6" t="b">
        <f t="shared" si="0"/>
        <v>0</v>
      </c>
    </row>
    <row r="28" spans="1:3">
      <c r="A28" s="5" t="s">
        <v>336</v>
      </c>
      <c r="B28" s="11">
        <v>328958</v>
      </c>
      <c r="C28" s="6" t="b">
        <f t="shared" si="0"/>
        <v>1</v>
      </c>
    </row>
    <row r="29" spans="1:3">
      <c r="A29" s="5" t="s">
        <v>337</v>
      </c>
      <c r="B29" s="11">
        <v>505408</v>
      </c>
      <c r="C29" s="6" t="b">
        <f t="shared" si="0"/>
        <v>1</v>
      </c>
    </row>
    <row r="30" spans="1:3">
      <c r="A30" s="5" t="s">
        <v>338</v>
      </c>
      <c r="B30" s="11">
        <v>268865.8</v>
      </c>
      <c r="C30" s="6" t="b">
        <f t="shared" si="0"/>
        <v>0</v>
      </c>
    </row>
    <row r="31" spans="1:3">
      <c r="A31" s="5" t="s">
        <v>339</v>
      </c>
      <c r="B31" s="11">
        <v>446130.4</v>
      </c>
      <c r="C31" s="6" t="b">
        <f t="shared" si="0"/>
        <v>1</v>
      </c>
    </row>
    <row r="32" spans="1:3">
      <c r="A32" s="5" t="s">
        <v>340</v>
      </c>
      <c r="B32" s="11">
        <v>492634.3</v>
      </c>
      <c r="C32" s="6" t="b">
        <f t="shared" si="0"/>
        <v>1</v>
      </c>
    </row>
    <row r="33" spans="1:3">
      <c r="A33" s="5" t="s">
        <v>341</v>
      </c>
      <c r="B33" s="11">
        <v>175036.3</v>
      </c>
      <c r="C33" s="6" t="b">
        <f t="shared" si="0"/>
        <v>0</v>
      </c>
    </row>
    <row r="34" spans="1:3">
      <c r="A34" s="5" t="s">
        <v>342</v>
      </c>
      <c r="B34" s="11">
        <v>210474.6</v>
      </c>
      <c r="C34" s="6" t="b">
        <f t="shared" si="0"/>
        <v>0</v>
      </c>
    </row>
    <row r="35" spans="1:3">
      <c r="A35" s="5" t="s">
        <v>343</v>
      </c>
      <c r="B35" s="11">
        <v>171539.5</v>
      </c>
      <c r="C35" s="6" t="b">
        <f t="shared" si="0"/>
        <v>0</v>
      </c>
    </row>
    <row r="36" spans="1:3">
      <c r="A36" s="5" t="s">
        <v>344</v>
      </c>
      <c r="B36" s="11">
        <v>201733.5</v>
      </c>
      <c r="C36" s="6" t="b">
        <f t="shared" si="0"/>
        <v>0</v>
      </c>
    </row>
    <row r="37" spans="1:3">
      <c r="A37" s="5" t="s">
        <v>345</v>
      </c>
      <c r="B37" s="11">
        <v>393559</v>
      </c>
      <c r="C37" s="6" t="b">
        <f t="shared" si="0"/>
        <v>1</v>
      </c>
    </row>
    <row r="38" spans="1:3">
      <c r="A38" s="5" t="s">
        <v>346</v>
      </c>
      <c r="B38" s="11">
        <v>394131.6</v>
      </c>
      <c r="C38" s="6" t="b">
        <f t="shared" si="0"/>
        <v>1</v>
      </c>
    </row>
    <row r="39" spans="1:3">
      <c r="A39" s="5" t="s">
        <v>347</v>
      </c>
      <c r="B39" s="11">
        <v>325929.7</v>
      </c>
      <c r="C39" s="6" t="b">
        <f t="shared" si="0"/>
        <v>1</v>
      </c>
    </row>
    <row r="40" spans="1:3">
      <c r="A40" s="5" t="s">
        <v>348</v>
      </c>
      <c r="B40" s="11">
        <v>500054.6</v>
      </c>
      <c r="C40" s="6" t="b">
        <f t="shared" si="0"/>
        <v>1</v>
      </c>
    </row>
    <row r="41" spans="1:3">
      <c r="A41" s="5" t="s">
        <v>349</v>
      </c>
      <c r="B41" s="11">
        <v>144362.8</v>
      </c>
      <c r="C41" s="6" t="b">
        <f t="shared" si="0"/>
        <v>0</v>
      </c>
    </row>
    <row r="42" spans="1:3">
      <c r="A42" s="5" t="s">
        <v>350</v>
      </c>
      <c r="B42" s="11">
        <v>480052.7</v>
      </c>
      <c r="C42" s="6" t="b">
        <f t="shared" si="0"/>
        <v>1</v>
      </c>
    </row>
    <row r="43" spans="1:3">
      <c r="A43" s="5" t="s">
        <v>351</v>
      </c>
      <c r="B43" s="11">
        <v>346188.7</v>
      </c>
      <c r="C43" s="6" t="b">
        <f t="shared" si="0"/>
        <v>1</v>
      </c>
    </row>
    <row r="44" spans="1:3">
      <c r="A44" s="5" t="s">
        <v>352</v>
      </c>
      <c r="B44" s="11">
        <v>204883.6</v>
      </c>
      <c r="C44" s="6" t="b">
        <f t="shared" si="0"/>
        <v>0</v>
      </c>
    </row>
    <row r="45" spans="1:3">
      <c r="A45" s="5" t="s">
        <v>353</v>
      </c>
      <c r="B45" s="11">
        <v>223180.6</v>
      </c>
      <c r="C45" s="6" t="b">
        <f t="shared" si="0"/>
        <v>0</v>
      </c>
    </row>
    <row r="46" spans="1:3">
      <c r="A46" s="5" t="s">
        <v>354</v>
      </c>
      <c r="B46" s="11">
        <v>270623.8</v>
      </c>
      <c r="C46" s="6" t="b">
        <f t="shared" si="0"/>
        <v>0</v>
      </c>
    </row>
    <row r="47" spans="1:3">
      <c r="A47" s="5" t="s">
        <v>355</v>
      </c>
      <c r="B47" s="11">
        <v>443911.7</v>
      </c>
      <c r="C47" s="6" t="b">
        <f t="shared" si="0"/>
        <v>1</v>
      </c>
    </row>
    <row r="48" spans="1:3">
      <c r="A48" s="5" t="s">
        <v>356</v>
      </c>
      <c r="B48" s="11">
        <v>184445.3</v>
      </c>
      <c r="C48" s="6" t="b">
        <f t="shared" si="0"/>
        <v>0</v>
      </c>
    </row>
    <row r="49" spans="1:3">
      <c r="A49" s="5" t="s">
        <v>357</v>
      </c>
      <c r="B49" s="11">
        <v>194937.9</v>
      </c>
      <c r="C49" s="6" t="b">
        <f t="shared" si="0"/>
        <v>0</v>
      </c>
    </row>
    <row r="50" spans="1:3">
      <c r="A50" s="5" t="s">
        <v>358</v>
      </c>
      <c r="B50" s="11">
        <v>392699.1</v>
      </c>
      <c r="C50" s="6" t="b">
        <f t="shared" si="0"/>
        <v>1</v>
      </c>
    </row>
    <row r="51" spans="1:3">
      <c r="A51" s="5" t="s">
        <v>359</v>
      </c>
      <c r="B51" s="11">
        <v>265833.8</v>
      </c>
      <c r="C51" s="6" t="b">
        <f t="shared" si="0"/>
        <v>0</v>
      </c>
    </row>
    <row r="52" spans="1:3">
      <c r="A52" s="5" t="s">
        <v>360</v>
      </c>
      <c r="B52" s="11">
        <v>250453.7</v>
      </c>
      <c r="C52" s="6" t="b">
        <f t="shared" si="0"/>
        <v>0</v>
      </c>
    </row>
    <row r="53" spans="1:3">
      <c r="A53" s="5" t="s">
        <v>361</v>
      </c>
      <c r="B53" s="11">
        <v>395043.5</v>
      </c>
      <c r="C53" s="6" t="b">
        <f t="shared" si="0"/>
        <v>1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N53"/>
  <sheetViews>
    <sheetView tabSelected="1" zoomScale="110" zoomScaleNormal="110" topLeftCell="B3" workbookViewId="0">
      <selection activeCell="K12" sqref="J11:K17"/>
    </sheetView>
  </sheetViews>
  <sheetFormatPr defaultColWidth="9" defaultRowHeight="15"/>
  <cols>
    <col min="1" max="1" width="20.1428571428571" customWidth="1"/>
    <col min="2" max="2" width="19.4285714285714" customWidth="1"/>
    <col min="3" max="3" width="12" customWidth="1"/>
    <col min="4" max="4" width="9" customWidth="1"/>
    <col min="6" max="6" width="12.1428571428571" customWidth="1"/>
    <col min="7" max="7" width="12.2857142857143" customWidth="1"/>
    <col min="10" max="10" width="12.1428571428571"/>
    <col min="11" max="11" width="14.1428571428571"/>
  </cols>
  <sheetData>
    <row r="1" spans="1:14">
      <c r="A1" s="7" t="s">
        <v>362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3" spans="1:7">
      <c r="A3" s="8" t="s">
        <v>363</v>
      </c>
      <c r="B3" s="8" t="s">
        <v>51</v>
      </c>
      <c r="C3" s="8" t="s">
        <v>158</v>
      </c>
      <c r="D3" s="8" t="s">
        <v>64</v>
      </c>
      <c r="F3" s="8" t="s">
        <v>64</v>
      </c>
      <c r="G3" s="8" t="s">
        <v>364</v>
      </c>
    </row>
    <row r="4" spans="1:7">
      <c r="A4" s="9">
        <v>43036</v>
      </c>
      <c r="B4" s="10" t="s">
        <v>317</v>
      </c>
      <c r="C4" s="11">
        <v>46223.23</v>
      </c>
      <c r="D4" s="5" t="s">
        <v>70</v>
      </c>
      <c r="E4" s="12"/>
      <c r="F4" s="5" t="s">
        <v>69</v>
      </c>
      <c r="G4" s="14">
        <f>SUMIFS($C$4:$C$53,$D$4:$D$53,F4)</f>
        <v>303054.59</v>
      </c>
    </row>
    <row r="5" spans="1:7">
      <c r="A5" s="9">
        <v>43035</v>
      </c>
      <c r="B5" s="5" t="s">
        <v>336</v>
      </c>
      <c r="C5" s="11">
        <v>32895.8</v>
      </c>
      <c r="D5" s="5" t="s">
        <v>71</v>
      </c>
      <c r="E5" s="12"/>
      <c r="F5" s="5" t="s">
        <v>73</v>
      </c>
      <c r="G5" s="14">
        <f>SUMIFS($C$4:$C$53,$D$4:$D$53,F5)</f>
        <v>455774.96</v>
      </c>
    </row>
    <row r="6" spans="1:7">
      <c r="A6" s="9">
        <v>43036</v>
      </c>
      <c r="B6" s="5" t="s">
        <v>343</v>
      </c>
      <c r="C6" s="11">
        <v>17153.95</v>
      </c>
      <c r="D6" s="5" t="s">
        <v>70</v>
      </c>
      <c r="E6" s="12"/>
      <c r="F6" s="5" t="s">
        <v>71</v>
      </c>
      <c r="G6" s="14">
        <f>SUMIFS($C$4:$C$53,$D$4:$D$53,F6)</f>
        <v>169180.92</v>
      </c>
    </row>
    <row r="7" spans="1:7">
      <c r="A7" s="9">
        <v>43036</v>
      </c>
      <c r="B7" s="5" t="s">
        <v>353</v>
      </c>
      <c r="C7" s="11">
        <v>22318.06</v>
      </c>
      <c r="D7" s="5" t="s">
        <v>70</v>
      </c>
      <c r="E7" s="12"/>
      <c r="F7" s="5" t="s">
        <v>70</v>
      </c>
      <c r="G7" s="14">
        <f>SUMIFS($C$4:$C$53,$D$4:$D$53,F7)</f>
        <v>591828.09</v>
      </c>
    </row>
    <row r="8" spans="1:7">
      <c r="A8" s="9">
        <v>43036</v>
      </c>
      <c r="B8" s="5" t="s">
        <v>352</v>
      </c>
      <c r="C8" s="11">
        <v>20488.36</v>
      </c>
      <c r="D8" s="5" t="s">
        <v>73</v>
      </c>
      <c r="E8" s="12"/>
      <c r="F8" s="5" t="s">
        <v>75</v>
      </c>
      <c r="G8" s="14">
        <f>SUMIFS($C$4:$C$53,$D$4:$D$53,F8)</f>
        <v>111669.59</v>
      </c>
    </row>
    <row r="9" spans="1:5">
      <c r="A9" s="9">
        <v>43036</v>
      </c>
      <c r="B9" s="5" t="s">
        <v>358</v>
      </c>
      <c r="C9" s="11">
        <v>39269.91</v>
      </c>
      <c r="D9" s="5" t="s">
        <v>71</v>
      </c>
      <c r="E9" s="12"/>
    </row>
    <row r="10" spans="1:5">
      <c r="A10" s="9">
        <v>43036</v>
      </c>
      <c r="B10" s="5" t="s">
        <v>333</v>
      </c>
      <c r="C10" s="11">
        <v>37254.95</v>
      </c>
      <c r="D10" s="5" t="s">
        <v>69</v>
      </c>
      <c r="E10" s="12"/>
    </row>
    <row r="11" spans="1:11">
      <c r="A11" s="9">
        <v>43035</v>
      </c>
      <c r="B11" s="10" t="s">
        <v>317</v>
      </c>
      <c r="C11" s="11">
        <v>22828.89</v>
      </c>
      <c r="D11" s="5" t="s">
        <v>73</v>
      </c>
      <c r="E11" s="12"/>
      <c r="J11" s="15" t="s">
        <v>64</v>
      </c>
      <c r="K11" s="15" t="s">
        <v>365</v>
      </c>
    </row>
    <row r="12" spans="1:11">
      <c r="A12" s="9">
        <v>43036</v>
      </c>
      <c r="B12" s="5" t="s">
        <v>336</v>
      </c>
      <c r="C12" s="11">
        <v>26009.87</v>
      </c>
      <c r="D12" s="5" t="s">
        <v>73</v>
      </c>
      <c r="E12" s="12"/>
      <c r="J12" s="15" t="s">
        <v>69</v>
      </c>
      <c r="K12" s="15">
        <v>303054.59</v>
      </c>
    </row>
    <row r="13" spans="1:11">
      <c r="A13" s="9">
        <v>43035</v>
      </c>
      <c r="B13" s="5" t="s">
        <v>343</v>
      </c>
      <c r="C13" s="11">
        <v>46734.47</v>
      </c>
      <c r="D13" s="5" t="s">
        <v>70</v>
      </c>
      <c r="E13" s="12"/>
      <c r="J13" s="15" t="s">
        <v>73</v>
      </c>
      <c r="K13" s="15">
        <v>455774.96</v>
      </c>
    </row>
    <row r="14" spans="1:11">
      <c r="A14" s="9">
        <v>43035</v>
      </c>
      <c r="B14" s="5" t="s">
        <v>353</v>
      </c>
      <c r="C14" s="11">
        <v>41427.91</v>
      </c>
      <c r="D14" s="5" t="s">
        <v>73</v>
      </c>
      <c r="E14" s="12"/>
      <c r="J14" s="15" t="s">
        <v>71</v>
      </c>
      <c r="K14" s="15">
        <v>169180.92</v>
      </c>
    </row>
    <row r="15" spans="1:11">
      <c r="A15" s="9">
        <v>43037</v>
      </c>
      <c r="B15" s="5" t="s">
        <v>352</v>
      </c>
      <c r="C15" s="11">
        <v>32592.97</v>
      </c>
      <c r="D15" s="5" t="s">
        <v>71</v>
      </c>
      <c r="E15" s="12"/>
      <c r="J15" s="15" t="s">
        <v>70</v>
      </c>
      <c r="K15" s="15">
        <v>591828.09</v>
      </c>
    </row>
    <row r="16" spans="1:11">
      <c r="A16" s="9">
        <v>43035</v>
      </c>
      <c r="B16" s="5" t="s">
        <v>358</v>
      </c>
      <c r="C16" s="11">
        <v>16111</v>
      </c>
      <c r="D16" s="5" t="s">
        <v>70</v>
      </c>
      <c r="E16" s="12"/>
      <c r="J16" s="15" t="s">
        <v>75</v>
      </c>
      <c r="K16" s="15">
        <v>111669.59</v>
      </c>
    </row>
    <row r="17" spans="1:11">
      <c r="A17" s="9">
        <v>43035</v>
      </c>
      <c r="B17" s="5" t="s">
        <v>333</v>
      </c>
      <c r="C17" s="11">
        <v>46073.74</v>
      </c>
      <c r="D17" s="5" t="s">
        <v>71</v>
      </c>
      <c r="E17" s="12"/>
      <c r="J17" s="15" t="s">
        <v>366</v>
      </c>
      <c r="K17" s="15">
        <v>1631508.15</v>
      </c>
    </row>
    <row r="18" spans="1:5">
      <c r="A18" s="9">
        <v>43036</v>
      </c>
      <c r="B18" s="10" t="s">
        <v>317</v>
      </c>
      <c r="C18" s="11">
        <v>22068.1</v>
      </c>
      <c r="D18" s="5" t="s">
        <v>69</v>
      </c>
      <c r="E18" s="12"/>
    </row>
    <row r="19" spans="1:5">
      <c r="A19" s="9">
        <v>43036</v>
      </c>
      <c r="B19" s="5" t="s">
        <v>336</v>
      </c>
      <c r="C19" s="11">
        <v>14436.28</v>
      </c>
      <c r="D19" s="5" t="s">
        <v>75</v>
      </c>
      <c r="E19" s="12"/>
    </row>
    <row r="20" spans="1:5">
      <c r="A20" s="9">
        <v>43036</v>
      </c>
      <c r="B20" s="5" t="s">
        <v>343</v>
      </c>
      <c r="C20" s="11">
        <v>20173.35</v>
      </c>
      <c r="D20" s="5" t="s">
        <v>69</v>
      </c>
      <c r="E20" s="12"/>
    </row>
    <row r="21" spans="1:5">
      <c r="A21" s="9">
        <v>43035</v>
      </c>
      <c r="B21" s="5" t="s">
        <v>353</v>
      </c>
      <c r="C21" s="11">
        <v>18444.53</v>
      </c>
      <c r="D21" s="5" t="s">
        <v>69</v>
      </c>
      <c r="E21" s="12"/>
    </row>
    <row r="22" spans="1:5">
      <c r="A22" s="9">
        <v>43035</v>
      </c>
      <c r="B22" s="5" t="s">
        <v>352</v>
      </c>
      <c r="C22" s="11">
        <v>27962.84</v>
      </c>
      <c r="D22" s="5" t="s">
        <v>75</v>
      </c>
      <c r="E22" s="12"/>
    </row>
    <row r="23" spans="1:5">
      <c r="A23" s="9">
        <v>43035</v>
      </c>
      <c r="B23" s="5" t="s">
        <v>358</v>
      </c>
      <c r="C23" s="11">
        <v>20169.74</v>
      </c>
      <c r="D23" s="5" t="s">
        <v>70</v>
      </c>
      <c r="E23" s="12"/>
    </row>
    <row r="24" spans="1:5">
      <c r="A24" s="9">
        <v>43037</v>
      </c>
      <c r="B24" s="5" t="s">
        <v>333</v>
      </c>
      <c r="C24" s="11">
        <v>34618.87</v>
      </c>
      <c r="D24" s="5" t="s">
        <v>73</v>
      </c>
      <c r="E24" s="12"/>
    </row>
    <row r="25" spans="1:5">
      <c r="A25" s="9">
        <v>43037</v>
      </c>
      <c r="B25" s="10" t="s">
        <v>317</v>
      </c>
      <c r="C25" s="11">
        <v>31589.68</v>
      </c>
      <c r="D25" s="5" t="s">
        <v>70</v>
      </c>
      <c r="E25" s="12"/>
    </row>
    <row r="26" spans="1:5">
      <c r="A26" s="9">
        <v>43035</v>
      </c>
      <c r="B26" s="5" t="s">
        <v>336</v>
      </c>
      <c r="C26" s="11">
        <v>19568.51</v>
      </c>
      <c r="D26" s="5" t="s">
        <v>69</v>
      </c>
      <c r="E26" s="12"/>
    </row>
    <row r="27" spans="1:5">
      <c r="A27" s="9">
        <v>43035</v>
      </c>
      <c r="B27" s="5" t="s">
        <v>343</v>
      </c>
      <c r="C27" s="11">
        <v>21047.46</v>
      </c>
      <c r="D27" s="5" t="s">
        <v>70</v>
      </c>
      <c r="E27" s="12"/>
    </row>
    <row r="28" spans="1:5">
      <c r="A28" s="9">
        <v>43037</v>
      </c>
      <c r="B28" s="5" t="s">
        <v>353</v>
      </c>
      <c r="C28" s="11">
        <v>39355.9</v>
      </c>
      <c r="D28" s="5" t="s">
        <v>69</v>
      </c>
      <c r="E28" s="12"/>
    </row>
    <row r="29" spans="1:5">
      <c r="A29" s="9">
        <v>43037</v>
      </c>
      <c r="B29" s="5" t="s">
        <v>352</v>
      </c>
      <c r="C29" s="11">
        <v>51825.54</v>
      </c>
      <c r="D29" s="5" t="s">
        <v>69</v>
      </c>
      <c r="E29" s="12"/>
    </row>
    <row r="30" spans="1:5">
      <c r="A30" s="9">
        <v>43036</v>
      </c>
      <c r="B30" s="5" t="s">
        <v>358</v>
      </c>
      <c r="C30" s="11">
        <v>46132.7</v>
      </c>
      <c r="D30" s="5" t="s">
        <v>70</v>
      </c>
      <c r="E30" s="12"/>
    </row>
    <row r="31" spans="1:5">
      <c r="A31" s="9">
        <v>43035</v>
      </c>
      <c r="B31" s="5" t="s">
        <v>333</v>
      </c>
      <c r="C31" s="11">
        <v>26886.58</v>
      </c>
      <c r="D31" s="5" t="s">
        <v>75</v>
      </c>
      <c r="E31" s="12"/>
    </row>
    <row r="32" spans="1:5">
      <c r="A32" s="9">
        <v>43037</v>
      </c>
      <c r="B32" s="10" t="s">
        <v>317</v>
      </c>
      <c r="C32" s="11">
        <v>19582</v>
      </c>
      <c r="D32" s="5" t="s">
        <v>70</v>
      </c>
      <c r="E32" s="12"/>
    </row>
    <row r="33" spans="1:5">
      <c r="A33" s="9">
        <v>43037</v>
      </c>
      <c r="B33" s="5" t="s">
        <v>336</v>
      </c>
      <c r="C33" s="11">
        <v>26583.38</v>
      </c>
      <c r="D33" s="5" t="s">
        <v>73</v>
      </c>
      <c r="E33" s="12"/>
    </row>
    <row r="34" spans="1:5">
      <c r="A34" s="9">
        <v>43035</v>
      </c>
      <c r="B34" s="5" t="s">
        <v>343</v>
      </c>
      <c r="C34" s="11">
        <v>50005.46</v>
      </c>
      <c r="D34" s="5" t="s">
        <v>73</v>
      </c>
      <c r="E34" s="12"/>
    </row>
    <row r="35" spans="1:5">
      <c r="A35" s="9">
        <v>43036</v>
      </c>
      <c r="B35" s="5" t="s">
        <v>353</v>
      </c>
      <c r="C35" s="11">
        <v>39504.35</v>
      </c>
      <c r="D35" s="5" t="s">
        <v>70</v>
      </c>
      <c r="E35" s="12"/>
    </row>
    <row r="36" spans="1:5">
      <c r="A36" s="9">
        <v>43036</v>
      </c>
      <c r="B36" s="5" t="s">
        <v>352</v>
      </c>
      <c r="C36" s="11">
        <v>27062.38</v>
      </c>
      <c r="D36" s="5" t="s">
        <v>70</v>
      </c>
      <c r="E36" s="12"/>
    </row>
    <row r="37" spans="1:5">
      <c r="A37" s="9">
        <v>43035</v>
      </c>
      <c r="B37" s="5" t="s">
        <v>358</v>
      </c>
      <c r="C37" s="11">
        <v>37596.83</v>
      </c>
      <c r="D37" s="5" t="s">
        <v>73</v>
      </c>
      <c r="E37" s="12"/>
    </row>
    <row r="38" spans="1:5">
      <c r="A38" s="9">
        <v>43036</v>
      </c>
      <c r="B38" s="5" t="s">
        <v>333</v>
      </c>
      <c r="C38" s="11">
        <v>17503.63</v>
      </c>
      <c r="D38" s="5" t="s">
        <v>73</v>
      </c>
      <c r="E38" s="12"/>
    </row>
    <row r="39" spans="1:5">
      <c r="A39" s="9">
        <v>43037</v>
      </c>
      <c r="B39" s="10" t="s">
        <v>317</v>
      </c>
      <c r="C39" s="11">
        <v>44613.04</v>
      </c>
      <c r="D39" s="5" t="s">
        <v>70</v>
      </c>
      <c r="E39" s="12"/>
    </row>
    <row r="40" spans="1:5">
      <c r="A40" s="9">
        <v>43036</v>
      </c>
      <c r="B40" s="5" t="s">
        <v>336</v>
      </c>
      <c r="C40" s="11">
        <v>37078.78</v>
      </c>
      <c r="D40" s="5" t="s">
        <v>73</v>
      </c>
      <c r="E40" s="12"/>
    </row>
    <row r="41" spans="1:5">
      <c r="A41" s="9">
        <v>43036</v>
      </c>
      <c r="B41" s="5" t="s">
        <v>343</v>
      </c>
      <c r="C41" s="11">
        <v>49263.43</v>
      </c>
      <c r="D41" s="5" t="s">
        <v>73</v>
      </c>
      <c r="E41" s="12"/>
    </row>
    <row r="42" spans="1:5">
      <c r="A42" s="9">
        <v>43036</v>
      </c>
      <c r="B42" s="5" t="s">
        <v>353</v>
      </c>
      <c r="C42" s="11">
        <v>48007.08</v>
      </c>
      <c r="D42" s="5" t="s">
        <v>70</v>
      </c>
      <c r="E42" s="12"/>
    </row>
    <row r="43" spans="1:5">
      <c r="A43" s="9">
        <v>43036</v>
      </c>
      <c r="B43" s="5" t="s">
        <v>352</v>
      </c>
      <c r="C43" s="11">
        <v>48005.27</v>
      </c>
      <c r="D43" s="5" t="s">
        <v>70</v>
      </c>
      <c r="E43" s="12"/>
    </row>
    <row r="44" spans="1:5">
      <c r="A44" s="9">
        <v>43035</v>
      </c>
      <c r="B44" s="5" t="s">
        <v>358</v>
      </c>
      <c r="C44" s="11">
        <v>17338.52</v>
      </c>
      <c r="D44" s="5" t="s">
        <v>75</v>
      </c>
      <c r="E44" s="12"/>
    </row>
    <row r="45" spans="1:5">
      <c r="A45" s="9">
        <v>43037</v>
      </c>
      <c r="B45" s="5" t="s">
        <v>333</v>
      </c>
      <c r="C45" s="11">
        <v>50540.8</v>
      </c>
      <c r="D45" s="5" t="s">
        <v>73</v>
      </c>
      <c r="E45" s="12"/>
    </row>
    <row r="46" spans="1:5">
      <c r="A46" s="9">
        <v>43035</v>
      </c>
      <c r="B46" s="10" t="s">
        <v>317</v>
      </c>
      <c r="C46" s="11">
        <v>18348.5</v>
      </c>
      <c r="D46" s="5" t="s">
        <v>71</v>
      </c>
      <c r="E46" s="12"/>
    </row>
    <row r="47" spans="1:5">
      <c r="A47" s="9">
        <v>43035</v>
      </c>
      <c r="B47" s="5" t="s">
        <v>336</v>
      </c>
      <c r="C47" s="11">
        <v>19493.79</v>
      </c>
      <c r="D47" s="5" t="s">
        <v>70</v>
      </c>
      <c r="E47" s="12"/>
    </row>
    <row r="48" spans="1:5">
      <c r="A48" s="9">
        <v>43037</v>
      </c>
      <c r="B48" s="5" t="s">
        <v>343</v>
      </c>
      <c r="C48" s="11">
        <v>25045.37</v>
      </c>
      <c r="D48" s="5" t="s">
        <v>75</v>
      </c>
      <c r="E48" s="12"/>
    </row>
    <row r="49" spans="1:5">
      <c r="A49" s="9">
        <v>43037</v>
      </c>
      <c r="B49" s="5" t="s">
        <v>353</v>
      </c>
      <c r="C49" s="11">
        <v>38666.73</v>
      </c>
      <c r="D49" s="5" t="s">
        <v>70</v>
      </c>
      <c r="E49" s="12"/>
    </row>
    <row r="50" spans="1:5">
      <c r="A50" s="9">
        <v>43036</v>
      </c>
      <c r="B50" s="5" t="s">
        <v>352</v>
      </c>
      <c r="C50" s="11">
        <v>41828.75</v>
      </c>
      <c r="D50" s="5" t="s">
        <v>73</v>
      </c>
      <c r="E50" s="12"/>
    </row>
    <row r="51" spans="1:5">
      <c r="A51" s="9">
        <v>43035</v>
      </c>
      <c r="B51" s="5" t="s">
        <v>358</v>
      </c>
      <c r="C51" s="11">
        <v>39413.16</v>
      </c>
      <c r="D51" s="5" t="s">
        <v>70</v>
      </c>
      <c r="E51" s="12"/>
    </row>
    <row r="52" spans="1:5">
      <c r="A52" s="9">
        <v>43037</v>
      </c>
      <c r="B52" s="5" t="s">
        <v>333</v>
      </c>
      <c r="C52" s="11">
        <v>44391.17</v>
      </c>
      <c r="D52" s="5" t="s">
        <v>69</v>
      </c>
      <c r="E52" s="12"/>
    </row>
    <row r="53" spans="1:5">
      <c r="A53" s="9">
        <v>43036</v>
      </c>
      <c r="B53" s="10" t="s">
        <v>317</v>
      </c>
      <c r="C53" s="11">
        <v>49972.54</v>
      </c>
      <c r="D53" s="5" t="s">
        <v>69</v>
      </c>
      <c r="E53" s="12"/>
    </row>
  </sheetData>
  <sortState ref="B4:E53">
    <sortCondition ref="E4"/>
  </sortState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N53"/>
  <sheetViews>
    <sheetView zoomScale="110" zoomScaleNormal="110" topLeftCell="B1" workbookViewId="0">
      <selection activeCell="J4" sqref="J4"/>
    </sheetView>
  </sheetViews>
  <sheetFormatPr defaultColWidth="9" defaultRowHeight="15"/>
  <cols>
    <col min="1" max="1" width="20.1428571428571" customWidth="1"/>
    <col min="2" max="2" width="17.4285714285714" customWidth="1"/>
    <col min="3" max="3" width="10.5714285714286" customWidth="1"/>
    <col min="4" max="4" width="7.85714285714286" customWidth="1"/>
    <col min="6" max="6" width="12.1428571428571" customWidth="1"/>
    <col min="7" max="7" width="12.2857142857143" customWidth="1"/>
    <col min="9" max="9" width="12.1428571428571"/>
    <col min="10" max="10" width="13.7142857142857"/>
  </cols>
  <sheetData>
    <row r="1" spans="1:14">
      <c r="A1" s="7" t="s">
        <v>362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3" spans="1:10">
      <c r="A3" s="8" t="s">
        <v>363</v>
      </c>
      <c r="B3" s="8" t="s">
        <v>51</v>
      </c>
      <c r="C3" s="8" t="s">
        <v>158</v>
      </c>
      <c r="D3" s="8" t="s">
        <v>64</v>
      </c>
      <c r="F3" s="8" t="s">
        <v>64</v>
      </c>
      <c r="G3" s="8" t="s">
        <v>364</v>
      </c>
      <c r="I3" t="s">
        <v>64</v>
      </c>
      <c r="J3" t="s">
        <v>365</v>
      </c>
    </row>
    <row r="4" spans="1:10">
      <c r="A4" s="9">
        <v>43036</v>
      </c>
      <c r="B4" s="10" t="s">
        <v>317</v>
      </c>
      <c r="C4" s="11">
        <v>46223.23</v>
      </c>
      <c r="D4" s="5" t="s">
        <v>70</v>
      </c>
      <c r="E4" s="12"/>
      <c r="F4" s="5" t="s">
        <v>69</v>
      </c>
      <c r="G4" s="13">
        <f>SUMIFS($C$4:$C$53,$D$4:$D$53,F4)</f>
        <v>303054.59</v>
      </c>
      <c r="I4" t="s">
        <v>69</v>
      </c>
      <c r="J4" s="12">
        <v>303054.59</v>
      </c>
    </row>
    <row r="5" spans="1:10">
      <c r="A5" s="9">
        <v>43035</v>
      </c>
      <c r="B5" s="5" t="s">
        <v>336</v>
      </c>
      <c r="C5" s="11">
        <v>32895.8</v>
      </c>
      <c r="D5" s="5" t="s">
        <v>71</v>
      </c>
      <c r="E5" s="12"/>
      <c r="F5" s="5" t="s">
        <v>73</v>
      </c>
      <c r="G5" s="13">
        <f>SUMIFS($C$4:$C$53,$D$4:$D$53,F5)</f>
        <v>455774.96</v>
      </c>
      <c r="I5" t="s">
        <v>73</v>
      </c>
      <c r="J5" s="12">
        <v>455774.96</v>
      </c>
    </row>
    <row r="6" spans="1:10">
      <c r="A6" s="9">
        <v>43036</v>
      </c>
      <c r="B6" s="5" t="s">
        <v>343</v>
      </c>
      <c r="C6" s="11">
        <v>17153.95</v>
      </c>
      <c r="D6" s="5" t="s">
        <v>70</v>
      </c>
      <c r="E6" s="12"/>
      <c r="F6" s="5" t="s">
        <v>71</v>
      </c>
      <c r="G6" s="13">
        <f>SUMIFS($C$4:$C$53,$D$4:$D$53,F6)</f>
        <v>169180.92</v>
      </c>
      <c r="I6" t="s">
        <v>71</v>
      </c>
      <c r="J6" s="12">
        <v>169180.92</v>
      </c>
    </row>
    <row r="7" spans="1:10">
      <c r="A7" s="9">
        <v>43036</v>
      </c>
      <c r="B7" s="5" t="s">
        <v>353</v>
      </c>
      <c r="C7" s="11">
        <v>22318.06</v>
      </c>
      <c r="D7" s="5" t="s">
        <v>70</v>
      </c>
      <c r="E7" s="12"/>
      <c r="F7" s="5" t="s">
        <v>70</v>
      </c>
      <c r="G7" s="13">
        <f>SUMIFS($C$4:$C$53,$D$4:$D$53,F7)</f>
        <v>591828.09</v>
      </c>
      <c r="I7" t="s">
        <v>70</v>
      </c>
      <c r="J7" s="12">
        <v>591828.09</v>
      </c>
    </row>
    <row r="8" spans="1:10">
      <c r="A8" s="9">
        <v>43036</v>
      </c>
      <c r="B8" s="5" t="s">
        <v>352</v>
      </c>
      <c r="C8" s="11">
        <v>20488.36</v>
      </c>
      <c r="D8" s="5" t="s">
        <v>73</v>
      </c>
      <c r="E8" s="12"/>
      <c r="F8" s="5" t="s">
        <v>75</v>
      </c>
      <c r="G8" s="13">
        <f>SUMIFS($C$4:$C$53,$D$4:$D$53,F8)</f>
        <v>111669.59</v>
      </c>
      <c r="I8" t="s">
        <v>75</v>
      </c>
      <c r="J8" s="12">
        <v>111669.59</v>
      </c>
    </row>
    <row r="9" spans="1:10">
      <c r="A9" s="9">
        <v>43036</v>
      </c>
      <c r="B9" s="5" t="s">
        <v>358</v>
      </c>
      <c r="C9" s="11">
        <v>39269.91</v>
      </c>
      <c r="D9" s="5" t="s">
        <v>71</v>
      </c>
      <c r="E9" s="12"/>
      <c r="I9" t="s">
        <v>366</v>
      </c>
      <c r="J9" s="12">
        <v>1631508.15</v>
      </c>
    </row>
    <row r="10" spans="1:5">
      <c r="A10" s="9">
        <v>43036</v>
      </c>
      <c r="B10" s="5" t="s">
        <v>333</v>
      </c>
      <c r="C10" s="11">
        <v>37254.95</v>
      </c>
      <c r="D10" s="5" t="s">
        <v>69</v>
      </c>
      <c r="E10" s="12"/>
    </row>
    <row r="11" spans="1:5">
      <c r="A11" s="9">
        <v>43035</v>
      </c>
      <c r="B11" s="10" t="s">
        <v>317</v>
      </c>
      <c r="C11" s="11">
        <v>22828.89</v>
      </c>
      <c r="D11" s="5" t="s">
        <v>73</v>
      </c>
      <c r="E11" s="12"/>
    </row>
    <row r="12" spans="1:5">
      <c r="A12" s="9">
        <v>43036</v>
      </c>
      <c r="B12" s="5" t="s">
        <v>336</v>
      </c>
      <c r="C12" s="11">
        <v>26009.87</v>
      </c>
      <c r="D12" s="5" t="s">
        <v>73</v>
      </c>
      <c r="E12" s="12"/>
    </row>
    <row r="13" spans="1:5">
      <c r="A13" s="9">
        <v>43035</v>
      </c>
      <c r="B13" s="5" t="s">
        <v>343</v>
      </c>
      <c r="C13" s="11">
        <v>46734.47</v>
      </c>
      <c r="D13" s="5" t="s">
        <v>70</v>
      </c>
      <c r="E13" s="12"/>
    </row>
    <row r="14" spans="1:5">
      <c r="A14" s="9">
        <v>43035</v>
      </c>
      <c r="B14" s="5" t="s">
        <v>353</v>
      </c>
      <c r="C14" s="11">
        <v>41427.91</v>
      </c>
      <c r="D14" s="5" t="s">
        <v>73</v>
      </c>
      <c r="E14" s="12"/>
    </row>
    <row r="15" spans="1:5">
      <c r="A15" s="9">
        <v>43037</v>
      </c>
      <c r="B15" s="5" t="s">
        <v>352</v>
      </c>
      <c r="C15" s="11">
        <v>32592.97</v>
      </c>
      <c r="D15" s="5" t="s">
        <v>71</v>
      </c>
      <c r="E15" s="12"/>
    </row>
    <row r="16" spans="1:5">
      <c r="A16" s="9">
        <v>43035</v>
      </c>
      <c r="B16" s="5" t="s">
        <v>358</v>
      </c>
      <c r="C16" s="11">
        <v>16111</v>
      </c>
      <c r="D16" s="5" t="s">
        <v>70</v>
      </c>
      <c r="E16" s="12"/>
    </row>
    <row r="17" spans="1:5">
      <c r="A17" s="9">
        <v>43035</v>
      </c>
      <c r="B17" s="5" t="s">
        <v>333</v>
      </c>
      <c r="C17" s="11">
        <v>46073.74</v>
      </c>
      <c r="D17" s="5" t="s">
        <v>71</v>
      </c>
      <c r="E17" s="12"/>
    </row>
    <row r="18" spans="1:5">
      <c r="A18" s="9">
        <v>43036</v>
      </c>
      <c r="B18" s="10" t="s">
        <v>317</v>
      </c>
      <c r="C18" s="11">
        <v>22068.1</v>
      </c>
      <c r="D18" s="5" t="s">
        <v>69</v>
      </c>
      <c r="E18" s="12"/>
    </row>
    <row r="19" spans="1:5">
      <c r="A19" s="9">
        <v>43036</v>
      </c>
      <c r="B19" s="5" t="s">
        <v>336</v>
      </c>
      <c r="C19" s="11">
        <v>14436.28</v>
      </c>
      <c r="D19" s="5" t="s">
        <v>75</v>
      </c>
      <c r="E19" s="12"/>
    </row>
    <row r="20" spans="1:5">
      <c r="A20" s="9">
        <v>43036</v>
      </c>
      <c r="B20" s="5" t="s">
        <v>343</v>
      </c>
      <c r="C20" s="11">
        <v>20173.35</v>
      </c>
      <c r="D20" s="5" t="s">
        <v>69</v>
      </c>
      <c r="E20" s="12"/>
    </row>
    <row r="21" spans="1:5">
      <c r="A21" s="9">
        <v>43035</v>
      </c>
      <c r="B21" s="5" t="s">
        <v>353</v>
      </c>
      <c r="C21" s="11">
        <v>18444.53</v>
      </c>
      <c r="D21" s="5" t="s">
        <v>69</v>
      </c>
      <c r="E21" s="12"/>
    </row>
    <row r="22" spans="1:5">
      <c r="A22" s="9">
        <v>43035</v>
      </c>
      <c r="B22" s="5" t="s">
        <v>352</v>
      </c>
      <c r="C22" s="11">
        <v>27962.84</v>
      </c>
      <c r="D22" s="5" t="s">
        <v>75</v>
      </c>
      <c r="E22" s="12"/>
    </row>
    <row r="23" spans="1:5">
      <c r="A23" s="9">
        <v>43035</v>
      </c>
      <c r="B23" s="5" t="s">
        <v>358</v>
      </c>
      <c r="C23" s="11">
        <v>20169.74</v>
      </c>
      <c r="D23" s="5" t="s">
        <v>70</v>
      </c>
      <c r="E23" s="12"/>
    </row>
    <row r="24" spans="1:5">
      <c r="A24" s="9">
        <v>43037</v>
      </c>
      <c r="B24" s="5" t="s">
        <v>333</v>
      </c>
      <c r="C24" s="11">
        <v>34618.87</v>
      </c>
      <c r="D24" s="5" t="s">
        <v>73</v>
      </c>
      <c r="E24" s="12"/>
    </row>
    <row r="25" spans="1:5">
      <c r="A25" s="9">
        <v>43037</v>
      </c>
      <c r="B25" s="10" t="s">
        <v>317</v>
      </c>
      <c r="C25" s="11">
        <v>31589.68</v>
      </c>
      <c r="D25" s="5" t="s">
        <v>70</v>
      </c>
      <c r="E25" s="12"/>
    </row>
    <row r="26" spans="1:5">
      <c r="A26" s="9">
        <v>43035</v>
      </c>
      <c r="B26" s="5" t="s">
        <v>336</v>
      </c>
      <c r="C26" s="11">
        <v>19568.51</v>
      </c>
      <c r="D26" s="5" t="s">
        <v>69</v>
      </c>
      <c r="E26" s="12"/>
    </row>
    <row r="27" spans="1:5">
      <c r="A27" s="9">
        <v>43035</v>
      </c>
      <c r="B27" s="5" t="s">
        <v>343</v>
      </c>
      <c r="C27" s="11">
        <v>21047.46</v>
      </c>
      <c r="D27" s="5" t="s">
        <v>70</v>
      </c>
      <c r="E27" s="12"/>
    </row>
    <row r="28" spans="1:5">
      <c r="A28" s="9">
        <v>43037</v>
      </c>
      <c r="B28" s="5" t="s">
        <v>353</v>
      </c>
      <c r="C28" s="11">
        <v>39355.9</v>
      </c>
      <c r="D28" s="5" t="s">
        <v>69</v>
      </c>
      <c r="E28" s="12"/>
    </row>
    <row r="29" spans="1:5">
      <c r="A29" s="9">
        <v>43037</v>
      </c>
      <c r="B29" s="5" t="s">
        <v>352</v>
      </c>
      <c r="C29" s="11">
        <v>51825.54</v>
      </c>
      <c r="D29" s="5" t="s">
        <v>69</v>
      </c>
      <c r="E29" s="12"/>
    </row>
    <row r="30" spans="1:5">
      <c r="A30" s="9">
        <v>43036</v>
      </c>
      <c r="B30" s="5" t="s">
        <v>358</v>
      </c>
      <c r="C30" s="11">
        <v>46132.7</v>
      </c>
      <c r="D30" s="5" t="s">
        <v>70</v>
      </c>
      <c r="E30" s="12"/>
    </row>
    <row r="31" spans="1:5">
      <c r="A31" s="9">
        <v>43035</v>
      </c>
      <c r="B31" s="5" t="s">
        <v>333</v>
      </c>
      <c r="C31" s="11">
        <v>26886.58</v>
      </c>
      <c r="D31" s="5" t="s">
        <v>75</v>
      </c>
      <c r="E31" s="12"/>
    </row>
    <row r="32" spans="1:5">
      <c r="A32" s="9">
        <v>43037</v>
      </c>
      <c r="B32" s="10" t="s">
        <v>317</v>
      </c>
      <c r="C32" s="11">
        <v>19582</v>
      </c>
      <c r="D32" s="5" t="s">
        <v>70</v>
      </c>
      <c r="E32" s="12"/>
    </row>
    <row r="33" spans="1:5">
      <c r="A33" s="9">
        <v>43037</v>
      </c>
      <c r="B33" s="5" t="s">
        <v>336</v>
      </c>
      <c r="C33" s="11">
        <v>26583.38</v>
      </c>
      <c r="D33" s="5" t="s">
        <v>73</v>
      </c>
      <c r="E33" s="12"/>
    </row>
    <row r="34" spans="1:5">
      <c r="A34" s="9">
        <v>43035</v>
      </c>
      <c r="B34" s="5" t="s">
        <v>343</v>
      </c>
      <c r="C34" s="11">
        <v>50005.46</v>
      </c>
      <c r="D34" s="5" t="s">
        <v>73</v>
      </c>
      <c r="E34" s="12"/>
    </row>
    <row r="35" spans="1:5">
      <c r="A35" s="9">
        <v>43036</v>
      </c>
      <c r="B35" s="5" t="s">
        <v>353</v>
      </c>
      <c r="C35" s="11">
        <v>39504.35</v>
      </c>
      <c r="D35" s="5" t="s">
        <v>70</v>
      </c>
      <c r="E35" s="12"/>
    </row>
    <row r="36" spans="1:5">
      <c r="A36" s="9">
        <v>43036</v>
      </c>
      <c r="B36" s="5" t="s">
        <v>352</v>
      </c>
      <c r="C36" s="11">
        <v>27062.38</v>
      </c>
      <c r="D36" s="5" t="s">
        <v>70</v>
      </c>
      <c r="E36" s="12"/>
    </row>
    <row r="37" spans="1:5">
      <c r="A37" s="9">
        <v>43035</v>
      </c>
      <c r="B37" s="5" t="s">
        <v>358</v>
      </c>
      <c r="C37" s="11">
        <v>37596.83</v>
      </c>
      <c r="D37" s="5" t="s">
        <v>73</v>
      </c>
      <c r="E37" s="12"/>
    </row>
    <row r="38" spans="1:5">
      <c r="A38" s="9">
        <v>43036</v>
      </c>
      <c r="B38" s="5" t="s">
        <v>333</v>
      </c>
      <c r="C38" s="11">
        <v>17503.63</v>
      </c>
      <c r="D38" s="5" t="s">
        <v>73</v>
      </c>
      <c r="E38" s="12"/>
    </row>
    <row r="39" spans="1:5">
      <c r="A39" s="9">
        <v>43037</v>
      </c>
      <c r="B39" s="10" t="s">
        <v>317</v>
      </c>
      <c r="C39" s="11">
        <v>44613.04</v>
      </c>
      <c r="D39" s="5" t="s">
        <v>70</v>
      </c>
      <c r="E39" s="12"/>
    </row>
    <row r="40" spans="1:5">
      <c r="A40" s="9">
        <v>43036</v>
      </c>
      <c r="B40" s="5" t="s">
        <v>336</v>
      </c>
      <c r="C40" s="11">
        <v>37078.78</v>
      </c>
      <c r="D40" s="5" t="s">
        <v>73</v>
      </c>
      <c r="E40" s="12"/>
    </row>
    <row r="41" spans="1:5">
      <c r="A41" s="9">
        <v>43036</v>
      </c>
      <c r="B41" s="5" t="s">
        <v>343</v>
      </c>
      <c r="C41" s="11">
        <v>49263.43</v>
      </c>
      <c r="D41" s="5" t="s">
        <v>73</v>
      </c>
      <c r="E41" s="12"/>
    </row>
    <row r="42" spans="1:5">
      <c r="A42" s="9">
        <v>43036</v>
      </c>
      <c r="B42" s="5" t="s">
        <v>353</v>
      </c>
      <c r="C42" s="11">
        <v>48007.08</v>
      </c>
      <c r="D42" s="5" t="s">
        <v>70</v>
      </c>
      <c r="E42" s="12"/>
    </row>
    <row r="43" spans="1:5">
      <c r="A43" s="9">
        <v>43036</v>
      </c>
      <c r="B43" s="5" t="s">
        <v>352</v>
      </c>
      <c r="C43" s="11">
        <v>48005.27</v>
      </c>
      <c r="D43" s="5" t="s">
        <v>70</v>
      </c>
      <c r="E43" s="12"/>
    </row>
    <row r="44" spans="1:5">
      <c r="A44" s="9">
        <v>43035</v>
      </c>
      <c r="B44" s="5" t="s">
        <v>358</v>
      </c>
      <c r="C44" s="11">
        <v>17338.52</v>
      </c>
      <c r="D44" s="5" t="s">
        <v>75</v>
      </c>
      <c r="E44" s="12"/>
    </row>
    <row r="45" spans="1:5">
      <c r="A45" s="9">
        <v>43037</v>
      </c>
      <c r="B45" s="5" t="s">
        <v>333</v>
      </c>
      <c r="C45" s="11">
        <v>50540.8</v>
      </c>
      <c r="D45" s="5" t="s">
        <v>73</v>
      </c>
      <c r="E45" s="12"/>
    </row>
    <row r="46" spans="1:5">
      <c r="A46" s="9">
        <v>43035</v>
      </c>
      <c r="B46" s="10" t="s">
        <v>317</v>
      </c>
      <c r="C46" s="11">
        <v>18348.5</v>
      </c>
      <c r="D46" s="5" t="s">
        <v>71</v>
      </c>
      <c r="E46" s="12"/>
    </row>
    <row r="47" spans="1:5">
      <c r="A47" s="9">
        <v>43035</v>
      </c>
      <c r="B47" s="5" t="s">
        <v>336</v>
      </c>
      <c r="C47" s="11">
        <v>19493.79</v>
      </c>
      <c r="D47" s="5" t="s">
        <v>70</v>
      </c>
      <c r="E47" s="12"/>
    </row>
    <row r="48" spans="1:5">
      <c r="A48" s="9">
        <v>43037</v>
      </c>
      <c r="B48" s="5" t="s">
        <v>343</v>
      </c>
      <c r="C48" s="11">
        <v>25045.37</v>
      </c>
      <c r="D48" s="5" t="s">
        <v>75</v>
      </c>
      <c r="E48" s="12"/>
    </row>
    <row r="49" spans="1:5">
      <c r="A49" s="9">
        <v>43037</v>
      </c>
      <c r="B49" s="5" t="s">
        <v>353</v>
      </c>
      <c r="C49" s="11">
        <v>38666.73</v>
      </c>
      <c r="D49" s="5" t="s">
        <v>70</v>
      </c>
      <c r="E49" s="12"/>
    </row>
    <row r="50" spans="1:5">
      <c r="A50" s="9">
        <v>43036</v>
      </c>
      <c r="B50" s="5" t="s">
        <v>352</v>
      </c>
      <c r="C50" s="11">
        <v>41828.75</v>
      </c>
      <c r="D50" s="5" t="s">
        <v>73</v>
      </c>
      <c r="E50" s="12"/>
    </row>
    <row r="51" spans="1:5">
      <c r="A51" s="9">
        <v>43035</v>
      </c>
      <c r="B51" s="5" t="s">
        <v>358</v>
      </c>
      <c r="C51" s="11">
        <v>39413.16</v>
      </c>
      <c r="D51" s="5" t="s">
        <v>70</v>
      </c>
      <c r="E51" s="12"/>
    </row>
    <row r="52" spans="1:5">
      <c r="A52" s="9">
        <v>43037</v>
      </c>
      <c r="B52" s="5" t="s">
        <v>333</v>
      </c>
      <c r="C52" s="11">
        <v>44391.17</v>
      </c>
      <c r="D52" s="5" t="s">
        <v>69</v>
      </c>
      <c r="E52" s="12"/>
    </row>
    <row r="53" spans="1:5">
      <c r="A53" s="9">
        <v>43036</v>
      </c>
      <c r="B53" s="10" t="s">
        <v>317</v>
      </c>
      <c r="C53" s="11">
        <v>49972.54</v>
      </c>
      <c r="D53" s="5" t="s">
        <v>69</v>
      </c>
      <c r="E53" s="12"/>
    </row>
  </sheetData>
  <sortState ref="F4:G8">
    <sortCondition ref="F4"/>
  </sortState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C53"/>
  <sheetViews>
    <sheetView zoomScale="130" zoomScaleNormal="130" topLeftCell="A4" workbookViewId="0">
      <selection activeCell="G20" sqref="G20"/>
    </sheetView>
  </sheetViews>
  <sheetFormatPr defaultColWidth="9" defaultRowHeight="15" outlineLevelCol="2"/>
  <cols>
    <col min="1" max="1" width="45.1428571428571" customWidth="1"/>
  </cols>
  <sheetData>
    <row r="1" spans="1:3">
      <c r="A1" s="1" t="s">
        <v>367</v>
      </c>
      <c r="B1" s="2"/>
      <c r="C1" s="3"/>
    </row>
    <row r="3" spans="1:2">
      <c r="A3" s="4" t="s">
        <v>368</v>
      </c>
      <c r="B3" s="4" t="s">
        <v>369</v>
      </c>
    </row>
    <row r="4" spans="1:2">
      <c r="A4" s="5" t="s">
        <v>370</v>
      </c>
      <c r="B4" s="6" t="str">
        <f>RIGHT(A4,5)</f>
        <v>99654</v>
      </c>
    </row>
    <row r="5" spans="1:2">
      <c r="A5" s="5" t="s">
        <v>371</v>
      </c>
      <c r="B5" s="6" t="str">
        <f t="shared" ref="B5:B36" si="0">RIGHT(A5,5)</f>
        <v>81001</v>
      </c>
    </row>
    <row r="6" spans="1:2">
      <c r="A6" s="5" t="s">
        <v>372</v>
      </c>
      <c r="B6" s="6" t="str">
        <f t="shared" si="0"/>
        <v>77016</v>
      </c>
    </row>
    <row r="7" spans="1:2">
      <c r="A7" s="5" t="s">
        <v>373</v>
      </c>
      <c r="B7" s="6" t="str">
        <f t="shared" si="0"/>
        <v>08060</v>
      </c>
    </row>
    <row r="8" spans="1:2">
      <c r="A8" s="5" t="s">
        <v>374</v>
      </c>
      <c r="B8" s="6" t="str">
        <f t="shared" si="0"/>
        <v>20109</v>
      </c>
    </row>
    <row r="9" spans="1:2">
      <c r="A9" s="5" t="s">
        <v>375</v>
      </c>
      <c r="B9" s="6" t="str">
        <f t="shared" si="0"/>
        <v>28303</v>
      </c>
    </row>
    <row r="10" spans="1:2">
      <c r="A10" s="5" t="s">
        <v>376</v>
      </c>
      <c r="B10" s="6" t="str">
        <f t="shared" si="0"/>
        <v>27502</v>
      </c>
    </row>
    <row r="11" spans="1:2">
      <c r="A11" s="5" t="s">
        <v>377</v>
      </c>
      <c r="B11" s="6" t="str">
        <f t="shared" si="0"/>
        <v>10801</v>
      </c>
    </row>
    <row r="12" spans="1:2">
      <c r="A12" s="5" t="s">
        <v>378</v>
      </c>
      <c r="B12" s="6" t="str">
        <f t="shared" si="0"/>
        <v>50265</v>
      </c>
    </row>
    <row r="13" spans="1:2">
      <c r="A13" s="5" t="s">
        <v>379</v>
      </c>
      <c r="B13" s="6" t="str">
        <f t="shared" si="0"/>
        <v>14701</v>
      </c>
    </row>
    <row r="14" spans="1:2">
      <c r="A14" s="5" t="s">
        <v>380</v>
      </c>
      <c r="B14" s="6" t="str">
        <f t="shared" si="0"/>
        <v>11801</v>
      </c>
    </row>
    <row r="15" spans="1:2">
      <c r="A15" s="5" t="s">
        <v>381</v>
      </c>
      <c r="B15" s="6" t="str">
        <f t="shared" si="0"/>
        <v>90505</v>
      </c>
    </row>
    <row r="16" spans="1:2">
      <c r="A16" s="5" t="s">
        <v>382</v>
      </c>
      <c r="B16" s="6" t="str">
        <f t="shared" si="0"/>
        <v>40004</v>
      </c>
    </row>
    <row r="17" spans="1:2">
      <c r="A17" s="5" t="s">
        <v>383</v>
      </c>
      <c r="B17" s="6" t="str">
        <f t="shared" si="0"/>
        <v>06473</v>
      </c>
    </row>
    <row r="18" spans="1:2">
      <c r="A18" s="5" t="s">
        <v>384</v>
      </c>
      <c r="B18" s="6" t="str">
        <f t="shared" si="0"/>
        <v>07011</v>
      </c>
    </row>
    <row r="19" spans="1:2">
      <c r="A19" s="5" t="s">
        <v>385</v>
      </c>
      <c r="B19" s="6" t="str">
        <f t="shared" si="0"/>
        <v>29621</v>
      </c>
    </row>
    <row r="20" spans="1:2">
      <c r="A20" s="5" t="s">
        <v>386</v>
      </c>
      <c r="B20" s="6" t="str">
        <f t="shared" si="0"/>
        <v>60048</v>
      </c>
    </row>
    <row r="21" spans="1:2">
      <c r="A21" s="5" t="s">
        <v>387</v>
      </c>
      <c r="B21" s="6" t="str">
        <f t="shared" si="0"/>
        <v>02816</v>
      </c>
    </row>
    <row r="22" spans="1:2">
      <c r="A22" s="5" t="s">
        <v>388</v>
      </c>
      <c r="B22" s="6" t="str">
        <f t="shared" si="0"/>
        <v>60448</v>
      </c>
    </row>
    <row r="23" spans="1:2">
      <c r="A23" s="5" t="s">
        <v>389</v>
      </c>
      <c r="B23" s="6" t="str">
        <f t="shared" si="0"/>
        <v>22601</v>
      </c>
    </row>
    <row r="24" spans="1:2">
      <c r="A24" s="5" t="s">
        <v>390</v>
      </c>
      <c r="B24" s="6" t="str">
        <f t="shared" si="0"/>
        <v>45011</v>
      </c>
    </row>
    <row r="25" spans="1:2">
      <c r="A25" s="5" t="s">
        <v>391</v>
      </c>
      <c r="B25" s="6" t="str">
        <f t="shared" si="0"/>
        <v>08043</v>
      </c>
    </row>
    <row r="26" spans="1:2">
      <c r="A26" s="5" t="s">
        <v>392</v>
      </c>
      <c r="B26" s="6" t="str">
        <f t="shared" si="0"/>
        <v>06705</v>
      </c>
    </row>
    <row r="27" spans="1:2">
      <c r="A27" s="5" t="s">
        <v>393</v>
      </c>
      <c r="B27" s="6" t="str">
        <f t="shared" si="0"/>
        <v>30047</v>
      </c>
    </row>
    <row r="28" spans="1:2">
      <c r="A28" s="5" t="s">
        <v>394</v>
      </c>
      <c r="B28" s="6" t="str">
        <f t="shared" si="0"/>
        <v>30605</v>
      </c>
    </row>
    <row r="29" spans="1:2">
      <c r="A29" s="5" t="s">
        <v>395</v>
      </c>
      <c r="B29" s="6" t="str">
        <f t="shared" si="0"/>
        <v>30721</v>
      </c>
    </row>
    <row r="30" spans="1:2">
      <c r="A30" s="5" t="s">
        <v>396</v>
      </c>
      <c r="B30" s="6" t="str">
        <f t="shared" si="0"/>
        <v>33435</v>
      </c>
    </row>
    <row r="31" spans="1:2">
      <c r="A31" s="5" t="s">
        <v>397</v>
      </c>
      <c r="B31" s="6" t="str">
        <f t="shared" si="0"/>
        <v>45365</v>
      </c>
    </row>
    <row r="32" spans="1:2">
      <c r="A32" s="5" t="s">
        <v>398</v>
      </c>
      <c r="B32" s="6" t="str">
        <f t="shared" si="0"/>
        <v>37013</v>
      </c>
    </row>
    <row r="33" spans="1:2">
      <c r="A33" s="5" t="s">
        <v>399</v>
      </c>
      <c r="B33" s="6" t="str">
        <f t="shared" si="0"/>
        <v>23503</v>
      </c>
    </row>
    <row r="34" spans="1:2">
      <c r="A34" s="5" t="s">
        <v>400</v>
      </c>
      <c r="B34" s="6" t="str">
        <f t="shared" si="0"/>
        <v>43701</v>
      </c>
    </row>
    <row r="35" spans="1:2">
      <c r="A35" s="5" t="s">
        <v>401</v>
      </c>
      <c r="B35" s="6" t="str">
        <f t="shared" si="0"/>
        <v>52722</v>
      </c>
    </row>
    <row r="36" spans="1:2">
      <c r="A36" s="5" t="s">
        <v>402</v>
      </c>
      <c r="B36" s="6" t="str">
        <f t="shared" si="0"/>
        <v>19047</v>
      </c>
    </row>
    <row r="37" spans="1:2">
      <c r="A37" s="5" t="s">
        <v>403</v>
      </c>
      <c r="B37" s="6" t="str">
        <f t="shared" ref="B37:B53" si="1">RIGHT(A37,5)</f>
        <v>30542</v>
      </c>
    </row>
    <row r="38" spans="1:2">
      <c r="A38" s="5" t="s">
        <v>404</v>
      </c>
      <c r="B38" s="6" t="str">
        <f t="shared" si="1"/>
        <v>22180</v>
      </c>
    </row>
    <row r="39" spans="1:2">
      <c r="A39" s="5" t="s">
        <v>405</v>
      </c>
      <c r="B39" s="6" t="str">
        <f t="shared" si="1"/>
        <v>37601</v>
      </c>
    </row>
    <row r="40" spans="1:2">
      <c r="A40" s="5" t="s">
        <v>406</v>
      </c>
      <c r="B40" s="6" t="str">
        <f t="shared" si="1"/>
        <v>11731</v>
      </c>
    </row>
    <row r="41" spans="1:2">
      <c r="A41" s="5" t="s">
        <v>407</v>
      </c>
      <c r="B41" s="6" t="str">
        <f t="shared" si="1"/>
        <v>30188</v>
      </c>
    </row>
    <row r="42" spans="1:2">
      <c r="A42" s="5" t="s">
        <v>408</v>
      </c>
      <c r="B42" s="6" t="str">
        <f t="shared" si="1"/>
        <v>34990</v>
      </c>
    </row>
    <row r="43" spans="1:2">
      <c r="A43" s="5" t="s">
        <v>409</v>
      </c>
      <c r="B43" s="6" t="str">
        <f t="shared" si="1"/>
        <v>06902</v>
      </c>
    </row>
    <row r="44" spans="1:2">
      <c r="A44" s="5" t="s">
        <v>410</v>
      </c>
      <c r="B44" s="6" t="str">
        <f t="shared" si="1"/>
        <v>08861</v>
      </c>
    </row>
    <row r="45" spans="1:2">
      <c r="A45" s="5" t="s">
        <v>411</v>
      </c>
      <c r="B45" s="6" t="str">
        <f t="shared" si="1"/>
        <v>08205</v>
      </c>
    </row>
    <row r="46" spans="1:2">
      <c r="A46" s="5" t="s">
        <v>412</v>
      </c>
      <c r="B46" s="6" t="str">
        <f t="shared" si="1"/>
        <v>06410</v>
      </c>
    </row>
    <row r="47" spans="1:2">
      <c r="A47" s="5" t="s">
        <v>413</v>
      </c>
      <c r="B47" s="6" t="str">
        <f t="shared" si="1"/>
        <v>30303</v>
      </c>
    </row>
    <row r="48" spans="1:2">
      <c r="A48" s="5" t="s">
        <v>414</v>
      </c>
      <c r="B48" s="6" t="str">
        <f t="shared" si="1"/>
        <v>43110</v>
      </c>
    </row>
    <row r="49" spans="1:2">
      <c r="A49" s="5" t="s">
        <v>415</v>
      </c>
      <c r="B49" s="6" t="str">
        <f t="shared" si="1"/>
        <v>06109</v>
      </c>
    </row>
    <row r="50" spans="1:2">
      <c r="A50" s="5" t="s">
        <v>416</v>
      </c>
      <c r="B50" s="6" t="str">
        <f t="shared" si="1"/>
        <v>30004</v>
      </c>
    </row>
    <row r="51" spans="1:2">
      <c r="A51" s="5" t="s">
        <v>417</v>
      </c>
      <c r="B51" s="6" t="str">
        <f t="shared" si="1"/>
        <v>06770</v>
      </c>
    </row>
    <row r="52" spans="1:2">
      <c r="A52" s="5" t="s">
        <v>418</v>
      </c>
      <c r="B52" s="6" t="str">
        <f t="shared" si="1"/>
        <v>36109</v>
      </c>
    </row>
    <row r="53" spans="1:2">
      <c r="A53" s="5" t="s">
        <v>419</v>
      </c>
      <c r="B53" s="6" t="str">
        <f t="shared" si="1"/>
        <v>44052</v>
      </c>
    </row>
  </sheetData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C53"/>
  <sheetViews>
    <sheetView zoomScale="130" zoomScaleNormal="130" workbookViewId="0">
      <selection activeCell="B4" sqref="B4"/>
    </sheetView>
  </sheetViews>
  <sheetFormatPr defaultColWidth="9" defaultRowHeight="15" outlineLevelCol="2"/>
  <cols>
    <col min="1" max="1" width="45.1428571428571" customWidth="1"/>
  </cols>
  <sheetData>
    <row r="1" spans="1:3">
      <c r="A1" s="1" t="s">
        <v>367</v>
      </c>
      <c r="B1" s="2"/>
      <c r="C1" s="3"/>
    </row>
    <row r="3" spans="1:2">
      <c r="A3" s="4" t="s">
        <v>368</v>
      </c>
      <c r="B3" s="4" t="s">
        <v>369</v>
      </c>
    </row>
    <row r="4" spans="1:2">
      <c r="A4" s="5" t="s">
        <v>370</v>
      </c>
      <c r="B4" s="6" t="str">
        <f>RIGHT(A4,5)</f>
        <v>99654</v>
      </c>
    </row>
    <row r="5" spans="1:2">
      <c r="A5" s="5" t="s">
        <v>371</v>
      </c>
      <c r="B5" s="6" t="str">
        <f t="shared" ref="B5:B53" si="0">RIGHT(A5,5)</f>
        <v>81001</v>
      </c>
    </row>
    <row r="6" spans="1:2">
      <c r="A6" s="5" t="s">
        <v>372</v>
      </c>
      <c r="B6" s="6" t="str">
        <f t="shared" si="0"/>
        <v>77016</v>
      </c>
    </row>
    <row r="7" spans="1:2">
      <c r="A7" s="5" t="s">
        <v>373</v>
      </c>
      <c r="B7" s="6" t="str">
        <f t="shared" si="0"/>
        <v>08060</v>
      </c>
    </row>
    <row r="8" spans="1:2">
      <c r="A8" s="5" t="s">
        <v>374</v>
      </c>
      <c r="B8" s="6" t="str">
        <f t="shared" si="0"/>
        <v>20109</v>
      </c>
    </row>
    <row r="9" spans="1:2">
      <c r="A9" s="5" t="s">
        <v>375</v>
      </c>
      <c r="B9" s="6" t="str">
        <f t="shared" si="0"/>
        <v>28303</v>
      </c>
    </row>
    <row r="10" spans="1:2">
      <c r="A10" s="5" t="s">
        <v>376</v>
      </c>
      <c r="B10" s="6" t="str">
        <f t="shared" si="0"/>
        <v>27502</v>
      </c>
    </row>
    <row r="11" spans="1:2">
      <c r="A11" s="5" t="s">
        <v>377</v>
      </c>
      <c r="B11" s="6" t="str">
        <f t="shared" si="0"/>
        <v>10801</v>
      </c>
    </row>
    <row r="12" spans="1:2">
      <c r="A12" s="5" t="s">
        <v>378</v>
      </c>
      <c r="B12" s="6" t="str">
        <f t="shared" si="0"/>
        <v>50265</v>
      </c>
    </row>
    <row r="13" spans="1:2">
      <c r="A13" s="5" t="s">
        <v>379</v>
      </c>
      <c r="B13" s="6" t="str">
        <f t="shared" si="0"/>
        <v>14701</v>
      </c>
    </row>
    <row r="14" spans="1:2">
      <c r="A14" s="5" t="s">
        <v>380</v>
      </c>
      <c r="B14" s="6" t="str">
        <f t="shared" si="0"/>
        <v>11801</v>
      </c>
    </row>
    <row r="15" spans="1:2">
      <c r="A15" s="5" t="s">
        <v>381</v>
      </c>
      <c r="B15" s="6" t="str">
        <f t="shared" si="0"/>
        <v>90505</v>
      </c>
    </row>
    <row r="16" spans="1:2">
      <c r="A16" s="5" t="s">
        <v>382</v>
      </c>
      <c r="B16" s="6" t="str">
        <f t="shared" si="0"/>
        <v>40004</v>
      </c>
    </row>
    <row r="17" spans="1:2">
      <c r="A17" s="5" t="s">
        <v>383</v>
      </c>
      <c r="B17" s="6" t="str">
        <f t="shared" si="0"/>
        <v>06473</v>
      </c>
    </row>
    <row r="18" spans="1:2">
      <c r="A18" s="5" t="s">
        <v>384</v>
      </c>
      <c r="B18" s="6" t="str">
        <f t="shared" si="0"/>
        <v>07011</v>
      </c>
    </row>
    <row r="19" spans="1:2">
      <c r="A19" s="5" t="s">
        <v>385</v>
      </c>
      <c r="B19" s="6" t="str">
        <f t="shared" si="0"/>
        <v>29621</v>
      </c>
    </row>
    <row r="20" spans="1:2">
      <c r="A20" s="5" t="s">
        <v>386</v>
      </c>
      <c r="B20" s="6" t="str">
        <f t="shared" si="0"/>
        <v>60048</v>
      </c>
    </row>
    <row r="21" spans="1:2">
      <c r="A21" s="5" t="s">
        <v>387</v>
      </c>
      <c r="B21" s="6" t="str">
        <f t="shared" si="0"/>
        <v>02816</v>
      </c>
    </row>
    <row r="22" spans="1:2">
      <c r="A22" s="5" t="s">
        <v>388</v>
      </c>
      <c r="B22" s="6" t="str">
        <f t="shared" si="0"/>
        <v>60448</v>
      </c>
    </row>
    <row r="23" spans="1:2">
      <c r="A23" s="5" t="s">
        <v>389</v>
      </c>
      <c r="B23" s="6" t="str">
        <f t="shared" si="0"/>
        <v>22601</v>
      </c>
    </row>
    <row r="24" spans="1:2">
      <c r="A24" s="5" t="s">
        <v>390</v>
      </c>
      <c r="B24" s="6" t="str">
        <f t="shared" si="0"/>
        <v>45011</v>
      </c>
    </row>
    <row r="25" spans="1:2">
      <c r="A25" s="5" t="s">
        <v>391</v>
      </c>
      <c r="B25" s="6" t="str">
        <f t="shared" si="0"/>
        <v>08043</v>
      </c>
    </row>
    <row r="26" spans="1:2">
      <c r="A26" s="5" t="s">
        <v>392</v>
      </c>
      <c r="B26" s="6" t="str">
        <f t="shared" si="0"/>
        <v>06705</v>
      </c>
    </row>
    <row r="27" spans="1:2">
      <c r="A27" s="5" t="s">
        <v>393</v>
      </c>
      <c r="B27" s="6" t="str">
        <f t="shared" si="0"/>
        <v>30047</v>
      </c>
    </row>
    <row r="28" spans="1:2">
      <c r="A28" s="5" t="s">
        <v>394</v>
      </c>
      <c r="B28" s="6" t="str">
        <f t="shared" si="0"/>
        <v>30605</v>
      </c>
    </row>
    <row r="29" spans="1:2">
      <c r="A29" s="5" t="s">
        <v>395</v>
      </c>
      <c r="B29" s="6" t="str">
        <f t="shared" si="0"/>
        <v>30721</v>
      </c>
    </row>
    <row r="30" spans="1:2">
      <c r="A30" s="5" t="s">
        <v>396</v>
      </c>
      <c r="B30" s="6" t="str">
        <f t="shared" si="0"/>
        <v>33435</v>
      </c>
    </row>
    <row r="31" spans="1:2">
      <c r="A31" s="5" t="s">
        <v>397</v>
      </c>
      <c r="B31" s="6" t="str">
        <f t="shared" si="0"/>
        <v>45365</v>
      </c>
    </row>
    <row r="32" spans="1:2">
      <c r="A32" s="5" t="s">
        <v>398</v>
      </c>
      <c r="B32" s="6" t="str">
        <f t="shared" si="0"/>
        <v>37013</v>
      </c>
    </row>
    <row r="33" spans="1:2">
      <c r="A33" s="5" t="s">
        <v>399</v>
      </c>
      <c r="B33" s="6" t="str">
        <f t="shared" si="0"/>
        <v>23503</v>
      </c>
    </row>
    <row r="34" spans="1:2">
      <c r="A34" s="5" t="s">
        <v>400</v>
      </c>
      <c r="B34" s="6" t="str">
        <f t="shared" si="0"/>
        <v>43701</v>
      </c>
    </row>
    <row r="35" spans="1:2">
      <c r="A35" s="5" t="s">
        <v>401</v>
      </c>
      <c r="B35" s="6" t="str">
        <f t="shared" si="0"/>
        <v>52722</v>
      </c>
    </row>
    <row r="36" spans="1:2">
      <c r="A36" s="5" t="s">
        <v>402</v>
      </c>
      <c r="B36" s="6" t="str">
        <f t="shared" si="0"/>
        <v>19047</v>
      </c>
    </row>
    <row r="37" spans="1:2">
      <c r="A37" s="5" t="s">
        <v>403</v>
      </c>
      <c r="B37" s="6" t="str">
        <f t="shared" si="0"/>
        <v>30542</v>
      </c>
    </row>
    <row r="38" spans="1:2">
      <c r="A38" s="5" t="s">
        <v>404</v>
      </c>
      <c r="B38" s="6" t="str">
        <f t="shared" si="0"/>
        <v>22180</v>
      </c>
    </row>
    <row r="39" spans="1:2">
      <c r="A39" s="5" t="s">
        <v>405</v>
      </c>
      <c r="B39" s="6" t="str">
        <f t="shared" si="0"/>
        <v>37601</v>
      </c>
    </row>
    <row r="40" spans="1:2">
      <c r="A40" s="5" t="s">
        <v>406</v>
      </c>
      <c r="B40" s="6" t="str">
        <f t="shared" si="0"/>
        <v>11731</v>
      </c>
    </row>
    <row r="41" spans="1:2">
      <c r="A41" s="5" t="s">
        <v>407</v>
      </c>
      <c r="B41" s="6" t="str">
        <f t="shared" si="0"/>
        <v>30188</v>
      </c>
    </row>
    <row r="42" spans="1:2">
      <c r="A42" s="5" t="s">
        <v>408</v>
      </c>
      <c r="B42" s="6" t="str">
        <f t="shared" si="0"/>
        <v>34990</v>
      </c>
    </row>
    <row r="43" spans="1:2">
      <c r="A43" s="5" t="s">
        <v>409</v>
      </c>
      <c r="B43" s="6" t="str">
        <f t="shared" si="0"/>
        <v>06902</v>
      </c>
    </row>
    <row r="44" spans="1:2">
      <c r="A44" s="5" t="s">
        <v>410</v>
      </c>
      <c r="B44" s="6" t="str">
        <f t="shared" si="0"/>
        <v>08861</v>
      </c>
    </row>
    <row r="45" spans="1:2">
      <c r="A45" s="5" t="s">
        <v>411</v>
      </c>
      <c r="B45" s="6" t="str">
        <f t="shared" si="0"/>
        <v>08205</v>
      </c>
    </row>
    <row r="46" spans="1:2">
      <c r="A46" s="5" t="s">
        <v>412</v>
      </c>
      <c r="B46" s="6" t="str">
        <f t="shared" si="0"/>
        <v>06410</v>
      </c>
    </row>
    <row r="47" spans="1:2">
      <c r="A47" s="5" t="s">
        <v>413</v>
      </c>
      <c r="B47" s="6" t="str">
        <f t="shared" si="0"/>
        <v>30303</v>
      </c>
    </row>
    <row r="48" spans="1:2">
      <c r="A48" s="5" t="s">
        <v>414</v>
      </c>
      <c r="B48" s="6" t="str">
        <f t="shared" si="0"/>
        <v>43110</v>
      </c>
    </row>
    <row r="49" spans="1:2">
      <c r="A49" s="5" t="s">
        <v>415</v>
      </c>
      <c r="B49" s="6" t="str">
        <f t="shared" si="0"/>
        <v>06109</v>
      </c>
    </row>
    <row r="50" spans="1:2">
      <c r="A50" s="5" t="s">
        <v>416</v>
      </c>
      <c r="B50" s="6" t="str">
        <f t="shared" si="0"/>
        <v>30004</v>
      </c>
    </row>
    <row r="51" spans="1:2">
      <c r="A51" s="5" t="s">
        <v>417</v>
      </c>
      <c r="B51" s="6" t="str">
        <f t="shared" si="0"/>
        <v>06770</v>
      </c>
    </row>
    <row r="52" spans="1:2">
      <c r="A52" s="5" t="s">
        <v>418</v>
      </c>
      <c r="B52" s="6" t="str">
        <f t="shared" si="0"/>
        <v>36109</v>
      </c>
    </row>
    <row r="53" spans="1:2">
      <c r="A53" s="5" t="s">
        <v>419</v>
      </c>
      <c r="B53" s="6" t="str">
        <f t="shared" si="0"/>
        <v>44052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Cover</vt:lpstr>
      <vt:lpstr>FT &amp; FE</vt:lpstr>
      <vt:lpstr>FT &amp; FE (an)</vt:lpstr>
      <vt:lpstr>HW===&gt;&gt;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  <vt:lpstr>HW(5)</vt:lpstr>
      <vt:lpstr>HW(5an)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2017-10-31T23:26:00Z</dcterms:created>
  <dcterms:modified xsi:type="dcterms:W3CDTF">2023-06-03T11:46:55Z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12fdb5a4-fb16-4a3e-9b91-6838b9174799</vt:lpwstr>
  </property>
  <property fmtid="{D5CDD505-2E9C-101B-9397-08002B2CF9AE}" pid="3" name="ICV">
    <vt:lpwstr>A681256FDDF64B2EA40EB04D5F3FCB95</vt:lpwstr>
  </property>
  <property fmtid="{D5CDD505-2E9C-101B-9397-08002B2CF9AE}" pid="4" name="KSOProductBuildVer">
    <vt:lpwstr>1033-11.2.0.11537</vt:lpwstr>
  </property>
</Properties>
</file>