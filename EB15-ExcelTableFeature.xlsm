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695" firstSheet="11" activeTab="14"/>
  </bookViews>
  <sheets>
    <sheet name="Cover" sheetId="1" r:id="rId1"/>
    <sheet name="VLOOKUP DVL" sheetId="33" r:id="rId2"/>
    <sheet name="VLOOKUP DVL (an)" sheetId="41" r:id="rId3"/>
    <sheet name="Chart" sheetId="38" r:id="rId4"/>
    <sheet name="Chart (an)" sheetId="34" r:id="rId5"/>
    <sheet name="PivotTable" sheetId="39" r:id="rId6"/>
    <sheet name="PivotTable (an)" sheetId="35" r:id="rId7"/>
    <sheet name="SUM" sheetId="40" r:id="rId8"/>
    <sheet name="SUM (an)" sheetId="36" r:id="rId9"/>
    <sheet name="New Column &amp; VLOOKUP" sheetId="42" r:id="rId10"/>
    <sheet name="New Column &amp; VLOOKUP (an)" sheetId="50" r:id="rId11"/>
    <sheet name="HW==&gt;&gt;" sheetId="44" r:id="rId12"/>
    <sheet name="HW(1)" sheetId="45" r:id="rId13"/>
    <sheet name="HW(1an)" sheetId="46" r:id="rId14"/>
    <sheet name="HW(2)" sheetId="47" r:id="rId15"/>
    <sheet name="HW(2an)" sheetId="49" r:id="rId16"/>
  </sheets>
  <calcPr calcId="144525"/>
  <pivotCaches>
    <pivotCache cacheId="0" r:id="rId17"/>
    <pivotCache cacheId="1" r:id="rId18"/>
    <pivotCache cacheId="2" r:id="rId19"/>
    <pivotCache cacheId="3" r:id="rId20"/>
  </pivotCaches>
</workbook>
</file>

<file path=xl/sharedStrings.xml><?xml version="1.0" encoding="utf-8"?>
<sst xmlns="http://schemas.openxmlformats.org/spreadsheetml/2006/main" count="6529" uniqueCount="114">
  <si>
    <t>Excel Basics 15: Excel Table Feature to Create Dynamic Ranges for VLOOKUP, PivotTables, &amp; more!</t>
  </si>
  <si>
    <t>Office 2016 Video #27</t>
  </si>
  <si>
    <t>Examples:</t>
  </si>
  <si>
    <t>Example 5: Add New Column to an Excel Table AND</t>
  </si>
  <si>
    <t>Create Approximate Match Lookup Table from a written statement.</t>
  </si>
  <si>
    <t>Excel Table Feature</t>
  </si>
  <si>
    <t>Requirements:</t>
  </si>
  <si>
    <r>
      <rPr>
        <sz val="11"/>
        <color theme="1"/>
        <rFont val="Calibri"/>
        <charset val="134"/>
        <scheme val="minor"/>
      </rPr>
      <t xml:space="preserve">1) You must have a Proper Data Set </t>
    </r>
    <r>
      <rPr>
        <sz val="8"/>
        <color theme="1"/>
        <rFont val="Calibri"/>
        <charset val="134"/>
        <scheme val="minor"/>
      </rPr>
      <t>(Field Names in 1st Row, 2) Records in Row, 3) Empty Cells All the way around)</t>
    </r>
  </si>
  <si>
    <t>2) Click in one cell in Proper Data Set</t>
  </si>
  <si>
    <r>
      <rPr>
        <sz val="11"/>
        <color theme="1"/>
        <rFont val="Calibri"/>
        <charset val="134"/>
        <scheme val="minor"/>
      </rPr>
      <t xml:space="preserve">3) Click on Table button in Table group in Interst Ribbon Tab (or just use keyboard: </t>
    </r>
    <r>
      <rPr>
        <b/>
        <sz val="11"/>
        <color theme="1"/>
        <rFont val="Calibri"/>
        <charset val="134"/>
        <scheme val="minor"/>
      </rPr>
      <t>Ctrl + T</t>
    </r>
    <r>
      <rPr>
        <sz val="11"/>
        <color theme="1"/>
        <rFont val="Calibri"/>
        <charset val="134"/>
        <scheme val="minor"/>
      </rPr>
      <t>)</t>
    </r>
  </si>
  <si>
    <t>4) Name Table in Table Tools Design Ribbon Tab, Properties group</t>
  </si>
  <si>
    <t>Advantages:</t>
  </si>
  <si>
    <t>1) When you add new records or columns, Formulas, Data Validation, Charts, PivotTables and other features that are pointing to table will update automatically</t>
  </si>
  <si>
    <t>This means that our Formulas, Data Validation and PivotTables will see any new data we add to our Excel Table.</t>
  </si>
  <si>
    <t>2) In Formulas we can use Table Formula Nomenclature: Table Names and then Field Names in Square Brackets</t>
  </si>
  <si>
    <t>Example 1: Excel Table feature for VLOOKUP &amp; Data Validation List</t>
  </si>
  <si>
    <t>Product</t>
  </si>
  <si>
    <t>Supplier</t>
  </si>
  <si>
    <t>Cost</t>
  </si>
  <si>
    <t>Retail Price</t>
  </si>
  <si>
    <t>Flying Eagle</t>
  </si>
  <si>
    <t>Channel Craft</t>
  </si>
  <si>
    <t>Bellen</t>
  </si>
  <si>
    <t>**[range_lookup] ==&gt;&gt; Exact Match = FALSE or 0</t>
  </si>
  <si>
    <t>V Rang</t>
  </si>
  <si>
    <t>Colorado</t>
  </si>
  <si>
    <t>Quad</t>
  </si>
  <si>
    <t>Gel Boom</t>
  </si>
  <si>
    <t>Carlota</t>
  </si>
  <si>
    <t>Aspen</t>
  </si>
  <si>
    <t>Example 2: Excel Table feature for Chart</t>
  </si>
  <si>
    <t>Date</t>
  </si>
  <si>
    <t>Your Name Sales</t>
  </si>
  <si>
    <t>Example 3: Excel Table feature for PivotTable</t>
  </si>
  <si>
    <t>New Records:</t>
  </si>
  <si>
    <t>Units Sold</t>
  </si>
  <si>
    <t>Yanaki</t>
  </si>
  <si>
    <t>Sunset</t>
  </si>
  <si>
    <t>Sum of Units Sold</t>
  </si>
  <si>
    <t>Grand Total</t>
  </si>
  <si>
    <t>Example 4: Excel Table feature for Other Formulas</t>
  </si>
  <si>
    <t>Total</t>
  </si>
  <si>
    <t>Max</t>
  </si>
  <si>
    <t>The below Sales Table has already been converted to an Excel Table.</t>
  </si>
  <si>
    <t>Units</t>
  </si>
  <si>
    <t>Discount</t>
  </si>
  <si>
    <t>Add a New Column to the Table to show the Quantity Discount. The steps for adding this column are as follows:</t>
  </si>
  <si>
    <t>1) The Quantity Discount is given based on the Number of Units Purchased.</t>
  </si>
  <si>
    <t>2) Set the Discount Table up so that you can use the VLOOKUP Function to do an Approximate Match Lookup.</t>
  </si>
  <si>
    <t>Remember: that in order to do Approximate Match Lookup, the 1st Column of the Lookup Table must be sorted Small to Large (A to Z)</t>
  </si>
  <si>
    <t>3) Convert the Discount Table to an Excel Table</t>
  </si>
  <si>
    <t>Add a second Column to the Excel Table that calculates Net Revenue: Total Revenue * (1-Discount). Hint" Do we need to round?</t>
  </si>
  <si>
    <t>Example 5: Add New Column to an Excel Table AND Create Approximate Match Lookup Table from a written statement.</t>
  </si>
  <si>
    <t>Price Each</t>
  </si>
  <si>
    <t>Total Revenue</t>
  </si>
  <si>
    <t>Discount per Total Revenue</t>
  </si>
  <si>
    <t>Net Revenue</t>
  </si>
  <si>
    <t>Variables:</t>
  </si>
  <si>
    <t xml:space="preserve">Formulas: </t>
  </si>
  <si>
    <t>Amount of Discount = Total Revenue * Discount Decimal</t>
  </si>
  <si>
    <t>Net Revenue = Total Revenue - Amount of Discount</t>
  </si>
  <si>
    <t>Net Revenue = (1-Decimal Discount) * Total Revenue</t>
  </si>
  <si>
    <t>Discount on Total Revenue</t>
  </si>
  <si>
    <t>Convert the below table to an Excel Table and name it "SalesRepSalesTable". The create a PivotTable as a new sheet that adds the sales for each Sales Rep.</t>
  </si>
  <si>
    <t>Region</t>
  </si>
  <si>
    <t>SalesRep</t>
  </si>
  <si>
    <t>Sales</t>
  </si>
  <si>
    <t>West</t>
  </si>
  <si>
    <t>Jermaine  Sherman</t>
  </si>
  <si>
    <t>Elias  Ramsey</t>
  </si>
  <si>
    <t>Barry  Scott</t>
  </si>
  <si>
    <t>Sum of Sales</t>
  </si>
  <si>
    <t>Northwest</t>
  </si>
  <si>
    <t>Alfred  Fuller</t>
  </si>
  <si>
    <t>Aaron  Adkins</t>
  </si>
  <si>
    <t>Alexis  Gill</t>
  </si>
  <si>
    <t>Southwest</t>
  </si>
  <si>
    <t>Kim  Wolfe</t>
  </si>
  <si>
    <t>Myron  Daniel</t>
  </si>
  <si>
    <t>Brad  Dawson</t>
  </si>
  <si>
    <t>Cecil  Austin</t>
  </si>
  <si>
    <t>Lynn  Osborne</t>
  </si>
  <si>
    <t>Faith  Malone</t>
  </si>
  <si>
    <t>Fred  Mullins</t>
  </si>
  <si>
    <t>Freda  Gregory</t>
  </si>
  <si>
    <t>Janet  Murphy</t>
  </si>
  <si>
    <t>Mildred  Leonard</t>
  </si>
  <si>
    <t>John  Lucas</t>
  </si>
  <si>
    <t>Velma  Bennett</t>
  </si>
  <si>
    <t>Kathleen  Marshall</t>
  </si>
  <si>
    <t>Kurt  Hill</t>
  </si>
  <si>
    <t>Natasha  Schneider</t>
  </si>
  <si>
    <t>Sean  Hunter</t>
  </si>
  <si>
    <t>Sheila  Smith</t>
  </si>
  <si>
    <t>Tony  Pierce</t>
  </si>
  <si>
    <t>Wilbert  Moreno</t>
  </si>
  <si>
    <t>Convert the Proper Data Set for classes and grades below to an Excel Table.</t>
  </si>
  <si>
    <t>Give the Excel Table a smart name.</t>
  </si>
  <si>
    <t>In cell D9, use the built-in AVERAGE function to calculate the GPA.</t>
  </si>
  <si>
    <t>Then make a column chart that shows the class name on the horizontal axis and column heights as grades.</t>
  </si>
  <si>
    <t>Finally, add a few records to see if the dynamic range aspect of the Excel Table feature is working.</t>
  </si>
  <si>
    <t>Class</t>
  </si>
  <si>
    <t>Grade</t>
  </si>
  <si>
    <t>GPA (Average)</t>
  </si>
  <si>
    <t>Busn 101</t>
  </si>
  <si>
    <t>&lt;&lt;== use AVERAGE function here.</t>
  </si>
  <si>
    <t>Busn 135</t>
  </si>
  <si>
    <t>Busn 125</t>
  </si>
  <si>
    <t>ENGL 101</t>
  </si>
  <si>
    <t>MTS 101</t>
  </si>
  <si>
    <t>STS 126</t>
  </si>
  <si>
    <t>WRM 105</t>
  </si>
  <si>
    <t>Busn 214</t>
  </si>
  <si>
    <t>Busn 218</t>
  </si>
</sst>
</file>

<file path=xl/styles.xml><?xml version="1.0" encoding="utf-8"?>
<styleSheet xmlns="http://schemas.openxmlformats.org/spreadsheetml/2006/main">
  <numFmts count="8">
    <numFmt numFmtId="176" formatCode="m/d/yy;@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_ ;_ * \-#,##0_ ;_ * &quot;-&quot;_ ;_ @_ "/>
    <numFmt numFmtId="178" formatCode="&quot;$&quot;#,##0.00;\-&quot;$&quot;#,##0.00"/>
    <numFmt numFmtId="179" formatCode="_ * #,##0.00_ ;_ * \-#,##0.00_ ;_ * &quot;-&quot;??_ ;_ @_ "/>
    <numFmt numFmtId="8" formatCode="&quot;$&quot;#,##0.00_);[Red]\(&quot;$&quot;#,##0.00\)"/>
    <numFmt numFmtId="180" formatCode="&quot;$&quot;#,##0.00"/>
  </numFmts>
  <fonts count="40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u/>
      <sz val="11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u/>
      <sz val="16"/>
      <color theme="1"/>
      <name val="Calibri"/>
      <charset val="134"/>
      <scheme val="minor"/>
    </font>
    <font>
      <sz val="10"/>
      <name val="Arial"/>
      <charset val="134"/>
    </font>
    <font>
      <b/>
      <sz val="23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7"/>
      <color theme="1"/>
      <name val="Calibri"/>
      <charset val="134"/>
      <scheme val="minor"/>
    </font>
    <font>
      <sz val="17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sz val="20"/>
      <color theme="1"/>
      <name val="Calibri"/>
      <charset val="134"/>
      <scheme val="minor"/>
    </font>
    <font>
      <sz val="16"/>
      <color theme="1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1"/>
      <color rgb="FF3F3F3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9C65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0"/>
      <color indexed="9"/>
      <name val="Arial"/>
      <charset val="134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u/>
      <sz val="10"/>
      <color theme="10"/>
      <name val="Arial"/>
      <charset val="134"/>
    </font>
    <font>
      <sz val="8"/>
      <color theme="1"/>
      <name val="Calibri"/>
      <charset val="134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0" fontId="22" fillId="9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2" fontId="18" fillId="0" borderId="0" applyFont="0" applyFill="0" applyBorder="0" applyAlignment="0" applyProtection="0">
      <alignment vertical="center"/>
    </xf>
    <xf numFmtId="44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15" borderId="26" applyNumberFormat="0" applyAlignment="0" applyProtection="0">
      <alignment vertical="center"/>
    </xf>
    <xf numFmtId="0" fontId="28" fillId="0" borderId="27" applyNumberFormat="0" applyFill="0" applyAlignment="0" applyProtection="0">
      <alignment vertical="center"/>
    </xf>
    <xf numFmtId="0" fontId="18" fillId="7" borderId="24" applyNumberFormat="0" applyFont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7" fillId="0" borderId="27" applyNumberFormat="0" applyFill="0" applyAlignment="0" applyProtection="0">
      <alignment vertical="center"/>
    </xf>
    <xf numFmtId="0" fontId="30" fillId="0" borderId="29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2" fillId="26" borderId="28" applyNumberFormat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19" fillId="8" borderId="25" applyNumberFormat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9" fillId="8" borderId="28" applyNumberFormat="0" applyAlignment="0" applyProtection="0">
      <alignment vertical="center"/>
    </xf>
    <xf numFmtId="0" fontId="35" fillId="0" borderId="30" applyNumberFormat="0" applyFill="0" applyAlignment="0" applyProtection="0">
      <alignment vertical="center"/>
    </xf>
    <xf numFmtId="0" fontId="36" fillId="0" borderId="31" applyNumberFormat="0" applyFill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6" fillId="0" borderId="0"/>
    <xf numFmtId="0" fontId="22" fillId="18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44" fontId="6" fillId="0" borderId="0" applyFont="0" applyFill="0" applyBorder="0" applyAlignment="0" applyProtection="0"/>
    <xf numFmtId="0" fontId="23" fillId="17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2" fillId="38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" fillId="2" borderId="1">
      <alignment wrapText="1"/>
    </xf>
    <xf numFmtId="0" fontId="33" fillId="27" borderId="1">
      <alignment wrapText="1"/>
    </xf>
    <xf numFmtId="0" fontId="38" fillId="0" borderId="0" applyNumberFormat="0" applyFill="0" applyBorder="0" applyAlignment="0" applyProtection="0">
      <alignment vertical="top"/>
      <protection locked="0"/>
    </xf>
    <xf numFmtId="0" fontId="0" fillId="0" borderId="0"/>
  </cellStyleXfs>
  <cellXfs count="96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2" fontId="0" fillId="0" borderId="0" xfId="0" applyNumberFormat="1"/>
    <xf numFmtId="0" fontId="0" fillId="3" borderId="1" xfId="0" applyFill="1" applyBorder="1"/>
    <xf numFmtId="0" fontId="0" fillId="4" borderId="2" xfId="0" applyFill="1" applyBorder="1"/>
    <xf numFmtId="0" fontId="0" fillId="4" borderId="3" xfId="0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76" fontId="0" fillId="0" borderId="7" xfId="0" applyNumberFormat="1" applyBorder="1"/>
    <xf numFmtId="0" fontId="0" fillId="0" borderId="1" xfId="0" applyBorder="1"/>
    <xf numFmtId="8" fontId="0" fillId="0" borderId="2" xfId="0" applyNumberFormat="1" applyBorder="1"/>
    <xf numFmtId="180" fontId="0" fillId="0" borderId="0" xfId="0" applyNumberFormat="1"/>
    <xf numFmtId="0" fontId="0" fillId="4" borderId="7" xfId="0" applyFill="1" applyBorder="1"/>
    <xf numFmtId="176" fontId="0" fillId="0" borderId="8" xfId="0" applyNumberFormat="1" applyBorder="1"/>
    <xf numFmtId="0" fontId="0" fillId="0" borderId="9" xfId="0" applyBorder="1"/>
    <xf numFmtId="8" fontId="0" fillId="0" borderId="10" xfId="0" applyNumberFormat="1" applyBorder="1"/>
    <xf numFmtId="176" fontId="0" fillId="0" borderId="1" xfId="0" applyNumberFormat="1" applyBorder="1"/>
    <xf numFmtId="8" fontId="0" fillId="0" borderId="1" xfId="0" applyNumberFormat="1" applyBorder="1"/>
    <xf numFmtId="178" fontId="0" fillId="0" borderId="0" xfId="0" applyNumberFormat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0" xfId="0" applyFill="1" applyBorder="1"/>
    <xf numFmtId="0" fontId="0" fillId="4" borderId="12" xfId="0" applyFill="1" applyBorder="1" applyAlignment="1">
      <alignment horizontal="left" indent="2"/>
    </xf>
    <xf numFmtId="0" fontId="0" fillId="4" borderId="12" xfId="0" applyFill="1" applyBorder="1" applyAlignment="1">
      <alignment horizontal="left" indent="4"/>
    </xf>
    <xf numFmtId="0" fontId="0" fillId="4" borderId="12" xfId="0" applyFill="1" applyBorder="1" applyAlignment="1">
      <alignment horizontal="left" indent="6"/>
    </xf>
    <xf numFmtId="0" fontId="0" fillId="4" borderId="6" xfId="0" applyFill="1" applyBorder="1"/>
    <xf numFmtId="0" fontId="0" fillId="4" borderId="13" xfId="0" applyFill="1" applyBorder="1"/>
    <xf numFmtId="58" fontId="0" fillId="0" borderId="0" xfId="0" applyNumberFormat="1"/>
    <xf numFmtId="8" fontId="0" fillId="0" borderId="0" xfId="0" applyNumberFormat="1"/>
    <xf numFmtId="0" fontId="0" fillId="4" borderId="8" xfId="0" applyFill="1" applyBorder="1"/>
    <xf numFmtId="0" fontId="0" fillId="4" borderId="14" xfId="0" applyFill="1" applyBorder="1"/>
    <xf numFmtId="0" fontId="0" fillId="4" borderId="4" xfId="0" applyFill="1" applyBorder="1"/>
    <xf numFmtId="0" fontId="3" fillId="5" borderId="1" xfId="0" applyFont="1" applyFill="1" applyBorder="1"/>
    <xf numFmtId="0" fontId="3" fillId="2" borderId="1" xfId="0" applyFont="1" applyFill="1" applyBorder="1"/>
    <xf numFmtId="0" fontId="0" fillId="0" borderId="1" xfId="0" applyBorder="1" applyAlignment="1">
      <alignment horizontal="left" indent="2"/>
    </xf>
    <xf numFmtId="0" fontId="0" fillId="0" borderId="0" xfId="0" applyNumberFormat="1"/>
    <xf numFmtId="0" fontId="4" fillId="2" borderId="1" xfId="0" applyFont="1" applyFill="1" applyBorder="1"/>
    <xf numFmtId="3" fontId="0" fillId="3" borderId="1" xfId="0" applyNumberFormat="1" applyFill="1" applyBorder="1"/>
    <xf numFmtId="0" fontId="0" fillId="3" borderId="1" xfId="0" applyNumberFormat="1" applyFill="1" applyBorder="1"/>
    <xf numFmtId="3" fontId="0" fillId="0" borderId="0" xfId="0" applyNumberFormat="1"/>
    <xf numFmtId="0" fontId="5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4"/>
    </xf>
    <xf numFmtId="0" fontId="2" fillId="2" borderId="1" xfId="51">
      <alignment wrapText="1"/>
    </xf>
    <xf numFmtId="0" fontId="6" fillId="0" borderId="1" xfId="32" applyFont="1" applyBorder="1"/>
    <xf numFmtId="0" fontId="6" fillId="0" borderId="1" xfId="32" applyNumberFormat="1" applyFont="1" applyBorder="1"/>
    <xf numFmtId="0" fontId="6" fillId="0" borderId="1" xfId="32" applyNumberFormat="1" applyBorder="1"/>
    <xf numFmtId="0" fontId="6" fillId="0" borderId="1" xfId="32" applyBorder="1"/>
    <xf numFmtId="0" fontId="6" fillId="3" borderId="1" xfId="32" applyFill="1" applyBorder="1"/>
    <xf numFmtId="0" fontId="6" fillId="0" borderId="0" xfId="32"/>
    <xf numFmtId="0" fontId="6" fillId="0" borderId="15" xfId="32" applyFont="1" applyFill="1" applyBorder="1"/>
    <xf numFmtId="0" fontId="6" fillId="0" borderId="15" xfId="32" applyNumberFormat="1" applyFont="1" applyFill="1" applyBorder="1"/>
    <xf numFmtId="0" fontId="6" fillId="0" borderId="15" xfId="32" applyNumberFormat="1" applyFill="1" applyBorder="1"/>
    <xf numFmtId="0" fontId="2" fillId="2" borderId="4" xfId="51" applyBorder="1">
      <alignment wrapText="1"/>
    </xf>
    <xf numFmtId="0" fontId="2" fillId="2" borderId="5" xfId="51" applyBorder="1">
      <alignment wrapText="1"/>
    </xf>
    <xf numFmtId="0" fontId="2" fillId="2" borderId="6" xfId="51" applyBorder="1">
      <alignment wrapText="1"/>
    </xf>
    <xf numFmtId="0" fontId="6" fillId="0" borderId="7" xfId="32" applyFont="1" applyBorder="1"/>
    <xf numFmtId="0" fontId="6" fillId="0" borderId="2" xfId="32" applyNumberFormat="1" applyBorder="1"/>
    <xf numFmtId="0" fontId="6" fillId="0" borderId="8" xfId="32" applyFont="1" applyBorder="1"/>
    <xf numFmtId="0" fontId="6" fillId="0" borderId="9" xfId="32" applyFont="1" applyBorder="1"/>
    <xf numFmtId="0" fontId="6" fillId="0" borderId="9" xfId="32" applyNumberFormat="1" applyFont="1" applyBorder="1"/>
    <xf numFmtId="0" fontId="6" fillId="0" borderId="10" xfId="32" applyNumberFormat="1" applyBorder="1"/>
    <xf numFmtId="0" fontId="6" fillId="0" borderId="8" xfId="32" applyFont="1" applyFill="1" applyBorder="1"/>
    <xf numFmtId="0" fontId="6" fillId="0" borderId="9" xfId="32" applyFont="1" applyFill="1" applyBorder="1"/>
    <xf numFmtId="0" fontId="6" fillId="0" borderId="9" xfId="32" applyNumberFormat="1" applyFont="1" applyFill="1" applyBorder="1"/>
    <xf numFmtId="0" fontId="6" fillId="0" borderId="10" xfId="32" applyNumberFormat="1" applyFill="1" applyBorder="1"/>
    <xf numFmtId="0" fontId="6" fillId="0" borderId="1" xfId="0" applyFont="1" applyBorder="1"/>
    <xf numFmtId="0" fontId="6" fillId="0" borderId="1" xfId="0" applyNumberFormat="1" applyFont="1" applyBorder="1"/>
    <xf numFmtId="0" fontId="0" fillId="0" borderId="1" xfId="0" applyNumberFormat="1" applyBorder="1"/>
    <xf numFmtId="0" fontId="0" fillId="2" borderId="0" xfId="0" applyFill="1"/>
    <xf numFmtId="0" fontId="7" fillId="6" borderId="16" xfId="0" applyFont="1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8" fillId="6" borderId="18" xfId="0" applyFont="1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0" xfId="0" applyFill="1" applyBorder="1"/>
    <xf numFmtId="0" fontId="9" fillId="6" borderId="18" xfId="0" applyFont="1" applyFill="1" applyBorder="1" applyAlignment="1">
      <alignment horizontal="centerContinuous"/>
    </xf>
    <xf numFmtId="0" fontId="10" fillId="6" borderId="0" xfId="0" applyFont="1" applyFill="1" applyBorder="1" applyAlignment="1">
      <alignment horizontal="centerContinuous"/>
    </xf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11" fillId="6" borderId="0" xfId="0" applyFont="1" applyFill="1" applyBorder="1"/>
    <xf numFmtId="8" fontId="11" fillId="6" borderId="0" xfId="0" applyNumberFormat="1" applyFont="1" applyFill="1" applyBorder="1"/>
    <xf numFmtId="8" fontId="12" fillId="6" borderId="0" xfId="0" applyNumberFormat="1" applyFont="1" applyFill="1" applyBorder="1"/>
    <xf numFmtId="0" fontId="13" fillId="6" borderId="0" xfId="0" applyFont="1" applyFill="1" applyBorder="1"/>
    <xf numFmtId="0" fontId="0" fillId="6" borderId="0" xfId="0" applyFont="1" applyFill="1" applyBorder="1" applyAlignment="1">
      <alignment horizontal="centerContinuous"/>
    </xf>
    <xf numFmtId="0" fontId="14" fillId="6" borderId="0" xfId="0" applyFont="1" applyFill="1" applyBorder="1"/>
    <xf numFmtId="0" fontId="15" fillId="6" borderId="0" xfId="0" applyFont="1" applyFill="1" applyBorder="1" applyAlignment="1">
      <alignment horizontal="centerContinuous"/>
    </xf>
    <xf numFmtId="0" fontId="0" fillId="6" borderId="21" xfId="0" applyFill="1" applyBorder="1" applyAlignment="1">
      <alignment horizontal="centerContinuous"/>
    </xf>
    <xf numFmtId="0" fontId="0" fillId="6" borderId="22" xfId="0" applyFill="1" applyBorder="1" applyAlignment="1">
      <alignment horizontal="centerContinuous"/>
    </xf>
    <xf numFmtId="0" fontId="10" fillId="6" borderId="22" xfId="0" applyFont="1" applyFill="1" applyBorder="1" applyAlignment="1">
      <alignment horizontal="centerContinuous"/>
    </xf>
    <xf numFmtId="0" fontId="16" fillId="6" borderId="0" xfId="0" applyFont="1" applyFill="1" applyBorder="1"/>
    <xf numFmtId="0" fontId="0" fillId="6" borderId="22" xfId="0" applyFill="1" applyBorder="1"/>
    <xf numFmtId="0" fontId="0" fillId="6" borderId="23" xfId="0" applyFill="1" applyBorder="1"/>
  </cellXfs>
  <cellStyles count="55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Currency 2" xfId="39"/>
    <cellStyle name="Accent3" xfId="40" builtinId="37"/>
    <cellStyle name="20% - Accent3" xfId="41" builtinId="38"/>
    <cellStyle name="Accent4" xfId="42" builtinId="41"/>
    <cellStyle name="20% - Accent4" xfId="43" builtinId="42"/>
    <cellStyle name="40% - Accent4" xfId="44" builtinId="43"/>
    <cellStyle name="Accent5" xfId="45" builtinId="45"/>
    <cellStyle name="40% - Accent5" xfId="46" builtinId="47"/>
    <cellStyle name="60% - Accent5" xfId="47" builtinId="48"/>
    <cellStyle name="Accent6" xfId="48" builtinId="49"/>
    <cellStyle name="40% - Accent6" xfId="49" builtinId="51"/>
    <cellStyle name="60% - Accent6" xfId="50" builtinId="52"/>
    <cellStyle name="blue" xfId="51"/>
    <cellStyle name="blue 2" xfId="52"/>
    <cellStyle name="Hyperlink 2" xfId="53"/>
    <cellStyle name="Normal 3 2" xfId="54"/>
  </cellStyles>
  <dxfs count="33">
    <dxf>
      <font>
        <name val="Arial"/>
        <scheme val="none"/>
        <charset val="134"/>
        <family val="2"/>
        <b val="0"/>
        <i val="0"/>
        <strike val="0"/>
        <u val="none"/>
        <sz val="1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Arial"/>
        <scheme val="none"/>
        <charset val="134"/>
        <family val="2"/>
        <b val="0"/>
        <i val="0"/>
        <strike val="0"/>
        <u val="none"/>
        <sz val="1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Arial"/>
        <scheme val="none"/>
        <charset val="134"/>
        <family val="2"/>
        <b val="0"/>
        <i val="0"/>
        <strike val="0"/>
        <u val="none"/>
        <sz val="10"/>
        <color auto="1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font>
        <name val="Arial"/>
        <scheme val="none"/>
        <family val="2"/>
        <b val="0"/>
        <i val="0"/>
        <strike val="0"/>
        <u val="none"/>
        <sz val="10"/>
        <color auto="1"/>
      </font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  <scheme val="none"/>
        <family val="2"/>
        <b val="0"/>
        <i val="0"/>
        <strike val="0"/>
        <u val="none"/>
        <sz val="1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  <scheme val="none"/>
        <family val="2"/>
        <b val="0"/>
        <i val="0"/>
        <strike val="0"/>
        <u val="none"/>
        <sz val="10"/>
        <color auto="1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58" formatCode="m/d/yyyy"/>
    </dxf>
    <dxf>
      <numFmt numFmtId="178" formatCode="&quot;$&quot;#,##0.00;\-&quot;$&quot;#,##0.00"/>
    </dxf>
    <dxf>
      <numFmt numFmtId="58" formatCode="m/d/yyyy"/>
    </dxf>
    <dxf>
      <numFmt numFmtId="180" formatCode="&quot;$&quot;#,##0.00"/>
    </dxf>
    <dxf>
      <numFmt numFmtId="58" formatCode="m/d/yyyy"/>
    </dxf>
    <dxf>
      <numFmt numFmtId="58" formatCode="m/d/yyyy"/>
    </dxf>
    <dxf>
      <numFmt numFmtId="58" formatCode="m/d/yyyy"/>
    </dxf>
    <dxf>
      <numFmt numFmtId="58" formatCode="m/d/yyyy"/>
    </dxf>
    <dxf>
      <numFmt numFmtId="58" formatCode="m/d/yyyy"/>
    </dxf>
    <dxf>
      <numFmt numFmtId="8" formatCode="&quot;$&quot;#,##0.00_);[Red]\(&quot;$&quot;#,##0.00\)"/>
    </dxf>
    <dxf>
      <numFmt numFmtId="8" formatCode="&quot;$&quot;#,##0.00_);[Red]\(&quot;$&quot;#,##0.00\)"/>
    </dxf>
    <dxf>
      <numFmt numFmtId="58" formatCode="m/d/yyyy"/>
    </dxf>
    <dxf>
      <numFmt numFmtId="8" formatCode="&quot;$&quot;#,##0.00_);[Red]\(&quot;$&quot;#,##0.00\)"/>
    </dxf>
    <dxf>
      <numFmt numFmtId="8" formatCode="&quot;$&quot;#,##0.00_);[Red]\(&quot;$&quot;#,##0.00\)"/>
    </dxf>
    <dxf>
      <numFmt numFmtId="0" formatCode="General"/>
    </dxf>
    <dxf>
      <numFmt numFmtId="0" formatCode="General"/>
    </dxf>
    <dxf>
      <numFmt numFmtId="176" formatCode="m/d/yy;@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numFmt numFmtId="8" formatCode="&quot;$&quot;#,##0.00_);[Red]\(&quot;$&quot;#,##0.00\)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</dxf>
    <dxf>
      <numFmt numFmtId="176" formatCode="m/d/yy;@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8" formatCode="&quot;$&quot;#,##0.00_);[Red]\(&quot;$&quot;#,##0.00\)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2" formatCode="0.00"/>
    </dxf>
  </dxfs>
  <tableStyles count="0" defaultTableStyle="TableStyleMedium2" defaultPivotStyle="PivotStyleLight16"/>
  <colors>
    <mruColors>
      <color rgb="000000FF"/>
      <color rgb="00FFFFCC"/>
      <color rgb="00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3" Type="http://schemas.openxmlformats.org/officeDocument/2006/relationships/sharedStrings" Target="sharedStrings.xml"/><Relationship Id="rId22" Type="http://schemas.openxmlformats.org/officeDocument/2006/relationships/styles" Target="styles.xml"/><Relationship Id="rId21" Type="http://schemas.openxmlformats.org/officeDocument/2006/relationships/theme" Target="theme/theme1.xml"/><Relationship Id="rId20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9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Chart!$A$5:$A$7</c:f>
              <c:numCache>
                <c:formatCode>m/d/yyyy</c:formatCode>
                <c:ptCount val="3"/>
                <c:pt idx="0" c:formatCode="m/d/yyyy">
                  <c:v>43045</c:v>
                </c:pt>
                <c:pt idx="1" c:formatCode="m/d/yyyy">
                  <c:v>43046</c:v>
                </c:pt>
                <c:pt idx="2" c:formatCode="m/d/yyyy">
                  <c:v>43047</c:v>
                </c:pt>
              </c:numCache>
            </c:numRef>
          </c:cat>
          <c:val>
            <c:numRef>
              <c:f>Chart!$B$5:$B$7</c:f>
              <c:numCache>
                <c:formatCode>"$"#,##0.00;\-"$"#,##0.00</c:formatCode>
                <c:ptCount val="3"/>
                <c:pt idx="0">
                  <c:v>5789.24</c:v>
                </c:pt>
                <c:pt idx="1">
                  <c:v>6125.75</c:v>
                </c:pt>
                <c:pt idx="2">
                  <c:v>4215.14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5780928"/>
        <c:axId val="593348234"/>
      </c:barChart>
      <c:dateAx>
        <c:axId val="7757809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3348234"/>
        <c:crosses val="autoZero"/>
        <c:auto val="1"/>
        <c:lblOffset val="100"/>
        <c:baseTimeUnit val="days"/>
      </c:dateAx>
      <c:valAx>
        <c:axId val="59334823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\-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578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(an)'!$B$4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'Chart (an)'!$A$5:$A$8</c:f>
              <c:numCache>
                <c:formatCode>m/d/yyyy</c:formatCode>
                <c:ptCount val="4"/>
                <c:pt idx="0" c:formatCode="m/d/yyyy">
                  <c:v>43045</c:v>
                </c:pt>
                <c:pt idx="1" c:formatCode="m/d/yyyy">
                  <c:v>43046</c:v>
                </c:pt>
                <c:pt idx="2" c:formatCode="m/d/yyyy">
                  <c:v>43047</c:v>
                </c:pt>
                <c:pt idx="3" c:formatCode="m/d/yyyy">
                  <c:v>43048</c:v>
                </c:pt>
              </c:numCache>
            </c:numRef>
          </c:cat>
          <c:val>
            <c:numRef>
              <c:f>'Chart (an)'!$B$5:$B$8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</c:v>
                </c:pt>
                <c:pt idx="3">
                  <c:v>9125.65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194144"/>
        <c:axId val="433411680"/>
      </c:barChart>
      <c:dateAx>
        <c:axId val="43319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3411680"/>
        <c:crosses val="autoZero"/>
        <c:auto val="1"/>
        <c:lblOffset val="100"/>
        <c:baseTimeUnit val="days"/>
      </c:dateAx>
      <c:valAx>
        <c:axId val="43341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31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Grades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'HW(2an)'!$B$8</c:f>
              <c:strCache>
                <c:ptCount val="1"/>
                <c:pt idx="0">
                  <c:v>Grade</c:v>
                </c:pt>
              </c:strCache>
            </c:strRef>
          </c:tx>
          <c:spPr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'HW(2an)'!$A$9:$A$15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'HW(2an)'!$B$9:$B$15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9240832"/>
        <c:axId val="422884704"/>
      </c:barChart>
      <c:catAx>
        <c:axId val="9592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22884704"/>
        <c:crosses val="autoZero"/>
        <c:auto val="1"/>
        <c:lblAlgn val="ctr"/>
        <c:lblOffset val="100"/>
        <c:noMultiLvlLbl val="0"/>
      </c:catAx>
      <c:valAx>
        <c:axId val="4228847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92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280147</xdr:colOff>
      <xdr:row>18</xdr:row>
      <xdr:rowOff>51212</xdr:rowOff>
    </xdr:from>
    <xdr:to>
      <xdr:col>18</xdr:col>
      <xdr:colOff>277405</xdr:colOff>
      <xdr:row>23</xdr:row>
      <xdr:rowOff>234525</xdr:rowOff>
    </xdr:to>
    <xdr:pic>
      <xdr:nvPicPr>
        <xdr:cNvPr id="6" name="Picture 5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9985" y="5013325"/>
          <a:ext cx="1196975" cy="161226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246528</xdr:rowOff>
    </xdr:from>
    <xdr:to>
      <xdr:col>11</xdr:col>
      <xdr:colOff>359317</xdr:colOff>
      <xdr:row>10</xdr:row>
      <xdr:rowOff>78441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370" y="1132205"/>
          <a:ext cx="7586980" cy="1622425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12</xdr:row>
      <xdr:rowOff>56030</xdr:rowOff>
    </xdr:from>
    <xdr:to>
      <xdr:col>14</xdr:col>
      <xdr:colOff>228040</xdr:colOff>
      <xdr:row>22</xdr:row>
      <xdr:rowOff>152401</xdr:rowOff>
    </xdr:to>
    <xdr:pic>
      <xdr:nvPicPr>
        <xdr:cNvPr id="5" name="Picture 4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" y="3303905"/>
          <a:ext cx="9189085" cy="2954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803910</xdr:colOff>
      <xdr:row>3</xdr:row>
      <xdr:rowOff>7620</xdr:rowOff>
    </xdr:from>
    <xdr:to>
      <xdr:col>6</xdr:col>
      <xdr:colOff>422275</xdr:colOff>
      <xdr:row>13</xdr:row>
      <xdr:rowOff>104140</xdr:rowOff>
    </xdr:to>
    <xdr:graphicFrame>
      <xdr:nvGraphicFramePr>
        <xdr:cNvPr id="9" name="Chart 8"/>
        <xdr:cNvGraphicFramePr/>
      </xdr:nvGraphicFramePr>
      <xdr:xfrm>
        <a:off x="3347085" y="579120"/>
        <a:ext cx="2637790" cy="2001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98533</xdr:colOff>
      <xdr:row>3</xdr:row>
      <xdr:rowOff>24305</xdr:rowOff>
    </xdr:from>
    <xdr:to>
      <xdr:col>6</xdr:col>
      <xdr:colOff>525517</xdr:colOff>
      <xdr:row>13</xdr:row>
      <xdr:rowOff>131378</xdr:rowOff>
    </xdr:to>
    <xdr:graphicFrame>
      <xdr:nvGraphicFramePr>
        <xdr:cNvPr id="2" name="Chart 1"/>
        <xdr:cNvGraphicFramePr/>
      </xdr:nvGraphicFramePr>
      <xdr:xfrm>
        <a:off x="2641600" y="595630"/>
        <a:ext cx="3446145" cy="2011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657225</xdr:colOff>
      <xdr:row>10</xdr:row>
      <xdr:rowOff>152400</xdr:rowOff>
    </xdr:from>
    <xdr:to>
      <xdr:col>9</xdr:col>
      <xdr:colOff>85725</xdr:colOff>
      <xdr:row>25</xdr:row>
      <xdr:rowOff>38100</xdr:rowOff>
    </xdr:to>
    <xdr:graphicFrame>
      <xdr:nvGraphicFramePr>
        <xdr:cNvPr id="2" name="Chart 1"/>
        <xdr:cNvGraphicFramePr/>
      </xdr:nvGraphicFramePr>
      <xdr:xfrm>
        <a:off x="2752725" y="2057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47.7018430556" refreshedBy="Girvin, Michael" recordCount="26">
  <cacheSource type="worksheet">
    <worksheetSource name="UnitSalesTableAnswer"/>
  </cacheSource>
  <cacheFields count="3">
    <cacheField name="Date" numFmtId="58"/>
    <cacheField name="Product" numFmtId="0">
      <sharedItems count="4">
        <s v="Quad"/>
        <s v="Yanaki"/>
        <s v="V Rang"/>
        <s v="Sunset"/>
      </sharedItems>
    </cacheField>
    <cacheField name="Units Sold" numFmtI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3048.6167666667" refreshedBy="Girvin, Michael" recordCount="582">
  <cacheSource type="worksheet">
    <worksheetSource name="SalesRepSalesTableAnswer"/>
  </cacheSource>
  <cacheFields count="4">
    <cacheField name="Date" numFmtId="176"/>
    <cacheField name="Region" numFmtId="0"/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/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080.5391898148" refreshedBy="olisa" recordCount="26">
  <cacheSource type="worksheet">
    <worksheetSource name="Table15"/>
  </cacheSource>
  <cacheFields count="3">
    <cacheField name="Date" numFmtId="58">
      <sharedItems containsSemiMixedTypes="0" containsString="0" containsNonDate="0" containsDate="1" minDate="2017-11-01T00:00:00" maxDate="2017-11-08T00:00:00" count="8">
        <d v="2017-11-02T00:00:00"/>
        <d v="2017-11-04T00:00:00"/>
        <d v="2017-11-05T00:00:00"/>
        <d v="2017-11-07T00:00:00"/>
        <d v="2017-11-03T00:00:00"/>
        <d v="2017-11-06T00:00:00"/>
        <d v="2017-11-01T00:00:00"/>
        <d v="2017-11-08T00:00:00"/>
      </sharedItems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 count="25">
        <n v="181"/>
        <n v="155"/>
        <n v="56"/>
        <n v="127"/>
        <n v="159"/>
        <n v="100"/>
        <n v="151"/>
        <n v="163"/>
        <n v="84"/>
        <n v="191"/>
        <n v="78"/>
        <n v="8"/>
        <n v="15"/>
        <n v="157"/>
        <n v="9"/>
        <n v="180"/>
        <n v="30"/>
        <n v="88"/>
        <n v="152"/>
        <n v="90"/>
        <n v="112"/>
        <n v="24"/>
        <n v="44"/>
        <n v="154"/>
        <n v="96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5080.582337963" refreshedBy="olisa" recordCount="582">
  <cacheSource type="worksheet">
    <worksheetSource name="SalesRepSalesTable"/>
  </cacheSource>
  <cacheFields count="4">
    <cacheField name="Date" numFmtId="176">
      <sharedItems containsSemiMixedTypes="0" containsString="0" containsNonDate="0" containsDate="1" minDate="2013-10-20T00:00:00" maxDate="2013-10-26T00:00:00" count="7">
        <d v="2013-10-21T00:00:00"/>
        <d v="2013-10-25T00:00:00"/>
        <d v="2013-10-26T00:00:00"/>
        <d v="2013-10-23T00:00:00"/>
        <d v="2013-10-20T00:00:00"/>
        <d v="2013-10-22T00:00:00"/>
        <d v="2013-10-24T00:00:00"/>
      </sharedItems>
    </cacheField>
    <cacheField name="Region" numFmtId="0">
      <sharedItems count="3">
        <s v="West"/>
        <s v="Northwest"/>
        <s v="Southwest"/>
      </sharedItems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 count="386">
        <n v="519"/>
        <n v="651"/>
        <n v="618"/>
        <n v="335"/>
        <n v="640"/>
        <n v="586"/>
        <n v="301"/>
        <n v="359"/>
        <n v="658"/>
        <n v="213"/>
        <n v="500"/>
        <n v="604"/>
        <n v="340"/>
        <n v="117"/>
        <n v="234"/>
        <n v="225"/>
        <n v="302"/>
        <n v="223"/>
        <n v="401"/>
        <n v="405"/>
        <n v="493"/>
        <n v="214"/>
        <n v="366"/>
        <n v="191"/>
        <n v="628"/>
        <n v="144"/>
        <n v="571"/>
        <n v="136"/>
        <n v="201"/>
        <n v="339"/>
        <n v="203"/>
        <n v="526"/>
        <n v="86"/>
        <n v="388"/>
        <n v="119"/>
        <n v="296"/>
        <n v="295"/>
        <n v="120"/>
        <n v="647"/>
        <n v="159"/>
        <n v="217"/>
        <n v="362"/>
        <n v="599"/>
        <n v="546"/>
        <n v="254"/>
        <n v="101"/>
        <n v="150"/>
        <n v="204"/>
        <n v="106"/>
        <n v="333"/>
        <n v="67"/>
        <n v="51"/>
        <n v="279"/>
        <n v="123"/>
        <n v="501"/>
        <n v="235"/>
        <n v="35"/>
        <n v="319"/>
        <n v="551"/>
        <n v="188"/>
        <n v="129"/>
        <n v="485"/>
        <n v="29"/>
        <n v="135"/>
        <n v="584"/>
        <n v="684"/>
        <n v="528"/>
        <n v="675"/>
        <n v="368"/>
        <n v="524"/>
        <n v="329"/>
        <n v="146"/>
        <n v="350"/>
        <n v="387"/>
        <n v="244"/>
        <n v="449"/>
        <n v="477"/>
        <n v="457"/>
        <n v="105"/>
        <n v="458"/>
        <n v="110"/>
        <n v="32"/>
        <n v="681"/>
        <n v="320"/>
        <n v="601"/>
        <n v="172"/>
        <n v="197"/>
        <n v="346"/>
        <n v="318"/>
        <n v="245"/>
        <n v="498"/>
        <n v="272"/>
        <n v="424"/>
        <n v="122"/>
        <n v="39"/>
        <n v="400"/>
        <n v="416"/>
        <n v="397"/>
        <n v="671"/>
        <n v="148"/>
        <n v="115"/>
        <n v="639"/>
        <n v="659"/>
        <n v="36"/>
        <n v="102"/>
        <n v="413"/>
        <n v="166"/>
        <n v="97"/>
        <n v="127"/>
        <n v="60"/>
        <n v="496"/>
        <n v="489"/>
        <n v="266"/>
        <n v="364"/>
        <n v="579"/>
        <n v="587"/>
        <n v="543"/>
        <n v="644"/>
        <n v="564"/>
        <n v="149"/>
        <n v="195"/>
        <n v="660"/>
        <n v="523"/>
        <n v="649"/>
        <n v="409"/>
        <n v="556"/>
        <n v="565"/>
        <n v="357"/>
        <n v="219"/>
        <n v="327"/>
        <n v="666"/>
        <n v="290"/>
        <n v="64"/>
        <n v="373"/>
        <n v="249"/>
        <n v="237"/>
        <n v="138"/>
        <n v="324"/>
        <n v="633"/>
        <n v="240"/>
        <n v="615"/>
        <n v="180"/>
        <n v="415"/>
        <n v="305"/>
        <n v="657"/>
        <n v="474"/>
        <n v="611"/>
        <n v="682"/>
        <n v="398"/>
        <n v="74"/>
        <n v="243"/>
        <n v="151"/>
        <n v="174"/>
        <n v="304"/>
        <n v="315"/>
        <n v="534"/>
        <n v="598"/>
        <n v="14"/>
        <n v="26"/>
        <n v="108"/>
        <n v="114"/>
        <n v="258"/>
        <n v="439"/>
        <n v="583"/>
        <n v="664"/>
        <n v="164"/>
        <n v="241"/>
        <n v="257"/>
        <n v="264"/>
        <n v="471"/>
        <n v="40"/>
        <n v="594"/>
        <n v="605"/>
        <n v="250"/>
        <n v="481"/>
        <n v="529"/>
        <n v="56"/>
        <n v="82"/>
        <n v="575"/>
        <n v="665"/>
        <n v="490"/>
        <n v="630"/>
        <n v="352"/>
        <n v="269"/>
        <n v="200"/>
        <n v="456"/>
        <n v="510"/>
        <n v="63"/>
        <n v="386"/>
        <n v="73"/>
        <n v="389"/>
        <n v="321"/>
        <n v="175"/>
        <n v="438"/>
        <n v="622"/>
        <n v="612"/>
        <n v="404"/>
        <n v="632"/>
        <n v="20"/>
        <n v="656"/>
        <n v="391"/>
        <n v="686"/>
        <n v="466"/>
        <n v="661"/>
        <n v="654"/>
        <n v="202"/>
        <n v="181"/>
        <n v="370"/>
        <n v="608"/>
        <n v="349"/>
        <n v="77"/>
        <n v="22"/>
        <n v="306"/>
        <n v="95"/>
        <n v="270"/>
        <n v="648"/>
        <n v="169"/>
        <n v="488"/>
        <n v="353"/>
        <n v="613"/>
        <n v="343"/>
        <n v="294"/>
        <n v="147"/>
        <n v="662"/>
        <n v="482"/>
        <n v="503"/>
        <n v="190"/>
        <n v="576"/>
        <n v="43"/>
        <n v="460"/>
        <n v="347"/>
        <n v="303"/>
        <n v="550"/>
        <n v="222"/>
        <n v="28"/>
        <n v="552"/>
        <n v="308"/>
        <n v="561"/>
        <n v="259"/>
        <n v="609"/>
        <n v="18"/>
        <n v="98"/>
        <n v="274"/>
        <n v="65"/>
        <n v="638"/>
        <n v="89"/>
        <n v="154"/>
        <n v="209"/>
        <n v="338"/>
        <n v="428"/>
        <n v="24"/>
        <n v="645"/>
        <n v="37"/>
        <n v="367"/>
        <n v="178"/>
        <n v="227"/>
        <n v="215"/>
        <n v="506"/>
        <n v="312"/>
        <n v="158"/>
        <n v="569"/>
        <n v="545"/>
        <n v="111"/>
        <n v="229"/>
        <n v="19"/>
        <n v="72"/>
        <n v="103"/>
        <n v="33"/>
        <n v="553"/>
        <n v="125"/>
        <n v="316"/>
        <n v="392"/>
        <n v="299"/>
        <n v="83"/>
        <n v="80"/>
        <n v="342"/>
        <n v="540"/>
        <n v="411"/>
        <n v="606"/>
        <n v="268"/>
        <n v="208"/>
        <n v="559"/>
        <n v="530"/>
        <n v="663"/>
        <n v="31"/>
        <n v="280"/>
        <n v="375"/>
        <n v="323"/>
        <n v="650"/>
        <n v="505"/>
        <n v="483"/>
        <n v="444"/>
        <n v="642"/>
        <n v="100"/>
        <n v="379"/>
        <n v="332"/>
        <n v="13"/>
        <n v="423"/>
        <n v="220"/>
        <n v="47"/>
        <n v="590"/>
        <n v="538"/>
        <n v="562"/>
        <n v="443"/>
        <n v="455"/>
        <n v="518"/>
        <n v="621"/>
        <n v="131"/>
        <n v="130"/>
        <n v="307"/>
        <n v="472"/>
        <n v="419"/>
        <n v="508"/>
        <n v="170"/>
        <n v="198"/>
        <n v="674"/>
        <n v="399"/>
        <n v="107"/>
        <n v="199"/>
        <n v="23"/>
        <n v="297"/>
        <n v="273"/>
        <n v="281"/>
        <n v="156"/>
        <n v="459"/>
        <n v="634"/>
        <n v="450"/>
        <n v="93"/>
        <n v="337"/>
        <n v="374"/>
        <n v="160"/>
        <n v="502"/>
        <n v="221"/>
        <n v="516"/>
        <n v="678"/>
        <n v="637"/>
        <n v="525"/>
        <n v="376"/>
        <n v="226"/>
        <n v="38"/>
        <n v="283"/>
        <n v="480"/>
        <n v="152"/>
        <n v="652"/>
        <n v="99"/>
        <n v="432"/>
        <n v="261"/>
        <n v="345"/>
        <n v="78"/>
        <n v="81"/>
        <n v="563"/>
        <n v="344"/>
        <n v="378"/>
        <n v="468"/>
        <n v="624"/>
        <n v="21"/>
        <n v="173"/>
        <n v="276"/>
        <n v="616"/>
        <n v="140"/>
        <n v="461"/>
        <n v="555"/>
        <n v="212"/>
        <n v="629"/>
        <n v="247"/>
        <n v="672"/>
        <n v="484"/>
        <n v="462"/>
        <n v="470"/>
        <n v="161"/>
        <n v="570"/>
        <n v="293"/>
        <n v="547"/>
        <n v="185"/>
        <n v="239"/>
        <n v="210"/>
        <n v="573"/>
        <n v="478"/>
        <n v="514"/>
        <n v="667"/>
        <n v="314"/>
        <n v="228"/>
        <n v="193"/>
        <n v="509"/>
        <n v="532"/>
        <n v="145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">
  <r>
    <x v="0"/>
    <x v="0"/>
    <x v="0"/>
  </r>
  <r>
    <x v="1"/>
    <x v="1"/>
    <x v="1"/>
  </r>
  <r>
    <x v="2"/>
    <x v="1"/>
    <x v="2"/>
  </r>
  <r>
    <x v="2"/>
    <x v="1"/>
    <x v="3"/>
  </r>
  <r>
    <x v="3"/>
    <x v="2"/>
    <x v="4"/>
  </r>
  <r>
    <x v="3"/>
    <x v="0"/>
    <x v="5"/>
  </r>
  <r>
    <x v="4"/>
    <x v="3"/>
    <x v="6"/>
  </r>
  <r>
    <x v="0"/>
    <x v="1"/>
    <x v="7"/>
  </r>
  <r>
    <x v="5"/>
    <x v="1"/>
    <x v="8"/>
  </r>
  <r>
    <x v="5"/>
    <x v="1"/>
    <x v="9"/>
  </r>
  <r>
    <x v="6"/>
    <x v="2"/>
    <x v="10"/>
  </r>
  <r>
    <x v="1"/>
    <x v="0"/>
    <x v="11"/>
  </r>
  <r>
    <x v="3"/>
    <x v="2"/>
    <x v="12"/>
  </r>
  <r>
    <x v="6"/>
    <x v="2"/>
    <x v="13"/>
  </r>
  <r>
    <x v="0"/>
    <x v="1"/>
    <x v="5"/>
  </r>
  <r>
    <x v="6"/>
    <x v="1"/>
    <x v="14"/>
  </r>
  <r>
    <x v="1"/>
    <x v="0"/>
    <x v="15"/>
  </r>
  <r>
    <x v="7"/>
    <x v="0"/>
    <x v="16"/>
  </r>
  <r>
    <x v="7"/>
    <x v="2"/>
    <x v="17"/>
  </r>
  <r>
    <x v="4"/>
    <x v="0"/>
    <x v="18"/>
  </r>
  <r>
    <x v="3"/>
    <x v="0"/>
    <x v="19"/>
  </r>
  <r>
    <x v="4"/>
    <x v="3"/>
    <x v="20"/>
  </r>
  <r>
    <x v="5"/>
    <x v="3"/>
    <x v="21"/>
  </r>
  <r>
    <x v="5"/>
    <x v="1"/>
    <x v="22"/>
  </r>
  <r>
    <x v="3"/>
    <x v="1"/>
    <x v="23"/>
  </r>
  <r>
    <x v="2"/>
    <x v="2"/>
    <x v="2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82">
  <r>
    <x v="0"/>
    <x v="0"/>
    <x v="0"/>
    <x v="0"/>
  </r>
  <r>
    <x v="1"/>
    <x v="0"/>
    <x v="1"/>
    <x v="1"/>
  </r>
  <r>
    <x v="2"/>
    <x v="0"/>
    <x v="2"/>
    <x v="2"/>
  </r>
  <r>
    <x v="3"/>
    <x v="1"/>
    <x v="3"/>
    <x v="3"/>
  </r>
  <r>
    <x v="4"/>
    <x v="1"/>
    <x v="3"/>
    <x v="4"/>
  </r>
  <r>
    <x v="3"/>
    <x v="2"/>
    <x v="4"/>
    <x v="5"/>
  </r>
  <r>
    <x v="0"/>
    <x v="0"/>
    <x v="5"/>
    <x v="6"/>
  </r>
  <r>
    <x v="1"/>
    <x v="2"/>
    <x v="1"/>
    <x v="7"/>
  </r>
  <r>
    <x v="4"/>
    <x v="0"/>
    <x v="4"/>
    <x v="8"/>
  </r>
  <r>
    <x v="0"/>
    <x v="2"/>
    <x v="1"/>
    <x v="9"/>
  </r>
  <r>
    <x v="1"/>
    <x v="2"/>
    <x v="6"/>
    <x v="10"/>
  </r>
  <r>
    <x v="5"/>
    <x v="1"/>
    <x v="4"/>
    <x v="11"/>
  </r>
  <r>
    <x v="3"/>
    <x v="0"/>
    <x v="7"/>
    <x v="12"/>
  </r>
  <r>
    <x v="0"/>
    <x v="1"/>
    <x v="6"/>
    <x v="13"/>
  </r>
  <r>
    <x v="1"/>
    <x v="2"/>
    <x v="8"/>
    <x v="14"/>
  </r>
  <r>
    <x v="4"/>
    <x v="0"/>
    <x v="8"/>
    <x v="15"/>
  </r>
  <r>
    <x v="1"/>
    <x v="2"/>
    <x v="9"/>
    <x v="16"/>
  </r>
  <r>
    <x v="6"/>
    <x v="1"/>
    <x v="10"/>
    <x v="17"/>
  </r>
  <r>
    <x v="5"/>
    <x v="0"/>
    <x v="4"/>
    <x v="18"/>
  </r>
  <r>
    <x v="6"/>
    <x v="0"/>
    <x v="2"/>
    <x v="19"/>
  </r>
  <r>
    <x v="0"/>
    <x v="1"/>
    <x v="5"/>
    <x v="20"/>
  </r>
  <r>
    <x v="0"/>
    <x v="2"/>
    <x v="6"/>
    <x v="21"/>
  </r>
  <r>
    <x v="5"/>
    <x v="2"/>
    <x v="3"/>
    <x v="22"/>
  </r>
  <r>
    <x v="5"/>
    <x v="1"/>
    <x v="1"/>
    <x v="23"/>
  </r>
  <r>
    <x v="1"/>
    <x v="0"/>
    <x v="8"/>
    <x v="24"/>
  </r>
  <r>
    <x v="2"/>
    <x v="0"/>
    <x v="3"/>
    <x v="25"/>
  </r>
  <r>
    <x v="2"/>
    <x v="2"/>
    <x v="8"/>
    <x v="3"/>
  </r>
  <r>
    <x v="5"/>
    <x v="2"/>
    <x v="5"/>
    <x v="26"/>
  </r>
  <r>
    <x v="1"/>
    <x v="2"/>
    <x v="3"/>
    <x v="27"/>
  </r>
  <r>
    <x v="1"/>
    <x v="1"/>
    <x v="6"/>
    <x v="28"/>
  </r>
  <r>
    <x v="3"/>
    <x v="1"/>
    <x v="11"/>
    <x v="29"/>
  </r>
  <r>
    <x v="1"/>
    <x v="1"/>
    <x v="4"/>
    <x v="30"/>
  </r>
  <r>
    <x v="0"/>
    <x v="0"/>
    <x v="7"/>
    <x v="31"/>
  </r>
  <r>
    <x v="1"/>
    <x v="0"/>
    <x v="5"/>
    <x v="32"/>
  </r>
  <r>
    <x v="6"/>
    <x v="2"/>
    <x v="12"/>
    <x v="33"/>
  </r>
  <r>
    <x v="1"/>
    <x v="1"/>
    <x v="13"/>
    <x v="34"/>
  </r>
  <r>
    <x v="0"/>
    <x v="0"/>
    <x v="13"/>
    <x v="35"/>
  </r>
  <r>
    <x v="0"/>
    <x v="1"/>
    <x v="2"/>
    <x v="36"/>
  </r>
  <r>
    <x v="0"/>
    <x v="1"/>
    <x v="11"/>
    <x v="37"/>
  </r>
  <r>
    <x v="0"/>
    <x v="0"/>
    <x v="1"/>
    <x v="38"/>
  </r>
  <r>
    <x v="5"/>
    <x v="1"/>
    <x v="14"/>
    <x v="39"/>
  </r>
  <r>
    <x v="3"/>
    <x v="1"/>
    <x v="7"/>
    <x v="40"/>
  </r>
  <r>
    <x v="6"/>
    <x v="2"/>
    <x v="4"/>
    <x v="41"/>
  </r>
  <r>
    <x v="2"/>
    <x v="2"/>
    <x v="9"/>
    <x v="42"/>
  </r>
  <r>
    <x v="1"/>
    <x v="0"/>
    <x v="0"/>
    <x v="43"/>
  </r>
  <r>
    <x v="1"/>
    <x v="1"/>
    <x v="6"/>
    <x v="44"/>
  </r>
  <r>
    <x v="4"/>
    <x v="0"/>
    <x v="1"/>
    <x v="45"/>
  </r>
  <r>
    <x v="2"/>
    <x v="2"/>
    <x v="6"/>
    <x v="46"/>
  </r>
  <r>
    <x v="1"/>
    <x v="2"/>
    <x v="5"/>
    <x v="47"/>
  </r>
  <r>
    <x v="6"/>
    <x v="2"/>
    <x v="11"/>
    <x v="48"/>
  </r>
  <r>
    <x v="0"/>
    <x v="0"/>
    <x v="5"/>
    <x v="49"/>
  </r>
  <r>
    <x v="6"/>
    <x v="1"/>
    <x v="5"/>
    <x v="50"/>
  </r>
  <r>
    <x v="4"/>
    <x v="1"/>
    <x v="9"/>
    <x v="51"/>
  </r>
  <r>
    <x v="0"/>
    <x v="2"/>
    <x v="6"/>
    <x v="52"/>
  </r>
  <r>
    <x v="6"/>
    <x v="2"/>
    <x v="15"/>
    <x v="53"/>
  </r>
  <r>
    <x v="0"/>
    <x v="0"/>
    <x v="3"/>
    <x v="0"/>
  </r>
  <r>
    <x v="5"/>
    <x v="1"/>
    <x v="8"/>
    <x v="54"/>
  </r>
  <r>
    <x v="2"/>
    <x v="0"/>
    <x v="13"/>
    <x v="55"/>
  </r>
  <r>
    <x v="3"/>
    <x v="2"/>
    <x v="2"/>
    <x v="56"/>
  </r>
  <r>
    <x v="3"/>
    <x v="0"/>
    <x v="3"/>
    <x v="57"/>
  </r>
  <r>
    <x v="6"/>
    <x v="1"/>
    <x v="2"/>
    <x v="58"/>
  </r>
  <r>
    <x v="2"/>
    <x v="2"/>
    <x v="12"/>
    <x v="59"/>
  </r>
  <r>
    <x v="1"/>
    <x v="0"/>
    <x v="13"/>
    <x v="60"/>
  </r>
  <r>
    <x v="4"/>
    <x v="0"/>
    <x v="11"/>
    <x v="29"/>
  </r>
  <r>
    <x v="0"/>
    <x v="2"/>
    <x v="13"/>
    <x v="61"/>
  </r>
  <r>
    <x v="4"/>
    <x v="0"/>
    <x v="8"/>
    <x v="62"/>
  </r>
  <r>
    <x v="4"/>
    <x v="2"/>
    <x v="4"/>
    <x v="63"/>
  </r>
  <r>
    <x v="2"/>
    <x v="2"/>
    <x v="0"/>
    <x v="64"/>
  </r>
  <r>
    <x v="3"/>
    <x v="1"/>
    <x v="6"/>
    <x v="65"/>
  </r>
  <r>
    <x v="3"/>
    <x v="0"/>
    <x v="3"/>
    <x v="66"/>
  </r>
  <r>
    <x v="2"/>
    <x v="2"/>
    <x v="6"/>
    <x v="67"/>
  </r>
  <r>
    <x v="3"/>
    <x v="0"/>
    <x v="11"/>
    <x v="34"/>
  </r>
  <r>
    <x v="5"/>
    <x v="0"/>
    <x v="4"/>
    <x v="68"/>
  </r>
  <r>
    <x v="6"/>
    <x v="2"/>
    <x v="16"/>
    <x v="69"/>
  </r>
  <r>
    <x v="6"/>
    <x v="2"/>
    <x v="6"/>
    <x v="70"/>
  </r>
  <r>
    <x v="2"/>
    <x v="0"/>
    <x v="17"/>
    <x v="71"/>
  </r>
  <r>
    <x v="2"/>
    <x v="1"/>
    <x v="3"/>
    <x v="72"/>
  </r>
  <r>
    <x v="3"/>
    <x v="2"/>
    <x v="12"/>
    <x v="73"/>
  </r>
  <r>
    <x v="4"/>
    <x v="2"/>
    <x v="18"/>
    <x v="74"/>
  </r>
  <r>
    <x v="3"/>
    <x v="2"/>
    <x v="13"/>
    <x v="33"/>
  </r>
  <r>
    <x v="4"/>
    <x v="2"/>
    <x v="12"/>
    <x v="75"/>
  </r>
  <r>
    <x v="5"/>
    <x v="0"/>
    <x v="12"/>
    <x v="76"/>
  </r>
  <r>
    <x v="3"/>
    <x v="2"/>
    <x v="19"/>
    <x v="77"/>
  </r>
  <r>
    <x v="2"/>
    <x v="2"/>
    <x v="2"/>
    <x v="78"/>
  </r>
  <r>
    <x v="5"/>
    <x v="0"/>
    <x v="17"/>
    <x v="79"/>
  </r>
  <r>
    <x v="2"/>
    <x v="1"/>
    <x v="1"/>
    <x v="80"/>
  </r>
  <r>
    <x v="0"/>
    <x v="0"/>
    <x v="12"/>
    <x v="81"/>
  </r>
  <r>
    <x v="6"/>
    <x v="0"/>
    <x v="20"/>
    <x v="82"/>
  </r>
  <r>
    <x v="3"/>
    <x v="1"/>
    <x v="2"/>
    <x v="83"/>
  </r>
  <r>
    <x v="1"/>
    <x v="1"/>
    <x v="16"/>
    <x v="84"/>
  </r>
  <r>
    <x v="1"/>
    <x v="2"/>
    <x v="8"/>
    <x v="45"/>
  </r>
  <r>
    <x v="3"/>
    <x v="1"/>
    <x v="19"/>
    <x v="85"/>
  </r>
  <r>
    <x v="4"/>
    <x v="0"/>
    <x v="11"/>
    <x v="86"/>
  </r>
  <r>
    <x v="5"/>
    <x v="0"/>
    <x v="3"/>
    <x v="87"/>
  </r>
  <r>
    <x v="2"/>
    <x v="0"/>
    <x v="21"/>
    <x v="88"/>
  </r>
  <r>
    <x v="0"/>
    <x v="0"/>
    <x v="21"/>
    <x v="89"/>
  </r>
  <r>
    <x v="1"/>
    <x v="2"/>
    <x v="13"/>
    <x v="90"/>
  </r>
  <r>
    <x v="2"/>
    <x v="2"/>
    <x v="6"/>
    <x v="91"/>
  </r>
  <r>
    <x v="0"/>
    <x v="2"/>
    <x v="13"/>
    <x v="92"/>
  </r>
  <r>
    <x v="2"/>
    <x v="1"/>
    <x v="6"/>
    <x v="93"/>
  </r>
  <r>
    <x v="3"/>
    <x v="2"/>
    <x v="6"/>
    <x v="94"/>
  </r>
  <r>
    <x v="0"/>
    <x v="2"/>
    <x v="0"/>
    <x v="95"/>
  </r>
  <r>
    <x v="2"/>
    <x v="0"/>
    <x v="3"/>
    <x v="96"/>
  </r>
  <r>
    <x v="4"/>
    <x v="2"/>
    <x v="9"/>
    <x v="97"/>
  </r>
  <r>
    <x v="1"/>
    <x v="1"/>
    <x v="5"/>
    <x v="98"/>
  </r>
  <r>
    <x v="1"/>
    <x v="2"/>
    <x v="3"/>
    <x v="99"/>
  </r>
  <r>
    <x v="0"/>
    <x v="1"/>
    <x v="10"/>
    <x v="100"/>
  </r>
  <r>
    <x v="1"/>
    <x v="1"/>
    <x v="22"/>
    <x v="101"/>
  </r>
  <r>
    <x v="6"/>
    <x v="2"/>
    <x v="13"/>
    <x v="102"/>
  </r>
  <r>
    <x v="5"/>
    <x v="0"/>
    <x v="2"/>
    <x v="103"/>
  </r>
  <r>
    <x v="0"/>
    <x v="1"/>
    <x v="10"/>
    <x v="104"/>
  </r>
  <r>
    <x v="5"/>
    <x v="0"/>
    <x v="8"/>
    <x v="105"/>
  </r>
  <r>
    <x v="1"/>
    <x v="0"/>
    <x v="12"/>
    <x v="106"/>
  </r>
  <r>
    <x v="5"/>
    <x v="0"/>
    <x v="4"/>
    <x v="107"/>
  </r>
  <r>
    <x v="2"/>
    <x v="0"/>
    <x v="17"/>
    <x v="108"/>
  </r>
  <r>
    <x v="4"/>
    <x v="1"/>
    <x v="23"/>
    <x v="109"/>
  </r>
  <r>
    <x v="5"/>
    <x v="2"/>
    <x v="8"/>
    <x v="110"/>
  </r>
  <r>
    <x v="3"/>
    <x v="1"/>
    <x v="17"/>
    <x v="47"/>
  </r>
  <r>
    <x v="2"/>
    <x v="1"/>
    <x v="3"/>
    <x v="111"/>
  </r>
  <r>
    <x v="4"/>
    <x v="0"/>
    <x v="18"/>
    <x v="112"/>
  </r>
  <r>
    <x v="4"/>
    <x v="1"/>
    <x v="13"/>
    <x v="113"/>
  </r>
  <r>
    <x v="4"/>
    <x v="1"/>
    <x v="2"/>
    <x v="114"/>
  </r>
  <r>
    <x v="0"/>
    <x v="0"/>
    <x v="18"/>
    <x v="115"/>
  </r>
  <r>
    <x v="2"/>
    <x v="0"/>
    <x v="23"/>
    <x v="116"/>
  </r>
  <r>
    <x v="5"/>
    <x v="1"/>
    <x v="8"/>
    <x v="117"/>
  </r>
  <r>
    <x v="4"/>
    <x v="0"/>
    <x v="3"/>
    <x v="118"/>
  </r>
  <r>
    <x v="5"/>
    <x v="2"/>
    <x v="18"/>
    <x v="119"/>
  </r>
  <r>
    <x v="3"/>
    <x v="2"/>
    <x v="2"/>
    <x v="28"/>
  </r>
  <r>
    <x v="1"/>
    <x v="0"/>
    <x v="23"/>
    <x v="51"/>
  </r>
  <r>
    <x v="3"/>
    <x v="0"/>
    <x v="5"/>
    <x v="120"/>
  </r>
  <r>
    <x v="2"/>
    <x v="1"/>
    <x v="4"/>
    <x v="121"/>
  </r>
  <r>
    <x v="0"/>
    <x v="1"/>
    <x v="5"/>
    <x v="122"/>
  </r>
  <r>
    <x v="3"/>
    <x v="0"/>
    <x v="13"/>
    <x v="123"/>
  </r>
  <r>
    <x v="1"/>
    <x v="2"/>
    <x v="1"/>
    <x v="124"/>
  </r>
  <r>
    <x v="4"/>
    <x v="1"/>
    <x v="9"/>
    <x v="125"/>
  </r>
  <r>
    <x v="5"/>
    <x v="1"/>
    <x v="4"/>
    <x v="126"/>
  </r>
  <r>
    <x v="4"/>
    <x v="2"/>
    <x v="1"/>
    <x v="127"/>
  </r>
  <r>
    <x v="1"/>
    <x v="0"/>
    <x v="7"/>
    <x v="128"/>
  </r>
  <r>
    <x v="1"/>
    <x v="1"/>
    <x v="16"/>
    <x v="129"/>
  </r>
  <r>
    <x v="4"/>
    <x v="2"/>
    <x v="9"/>
    <x v="130"/>
  </r>
  <r>
    <x v="4"/>
    <x v="1"/>
    <x v="16"/>
    <x v="131"/>
  </r>
  <r>
    <x v="6"/>
    <x v="1"/>
    <x v="1"/>
    <x v="132"/>
  </r>
  <r>
    <x v="6"/>
    <x v="0"/>
    <x v="12"/>
    <x v="133"/>
  </r>
  <r>
    <x v="2"/>
    <x v="1"/>
    <x v="11"/>
    <x v="134"/>
  </r>
  <r>
    <x v="4"/>
    <x v="1"/>
    <x v="24"/>
    <x v="135"/>
  </r>
  <r>
    <x v="5"/>
    <x v="0"/>
    <x v="12"/>
    <x v="136"/>
  </r>
  <r>
    <x v="2"/>
    <x v="0"/>
    <x v="18"/>
    <x v="137"/>
  </r>
  <r>
    <x v="5"/>
    <x v="2"/>
    <x v="13"/>
    <x v="138"/>
  </r>
  <r>
    <x v="2"/>
    <x v="2"/>
    <x v="6"/>
    <x v="139"/>
  </r>
  <r>
    <x v="4"/>
    <x v="2"/>
    <x v="11"/>
    <x v="140"/>
  </r>
  <r>
    <x v="5"/>
    <x v="2"/>
    <x v="5"/>
    <x v="141"/>
  </r>
  <r>
    <x v="1"/>
    <x v="0"/>
    <x v="15"/>
    <x v="142"/>
  </r>
  <r>
    <x v="5"/>
    <x v="0"/>
    <x v="10"/>
    <x v="143"/>
  </r>
  <r>
    <x v="1"/>
    <x v="1"/>
    <x v="13"/>
    <x v="144"/>
  </r>
  <r>
    <x v="3"/>
    <x v="0"/>
    <x v="13"/>
    <x v="145"/>
  </r>
  <r>
    <x v="5"/>
    <x v="0"/>
    <x v="12"/>
    <x v="146"/>
  </r>
  <r>
    <x v="0"/>
    <x v="0"/>
    <x v="24"/>
    <x v="147"/>
  </r>
  <r>
    <x v="6"/>
    <x v="1"/>
    <x v="10"/>
    <x v="148"/>
  </r>
  <r>
    <x v="3"/>
    <x v="1"/>
    <x v="12"/>
    <x v="149"/>
  </r>
  <r>
    <x v="6"/>
    <x v="0"/>
    <x v="6"/>
    <x v="150"/>
  </r>
  <r>
    <x v="1"/>
    <x v="0"/>
    <x v="2"/>
    <x v="151"/>
  </r>
  <r>
    <x v="1"/>
    <x v="1"/>
    <x v="13"/>
    <x v="152"/>
  </r>
  <r>
    <x v="6"/>
    <x v="1"/>
    <x v="16"/>
    <x v="153"/>
  </r>
  <r>
    <x v="4"/>
    <x v="0"/>
    <x v="14"/>
    <x v="77"/>
  </r>
  <r>
    <x v="4"/>
    <x v="2"/>
    <x v="3"/>
    <x v="154"/>
  </r>
  <r>
    <x v="3"/>
    <x v="1"/>
    <x v="4"/>
    <x v="36"/>
  </r>
  <r>
    <x v="5"/>
    <x v="1"/>
    <x v="8"/>
    <x v="155"/>
  </r>
  <r>
    <x v="3"/>
    <x v="0"/>
    <x v="0"/>
    <x v="156"/>
  </r>
  <r>
    <x v="6"/>
    <x v="2"/>
    <x v="6"/>
    <x v="157"/>
  </r>
  <r>
    <x v="5"/>
    <x v="2"/>
    <x v="13"/>
    <x v="158"/>
  </r>
  <r>
    <x v="3"/>
    <x v="0"/>
    <x v="22"/>
    <x v="159"/>
  </r>
  <r>
    <x v="5"/>
    <x v="0"/>
    <x v="23"/>
    <x v="160"/>
  </r>
  <r>
    <x v="2"/>
    <x v="1"/>
    <x v="19"/>
    <x v="65"/>
  </r>
  <r>
    <x v="1"/>
    <x v="0"/>
    <x v="24"/>
    <x v="161"/>
  </r>
  <r>
    <x v="0"/>
    <x v="1"/>
    <x v="21"/>
    <x v="162"/>
  </r>
  <r>
    <x v="2"/>
    <x v="1"/>
    <x v="3"/>
    <x v="163"/>
  </r>
  <r>
    <x v="1"/>
    <x v="0"/>
    <x v="6"/>
    <x v="164"/>
  </r>
  <r>
    <x v="6"/>
    <x v="0"/>
    <x v="1"/>
    <x v="29"/>
  </r>
  <r>
    <x v="6"/>
    <x v="1"/>
    <x v="16"/>
    <x v="165"/>
  </r>
  <r>
    <x v="5"/>
    <x v="2"/>
    <x v="1"/>
    <x v="98"/>
  </r>
  <r>
    <x v="3"/>
    <x v="2"/>
    <x v="8"/>
    <x v="166"/>
  </r>
  <r>
    <x v="6"/>
    <x v="0"/>
    <x v="8"/>
    <x v="167"/>
  </r>
  <r>
    <x v="3"/>
    <x v="1"/>
    <x v="24"/>
    <x v="168"/>
  </r>
  <r>
    <x v="2"/>
    <x v="0"/>
    <x v="8"/>
    <x v="169"/>
  </r>
  <r>
    <x v="0"/>
    <x v="1"/>
    <x v="15"/>
    <x v="170"/>
  </r>
  <r>
    <x v="5"/>
    <x v="0"/>
    <x v="18"/>
    <x v="171"/>
  </r>
  <r>
    <x v="0"/>
    <x v="0"/>
    <x v="4"/>
    <x v="172"/>
  </r>
  <r>
    <x v="6"/>
    <x v="0"/>
    <x v="10"/>
    <x v="124"/>
  </r>
  <r>
    <x v="0"/>
    <x v="1"/>
    <x v="15"/>
    <x v="173"/>
  </r>
  <r>
    <x v="5"/>
    <x v="2"/>
    <x v="15"/>
    <x v="174"/>
  </r>
  <r>
    <x v="1"/>
    <x v="0"/>
    <x v="17"/>
    <x v="175"/>
  </r>
  <r>
    <x v="6"/>
    <x v="2"/>
    <x v="14"/>
    <x v="176"/>
  </r>
  <r>
    <x v="3"/>
    <x v="0"/>
    <x v="3"/>
    <x v="177"/>
  </r>
  <r>
    <x v="2"/>
    <x v="0"/>
    <x v="6"/>
    <x v="178"/>
  </r>
  <r>
    <x v="5"/>
    <x v="0"/>
    <x v="13"/>
    <x v="179"/>
  </r>
  <r>
    <x v="1"/>
    <x v="0"/>
    <x v="13"/>
    <x v="180"/>
  </r>
  <r>
    <x v="3"/>
    <x v="2"/>
    <x v="8"/>
    <x v="181"/>
  </r>
  <r>
    <x v="1"/>
    <x v="2"/>
    <x v="1"/>
    <x v="182"/>
  </r>
  <r>
    <x v="3"/>
    <x v="2"/>
    <x v="20"/>
    <x v="183"/>
  </r>
  <r>
    <x v="5"/>
    <x v="2"/>
    <x v="0"/>
    <x v="184"/>
  </r>
  <r>
    <x v="3"/>
    <x v="0"/>
    <x v="12"/>
    <x v="70"/>
  </r>
  <r>
    <x v="6"/>
    <x v="0"/>
    <x v="4"/>
    <x v="172"/>
  </r>
  <r>
    <x v="5"/>
    <x v="0"/>
    <x v="18"/>
    <x v="12"/>
  </r>
  <r>
    <x v="5"/>
    <x v="0"/>
    <x v="12"/>
    <x v="185"/>
  </r>
  <r>
    <x v="5"/>
    <x v="0"/>
    <x v="17"/>
    <x v="68"/>
  </r>
  <r>
    <x v="5"/>
    <x v="1"/>
    <x v="6"/>
    <x v="186"/>
  </r>
  <r>
    <x v="0"/>
    <x v="1"/>
    <x v="2"/>
    <x v="187"/>
  </r>
  <r>
    <x v="3"/>
    <x v="1"/>
    <x v="1"/>
    <x v="7"/>
  </r>
  <r>
    <x v="4"/>
    <x v="0"/>
    <x v="2"/>
    <x v="136"/>
  </r>
  <r>
    <x v="2"/>
    <x v="1"/>
    <x v="23"/>
    <x v="56"/>
  </r>
  <r>
    <x v="2"/>
    <x v="2"/>
    <x v="5"/>
    <x v="188"/>
  </r>
  <r>
    <x v="2"/>
    <x v="2"/>
    <x v="8"/>
    <x v="189"/>
  </r>
  <r>
    <x v="1"/>
    <x v="1"/>
    <x v="8"/>
    <x v="190"/>
  </r>
  <r>
    <x v="2"/>
    <x v="0"/>
    <x v="13"/>
    <x v="191"/>
  </r>
  <r>
    <x v="6"/>
    <x v="1"/>
    <x v="13"/>
    <x v="192"/>
  </r>
  <r>
    <x v="1"/>
    <x v="2"/>
    <x v="1"/>
    <x v="193"/>
  </r>
  <r>
    <x v="4"/>
    <x v="2"/>
    <x v="3"/>
    <x v="194"/>
  </r>
  <r>
    <x v="0"/>
    <x v="2"/>
    <x v="3"/>
    <x v="195"/>
  </r>
  <r>
    <x v="6"/>
    <x v="2"/>
    <x v="2"/>
    <x v="196"/>
  </r>
  <r>
    <x v="2"/>
    <x v="2"/>
    <x v="1"/>
    <x v="197"/>
  </r>
  <r>
    <x v="5"/>
    <x v="1"/>
    <x v="1"/>
    <x v="198"/>
  </r>
  <r>
    <x v="4"/>
    <x v="0"/>
    <x v="20"/>
    <x v="168"/>
  </r>
  <r>
    <x v="4"/>
    <x v="1"/>
    <x v="1"/>
    <x v="199"/>
  </r>
  <r>
    <x v="0"/>
    <x v="1"/>
    <x v="0"/>
    <x v="200"/>
  </r>
  <r>
    <x v="4"/>
    <x v="2"/>
    <x v="2"/>
    <x v="201"/>
  </r>
  <r>
    <x v="2"/>
    <x v="1"/>
    <x v="22"/>
    <x v="202"/>
  </r>
  <r>
    <x v="5"/>
    <x v="0"/>
    <x v="13"/>
    <x v="203"/>
  </r>
  <r>
    <x v="0"/>
    <x v="2"/>
    <x v="6"/>
    <x v="204"/>
  </r>
  <r>
    <x v="5"/>
    <x v="0"/>
    <x v="12"/>
    <x v="203"/>
  </r>
  <r>
    <x v="1"/>
    <x v="0"/>
    <x v="14"/>
    <x v="205"/>
  </r>
  <r>
    <x v="3"/>
    <x v="0"/>
    <x v="6"/>
    <x v="3"/>
  </r>
  <r>
    <x v="6"/>
    <x v="2"/>
    <x v="12"/>
    <x v="206"/>
  </r>
  <r>
    <x v="3"/>
    <x v="0"/>
    <x v="3"/>
    <x v="207"/>
  </r>
  <r>
    <x v="3"/>
    <x v="0"/>
    <x v="4"/>
    <x v="208"/>
  </r>
  <r>
    <x v="2"/>
    <x v="0"/>
    <x v="6"/>
    <x v="149"/>
  </r>
  <r>
    <x v="0"/>
    <x v="2"/>
    <x v="7"/>
    <x v="209"/>
  </r>
  <r>
    <x v="3"/>
    <x v="1"/>
    <x v="2"/>
    <x v="210"/>
  </r>
  <r>
    <x v="4"/>
    <x v="2"/>
    <x v="5"/>
    <x v="210"/>
  </r>
  <r>
    <x v="2"/>
    <x v="2"/>
    <x v="4"/>
    <x v="101"/>
  </r>
  <r>
    <x v="2"/>
    <x v="2"/>
    <x v="12"/>
    <x v="107"/>
  </r>
  <r>
    <x v="6"/>
    <x v="1"/>
    <x v="12"/>
    <x v="176"/>
  </r>
  <r>
    <x v="5"/>
    <x v="2"/>
    <x v="8"/>
    <x v="211"/>
  </r>
  <r>
    <x v="5"/>
    <x v="0"/>
    <x v="23"/>
    <x v="212"/>
  </r>
  <r>
    <x v="1"/>
    <x v="1"/>
    <x v="1"/>
    <x v="70"/>
  </r>
  <r>
    <x v="4"/>
    <x v="0"/>
    <x v="1"/>
    <x v="213"/>
  </r>
  <r>
    <x v="1"/>
    <x v="2"/>
    <x v="13"/>
    <x v="214"/>
  </r>
  <r>
    <x v="2"/>
    <x v="2"/>
    <x v="11"/>
    <x v="215"/>
  </r>
  <r>
    <x v="6"/>
    <x v="1"/>
    <x v="6"/>
    <x v="216"/>
  </r>
  <r>
    <x v="0"/>
    <x v="0"/>
    <x v="4"/>
    <x v="217"/>
  </r>
  <r>
    <x v="5"/>
    <x v="1"/>
    <x v="2"/>
    <x v="218"/>
  </r>
  <r>
    <x v="5"/>
    <x v="0"/>
    <x v="1"/>
    <x v="219"/>
  </r>
  <r>
    <x v="3"/>
    <x v="0"/>
    <x v="5"/>
    <x v="164"/>
  </r>
  <r>
    <x v="3"/>
    <x v="0"/>
    <x v="24"/>
    <x v="220"/>
  </r>
  <r>
    <x v="6"/>
    <x v="2"/>
    <x v="23"/>
    <x v="88"/>
  </r>
  <r>
    <x v="2"/>
    <x v="1"/>
    <x v="15"/>
    <x v="221"/>
  </r>
  <r>
    <x v="3"/>
    <x v="1"/>
    <x v="8"/>
    <x v="36"/>
  </r>
  <r>
    <x v="2"/>
    <x v="1"/>
    <x v="13"/>
    <x v="86"/>
  </r>
  <r>
    <x v="0"/>
    <x v="1"/>
    <x v="5"/>
    <x v="147"/>
  </r>
  <r>
    <x v="3"/>
    <x v="0"/>
    <x v="18"/>
    <x v="222"/>
  </r>
  <r>
    <x v="6"/>
    <x v="0"/>
    <x v="15"/>
    <x v="223"/>
  </r>
  <r>
    <x v="1"/>
    <x v="1"/>
    <x v="13"/>
    <x v="224"/>
  </r>
  <r>
    <x v="6"/>
    <x v="2"/>
    <x v="4"/>
    <x v="225"/>
  </r>
  <r>
    <x v="6"/>
    <x v="0"/>
    <x v="1"/>
    <x v="226"/>
  </r>
  <r>
    <x v="1"/>
    <x v="2"/>
    <x v="20"/>
    <x v="76"/>
  </r>
  <r>
    <x v="0"/>
    <x v="2"/>
    <x v="1"/>
    <x v="181"/>
  </r>
  <r>
    <x v="0"/>
    <x v="0"/>
    <x v="6"/>
    <x v="227"/>
  </r>
  <r>
    <x v="1"/>
    <x v="0"/>
    <x v="12"/>
    <x v="228"/>
  </r>
  <r>
    <x v="5"/>
    <x v="2"/>
    <x v="4"/>
    <x v="229"/>
  </r>
  <r>
    <x v="4"/>
    <x v="0"/>
    <x v="18"/>
    <x v="230"/>
  </r>
  <r>
    <x v="3"/>
    <x v="1"/>
    <x v="13"/>
    <x v="89"/>
  </r>
  <r>
    <x v="2"/>
    <x v="0"/>
    <x v="12"/>
    <x v="231"/>
  </r>
  <r>
    <x v="5"/>
    <x v="2"/>
    <x v="6"/>
    <x v="109"/>
  </r>
  <r>
    <x v="3"/>
    <x v="1"/>
    <x v="8"/>
    <x v="23"/>
  </r>
  <r>
    <x v="6"/>
    <x v="2"/>
    <x v="2"/>
    <x v="232"/>
  </r>
  <r>
    <x v="4"/>
    <x v="1"/>
    <x v="11"/>
    <x v="233"/>
  </r>
  <r>
    <x v="6"/>
    <x v="2"/>
    <x v="4"/>
    <x v="9"/>
  </r>
  <r>
    <x v="2"/>
    <x v="2"/>
    <x v="20"/>
    <x v="234"/>
  </r>
  <r>
    <x v="5"/>
    <x v="0"/>
    <x v="5"/>
    <x v="235"/>
  </r>
  <r>
    <x v="3"/>
    <x v="0"/>
    <x v="4"/>
    <x v="208"/>
  </r>
  <r>
    <x v="1"/>
    <x v="0"/>
    <x v="5"/>
    <x v="236"/>
  </r>
  <r>
    <x v="5"/>
    <x v="2"/>
    <x v="24"/>
    <x v="176"/>
  </r>
  <r>
    <x v="2"/>
    <x v="2"/>
    <x v="24"/>
    <x v="231"/>
  </r>
  <r>
    <x v="5"/>
    <x v="0"/>
    <x v="18"/>
    <x v="237"/>
  </r>
  <r>
    <x v="4"/>
    <x v="2"/>
    <x v="11"/>
    <x v="168"/>
  </r>
  <r>
    <x v="4"/>
    <x v="2"/>
    <x v="12"/>
    <x v="134"/>
  </r>
  <r>
    <x v="1"/>
    <x v="1"/>
    <x v="2"/>
    <x v="238"/>
  </r>
  <r>
    <x v="2"/>
    <x v="1"/>
    <x v="13"/>
    <x v="239"/>
  </r>
  <r>
    <x v="0"/>
    <x v="1"/>
    <x v="12"/>
    <x v="9"/>
  </r>
  <r>
    <x v="0"/>
    <x v="0"/>
    <x v="12"/>
    <x v="6"/>
  </r>
  <r>
    <x v="2"/>
    <x v="2"/>
    <x v="20"/>
    <x v="7"/>
  </r>
  <r>
    <x v="2"/>
    <x v="0"/>
    <x v="8"/>
    <x v="240"/>
  </r>
  <r>
    <x v="4"/>
    <x v="2"/>
    <x v="2"/>
    <x v="241"/>
  </r>
  <r>
    <x v="5"/>
    <x v="1"/>
    <x v="12"/>
    <x v="242"/>
  </r>
  <r>
    <x v="6"/>
    <x v="2"/>
    <x v="9"/>
    <x v="202"/>
  </r>
  <r>
    <x v="4"/>
    <x v="1"/>
    <x v="6"/>
    <x v="243"/>
  </r>
  <r>
    <x v="0"/>
    <x v="1"/>
    <x v="13"/>
    <x v="244"/>
  </r>
  <r>
    <x v="3"/>
    <x v="0"/>
    <x v="6"/>
    <x v="189"/>
  </r>
  <r>
    <x v="4"/>
    <x v="0"/>
    <x v="4"/>
    <x v="245"/>
  </r>
  <r>
    <x v="5"/>
    <x v="0"/>
    <x v="6"/>
    <x v="246"/>
  </r>
  <r>
    <x v="4"/>
    <x v="0"/>
    <x v="20"/>
    <x v="247"/>
  </r>
  <r>
    <x v="3"/>
    <x v="0"/>
    <x v="6"/>
    <x v="35"/>
  </r>
  <r>
    <x v="1"/>
    <x v="1"/>
    <x v="0"/>
    <x v="118"/>
  </r>
  <r>
    <x v="1"/>
    <x v="2"/>
    <x v="2"/>
    <x v="248"/>
  </r>
  <r>
    <x v="1"/>
    <x v="1"/>
    <x v="3"/>
    <x v="249"/>
  </r>
  <r>
    <x v="2"/>
    <x v="1"/>
    <x v="5"/>
    <x v="250"/>
  </r>
  <r>
    <x v="5"/>
    <x v="2"/>
    <x v="1"/>
    <x v="218"/>
  </r>
  <r>
    <x v="2"/>
    <x v="0"/>
    <x v="12"/>
    <x v="251"/>
  </r>
  <r>
    <x v="2"/>
    <x v="2"/>
    <x v="3"/>
    <x v="202"/>
  </r>
  <r>
    <x v="5"/>
    <x v="0"/>
    <x v="1"/>
    <x v="252"/>
  </r>
  <r>
    <x v="1"/>
    <x v="1"/>
    <x v="6"/>
    <x v="253"/>
  </r>
  <r>
    <x v="5"/>
    <x v="2"/>
    <x v="5"/>
    <x v="36"/>
  </r>
  <r>
    <x v="3"/>
    <x v="2"/>
    <x v="12"/>
    <x v="254"/>
  </r>
  <r>
    <x v="0"/>
    <x v="0"/>
    <x v="4"/>
    <x v="176"/>
  </r>
  <r>
    <x v="2"/>
    <x v="0"/>
    <x v="5"/>
    <x v="255"/>
  </r>
  <r>
    <x v="6"/>
    <x v="2"/>
    <x v="12"/>
    <x v="256"/>
  </r>
  <r>
    <x v="6"/>
    <x v="0"/>
    <x v="5"/>
    <x v="257"/>
  </r>
  <r>
    <x v="2"/>
    <x v="1"/>
    <x v="8"/>
    <x v="256"/>
  </r>
  <r>
    <x v="4"/>
    <x v="2"/>
    <x v="8"/>
    <x v="135"/>
  </r>
  <r>
    <x v="5"/>
    <x v="0"/>
    <x v="8"/>
    <x v="35"/>
  </r>
  <r>
    <x v="1"/>
    <x v="0"/>
    <x v="8"/>
    <x v="16"/>
  </r>
  <r>
    <x v="3"/>
    <x v="2"/>
    <x v="24"/>
    <x v="194"/>
  </r>
  <r>
    <x v="0"/>
    <x v="0"/>
    <x v="8"/>
    <x v="258"/>
  </r>
  <r>
    <x v="6"/>
    <x v="0"/>
    <x v="3"/>
    <x v="153"/>
  </r>
  <r>
    <x v="3"/>
    <x v="2"/>
    <x v="18"/>
    <x v="259"/>
  </r>
  <r>
    <x v="1"/>
    <x v="0"/>
    <x v="23"/>
    <x v="260"/>
  </r>
  <r>
    <x v="3"/>
    <x v="1"/>
    <x v="4"/>
    <x v="261"/>
  </r>
  <r>
    <x v="2"/>
    <x v="2"/>
    <x v="3"/>
    <x v="262"/>
  </r>
  <r>
    <x v="5"/>
    <x v="0"/>
    <x v="15"/>
    <x v="255"/>
  </r>
  <r>
    <x v="0"/>
    <x v="1"/>
    <x v="3"/>
    <x v="12"/>
  </r>
  <r>
    <x v="1"/>
    <x v="0"/>
    <x v="4"/>
    <x v="53"/>
  </r>
  <r>
    <x v="4"/>
    <x v="0"/>
    <x v="3"/>
    <x v="263"/>
  </r>
  <r>
    <x v="6"/>
    <x v="1"/>
    <x v="16"/>
    <x v="2"/>
  </r>
  <r>
    <x v="6"/>
    <x v="2"/>
    <x v="12"/>
    <x v="243"/>
  </r>
  <r>
    <x v="0"/>
    <x v="0"/>
    <x v="6"/>
    <x v="264"/>
  </r>
  <r>
    <x v="2"/>
    <x v="2"/>
    <x v="16"/>
    <x v="265"/>
  </r>
  <r>
    <x v="2"/>
    <x v="0"/>
    <x v="4"/>
    <x v="266"/>
  </r>
  <r>
    <x v="1"/>
    <x v="0"/>
    <x v="6"/>
    <x v="8"/>
  </r>
  <r>
    <x v="5"/>
    <x v="2"/>
    <x v="15"/>
    <x v="122"/>
  </r>
  <r>
    <x v="0"/>
    <x v="1"/>
    <x v="8"/>
    <x v="248"/>
  </r>
  <r>
    <x v="1"/>
    <x v="1"/>
    <x v="3"/>
    <x v="267"/>
  </r>
  <r>
    <x v="2"/>
    <x v="0"/>
    <x v="1"/>
    <x v="268"/>
  </r>
  <r>
    <x v="1"/>
    <x v="1"/>
    <x v="8"/>
    <x v="87"/>
  </r>
  <r>
    <x v="5"/>
    <x v="1"/>
    <x v="6"/>
    <x v="269"/>
  </r>
  <r>
    <x v="0"/>
    <x v="0"/>
    <x v="6"/>
    <x v="166"/>
  </r>
  <r>
    <x v="5"/>
    <x v="0"/>
    <x v="5"/>
    <x v="270"/>
  </r>
  <r>
    <x v="4"/>
    <x v="1"/>
    <x v="7"/>
    <x v="271"/>
  </r>
  <r>
    <x v="2"/>
    <x v="0"/>
    <x v="7"/>
    <x v="117"/>
  </r>
  <r>
    <x v="6"/>
    <x v="1"/>
    <x v="15"/>
    <x v="238"/>
  </r>
  <r>
    <x v="0"/>
    <x v="0"/>
    <x v="15"/>
    <x v="217"/>
  </r>
  <r>
    <x v="5"/>
    <x v="1"/>
    <x v="3"/>
    <x v="272"/>
  </r>
  <r>
    <x v="0"/>
    <x v="1"/>
    <x v="12"/>
    <x v="103"/>
  </r>
  <r>
    <x v="5"/>
    <x v="2"/>
    <x v="13"/>
    <x v="273"/>
  </r>
  <r>
    <x v="1"/>
    <x v="2"/>
    <x v="22"/>
    <x v="274"/>
  </r>
  <r>
    <x v="5"/>
    <x v="2"/>
    <x v="2"/>
    <x v="209"/>
  </r>
  <r>
    <x v="5"/>
    <x v="0"/>
    <x v="6"/>
    <x v="275"/>
  </r>
  <r>
    <x v="6"/>
    <x v="0"/>
    <x v="5"/>
    <x v="276"/>
  </r>
  <r>
    <x v="5"/>
    <x v="2"/>
    <x v="24"/>
    <x v="277"/>
  </r>
  <r>
    <x v="0"/>
    <x v="0"/>
    <x v="17"/>
    <x v="197"/>
  </r>
  <r>
    <x v="1"/>
    <x v="0"/>
    <x v="22"/>
    <x v="192"/>
  </r>
  <r>
    <x v="0"/>
    <x v="2"/>
    <x v="7"/>
    <x v="278"/>
  </r>
  <r>
    <x v="0"/>
    <x v="1"/>
    <x v="13"/>
    <x v="8"/>
  </r>
  <r>
    <x v="1"/>
    <x v="2"/>
    <x v="1"/>
    <x v="279"/>
  </r>
  <r>
    <x v="4"/>
    <x v="1"/>
    <x v="1"/>
    <x v="125"/>
  </r>
  <r>
    <x v="5"/>
    <x v="1"/>
    <x v="12"/>
    <x v="280"/>
  </r>
  <r>
    <x v="1"/>
    <x v="2"/>
    <x v="20"/>
    <x v="281"/>
  </r>
  <r>
    <x v="2"/>
    <x v="2"/>
    <x v="12"/>
    <x v="282"/>
  </r>
  <r>
    <x v="1"/>
    <x v="2"/>
    <x v="16"/>
    <x v="283"/>
  </r>
  <r>
    <x v="0"/>
    <x v="1"/>
    <x v="12"/>
    <x v="284"/>
  </r>
  <r>
    <x v="4"/>
    <x v="0"/>
    <x v="4"/>
    <x v="115"/>
  </r>
  <r>
    <x v="3"/>
    <x v="2"/>
    <x v="8"/>
    <x v="285"/>
  </r>
  <r>
    <x v="4"/>
    <x v="1"/>
    <x v="4"/>
    <x v="217"/>
  </r>
  <r>
    <x v="1"/>
    <x v="2"/>
    <x v="2"/>
    <x v="239"/>
  </r>
  <r>
    <x v="2"/>
    <x v="1"/>
    <x v="5"/>
    <x v="286"/>
  </r>
  <r>
    <x v="1"/>
    <x v="1"/>
    <x v="8"/>
    <x v="145"/>
  </r>
  <r>
    <x v="3"/>
    <x v="2"/>
    <x v="17"/>
    <x v="287"/>
  </r>
  <r>
    <x v="2"/>
    <x v="2"/>
    <x v="18"/>
    <x v="288"/>
  </r>
  <r>
    <x v="0"/>
    <x v="1"/>
    <x v="5"/>
    <x v="289"/>
  </r>
  <r>
    <x v="4"/>
    <x v="2"/>
    <x v="3"/>
    <x v="160"/>
  </r>
  <r>
    <x v="4"/>
    <x v="2"/>
    <x v="16"/>
    <x v="290"/>
  </r>
  <r>
    <x v="5"/>
    <x v="0"/>
    <x v="6"/>
    <x v="291"/>
  </r>
  <r>
    <x v="2"/>
    <x v="2"/>
    <x v="6"/>
    <x v="292"/>
  </r>
  <r>
    <x v="5"/>
    <x v="2"/>
    <x v="16"/>
    <x v="166"/>
  </r>
  <r>
    <x v="6"/>
    <x v="2"/>
    <x v="10"/>
    <x v="291"/>
  </r>
  <r>
    <x v="3"/>
    <x v="1"/>
    <x v="6"/>
    <x v="214"/>
  </r>
  <r>
    <x v="3"/>
    <x v="1"/>
    <x v="1"/>
    <x v="208"/>
  </r>
  <r>
    <x v="2"/>
    <x v="0"/>
    <x v="8"/>
    <x v="90"/>
  </r>
  <r>
    <x v="0"/>
    <x v="1"/>
    <x v="5"/>
    <x v="293"/>
  </r>
  <r>
    <x v="5"/>
    <x v="1"/>
    <x v="8"/>
    <x v="294"/>
  </r>
  <r>
    <x v="5"/>
    <x v="2"/>
    <x v="1"/>
    <x v="295"/>
  </r>
  <r>
    <x v="2"/>
    <x v="1"/>
    <x v="13"/>
    <x v="296"/>
  </r>
  <r>
    <x v="2"/>
    <x v="2"/>
    <x v="17"/>
    <x v="185"/>
  </r>
  <r>
    <x v="0"/>
    <x v="2"/>
    <x v="12"/>
    <x v="134"/>
  </r>
  <r>
    <x v="2"/>
    <x v="0"/>
    <x v="13"/>
    <x v="137"/>
  </r>
  <r>
    <x v="5"/>
    <x v="0"/>
    <x v="21"/>
    <x v="297"/>
  </r>
  <r>
    <x v="4"/>
    <x v="0"/>
    <x v="7"/>
    <x v="298"/>
  </r>
  <r>
    <x v="4"/>
    <x v="2"/>
    <x v="1"/>
    <x v="299"/>
  </r>
  <r>
    <x v="4"/>
    <x v="0"/>
    <x v="8"/>
    <x v="1"/>
  </r>
  <r>
    <x v="0"/>
    <x v="0"/>
    <x v="1"/>
    <x v="245"/>
  </r>
  <r>
    <x v="3"/>
    <x v="2"/>
    <x v="5"/>
    <x v="300"/>
  </r>
  <r>
    <x v="6"/>
    <x v="1"/>
    <x v="8"/>
    <x v="82"/>
  </r>
  <r>
    <x v="4"/>
    <x v="1"/>
    <x v="4"/>
    <x v="301"/>
  </r>
  <r>
    <x v="4"/>
    <x v="0"/>
    <x v="24"/>
    <x v="302"/>
  </r>
  <r>
    <x v="6"/>
    <x v="1"/>
    <x v="18"/>
    <x v="107"/>
  </r>
  <r>
    <x v="5"/>
    <x v="2"/>
    <x v="15"/>
    <x v="163"/>
  </r>
  <r>
    <x v="1"/>
    <x v="1"/>
    <x v="5"/>
    <x v="279"/>
  </r>
  <r>
    <x v="2"/>
    <x v="1"/>
    <x v="17"/>
    <x v="303"/>
  </r>
  <r>
    <x v="2"/>
    <x v="0"/>
    <x v="19"/>
    <x v="304"/>
  </r>
  <r>
    <x v="3"/>
    <x v="2"/>
    <x v="0"/>
    <x v="283"/>
  </r>
  <r>
    <x v="5"/>
    <x v="0"/>
    <x v="13"/>
    <x v="305"/>
  </r>
  <r>
    <x v="1"/>
    <x v="0"/>
    <x v="11"/>
    <x v="306"/>
  </r>
  <r>
    <x v="0"/>
    <x v="1"/>
    <x v="13"/>
    <x v="251"/>
  </r>
  <r>
    <x v="0"/>
    <x v="2"/>
    <x v="13"/>
    <x v="307"/>
  </r>
  <r>
    <x v="6"/>
    <x v="2"/>
    <x v="1"/>
    <x v="308"/>
  </r>
  <r>
    <x v="2"/>
    <x v="0"/>
    <x v="14"/>
    <x v="142"/>
  </r>
  <r>
    <x v="3"/>
    <x v="2"/>
    <x v="8"/>
    <x v="34"/>
  </r>
  <r>
    <x v="5"/>
    <x v="2"/>
    <x v="1"/>
    <x v="309"/>
  </r>
  <r>
    <x v="0"/>
    <x v="2"/>
    <x v="16"/>
    <x v="310"/>
  </r>
  <r>
    <x v="6"/>
    <x v="2"/>
    <x v="4"/>
    <x v="27"/>
  </r>
  <r>
    <x v="0"/>
    <x v="1"/>
    <x v="13"/>
    <x v="5"/>
  </r>
  <r>
    <x v="5"/>
    <x v="0"/>
    <x v="13"/>
    <x v="256"/>
  </r>
  <r>
    <x v="5"/>
    <x v="1"/>
    <x v="5"/>
    <x v="302"/>
  </r>
  <r>
    <x v="0"/>
    <x v="2"/>
    <x v="22"/>
    <x v="223"/>
  </r>
  <r>
    <x v="3"/>
    <x v="2"/>
    <x v="8"/>
    <x v="311"/>
  </r>
  <r>
    <x v="6"/>
    <x v="0"/>
    <x v="15"/>
    <x v="312"/>
  </r>
  <r>
    <x v="3"/>
    <x v="2"/>
    <x v="13"/>
    <x v="313"/>
  </r>
  <r>
    <x v="4"/>
    <x v="2"/>
    <x v="21"/>
    <x v="5"/>
  </r>
  <r>
    <x v="6"/>
    <x v="2"/>
    <x v="2"/>
    <x v="128"/>
  </r>
  <r>
    <x v="6"/>
    <x v="2"/>
    <x v="3"/>
    <x v="29"/>
  </r>
  <r>
    <x v="6"/>
    <x v="2"/>
    <x v="18"/>
    <x v="314"/>
  </r>
  <r>
    <x v="3"/>
    <x v="1"/>
    <x v="4"/>
    <x v="315"/>
  </r>
  <r>
    <x v="0"/>
    <x v="1"/>
    <x v="1"/>
    <x v="316"/>
  </r>
  <r>
    <x v="5"/>
    <x v="1"/>
    <x v="4"/>
    <x v="140"/>
  </r>
  <r>
    <x v="0"/>
    <x v="1"/>
    <x v="8"/>
    <x v="317"/>
  </r>
  <r>
    <x v="6"/>
    <x v="1"/>
    <x v="17"/>
    <x v="318"/>
  </r>
  <r>
    <x v="1"/>
    <x v="0"/>
    <x v="3"/>
    <x v="319"/>
  </r>
  <r>
    <x v="4"/>
    <x v="2"/>
    <x v="5"/>
    <x v="320"/>
  </r>
  <r>
    <x v="4"/>
    <x v="1"/>
    <x v="3"/>
    <x v="321"/>
  </r>
  <r>
    <x v="2"/>
    <x v="0"/>
    <x v="17"/>
    <x v="322"/>
  </r>
  <r>
    <x v="5"/>
    <x v="2"/>
    <x v="3"/>
    <x v="255"/>
  </r>
  <r>
    <x v="2"/>
    <x v="1"/>
    <x v="2"/>
    <x v="323"/>
  </r>
  <r>
    <x v="1"/>
    <x v="2"/>
    <x v="3"/>
    <x v="155"/>
  </r>
  <r>
    <x v="5"/>
    <x v="2"/>
    <x v="1"/>
    <x v="324"/>
  </r>
  <r>
    <x v="0"/>
    <x v="2"/>
    <x v="2"/>
    <x v="307"/>
  </r>
  <r>
    <x v="4"/>
    <x v="0"/>
    <x v="2"/>
    <x v="29"/>
  </r>
  <r>
    <x v="0"/>
    <x v="1"/>
    <x v="22"/>
    <x v="325"/>
  </r>
  <r>
    <x v="0"/>
    <x v="1"/>
    <x v="4"/>
    <x v="326"/>
  </r>
  <r>
    <x v="1"/>
    <x v="0"/>
    <x v="23"/>
    <x v="243"/>
  </r>
  <r>
    <x v="2"/>
    <x v="2"/>
    <x v="12"/>
    <x v="282"/>
  </r>
  <r>
    <x v="5"/>
    <x v="2"/>
    <x v="4"/>
    <x v="149"/>
  </r>
  <r>
    <x v="2"/>
    <x v="2"/>
    <x v="20"/>
    <x v="327"/>
  </r>
  <r>
    <x v="0"/>
    <x v="1"/>
    <x v="24"/>
    <x v="328"/>
  </r>
  <r>
    <x v="4"/>
    <x v="1"/>
    <x v="13"/>
    <x v="163"/>
  </r>
  <r>
    <x v="3"/>
    <x v="0"/>
    <x v="2"/>
    <x v="329"/>
  </r>
  <r>
    <x v="5"/>
    <x v="1"/>
    <x v="1"/>
    <x v="150"/>
  </r>
  <r>
    <x v="0"/>
    <x v="0"/>
    <x v="7"/>
    <x v="15"/>
  </r>
  <r>
    <x v="2"/>
    <x v="2"/>
    <x v="8"/>
    <x v="330"/>
  </r>
  <r>
    <x v="0"/>
    <x v="0"/>
    <x v="12"/>
    <x v="331"/>
  </r>
  <r>
    <x v="1"/>
    <x v="1"/>
    <x v="3"/>
    <x v="332"/>
  </r>
  <r>
    <x v="0"/>
    <x v="2"/>
    <x v="14"/>
    <x v="333"/>
  </r>
  <r>
    <x v="2"/>
    <x v="0"/>
    <x v="8"/>
    <x v="334"/>
  </r>
  <r>
    <x v="5"/>
    <x v="1"/>
    <x v="6"/>
    <x v="335"/>
  </r>
  <r>
    <x v="0"/>
    <x v="1"/>
    <x v="8"/>
    <x v="336"/>
  </r>
  <r>
    <x v="1"/>
    <x v="2"/>
    <x v="6"/>
    <x v="276"/>
  </r>
  <r>
    <x v="3"/>
    <x v="0"/>
    <x v="1"/>
    <x v="89"/>
  </r>
  <r>
    <x v="4"/>
    <x v="1"/>
    <x v="6"/>
    <x v="131"/>
  </r>
  <r>
    <x v="0"/>
    <x v="2"/>
    <x v="3"/>
    <x v="337"/>
  </r>
  <r>
    <x v="5"/>
    <x v="2"/>
    <x v="1"/>
    <x v="338"/>
  </r>
  <r>
    <x v="2"/>
    <x v="1"/>
    <x v="2"/>
    <x v="339"/>
  </r>
  <r>
    <x v="3"/>
    <x v="1"/>
    <x v="5"/>
    <x v="340"/>
  </r>
  <r>
    <x v="0"/>
    <x v="0"/>
    <x v="4"/>
    <x v="341"/>
  </r>
  <r>
    <x v="0"/>
    <x v="0"/>
    <x v="9"/>
    <x v="224"/>
  </r>
  <r>
    <x v="2"/>
    <x v="2"/>
    <x v="1"/>
    <x v="252"/>
  </r>
  <r>
    <x v="3"/>
    <x v="2"/>
    <x v="12"/>
    <x v="52"/>
  </r>
  <r>
    <x v="3"/>
    <x v="0"/>
    <x v="13"/>
    <x v="342"/>
  </r>
  <r>
    <x v="4"/>
    <x v="1"/>
    <x v="22"/>
    <x v="311"/>
  </r>
  <r>
    <x v="3"/>
    <x v="0"/>
    <x v="16"/>
    <x v="343"/>
  </r>
  <r>
    <x v="0"/>
    <x v="2"/>
    <x v="3"/>
    <x v="151"/>
  </r>
  <r>
    <x v="4"/>
    <x v="1"/>
    <x v="4"/>
    <x v="344"/>
  </r>
  <r>
    <x v="1"/>
    <x v="1"/>
    <x v="6"/>
    <x v="345"/>
  </r>
  <r>
    <x v="0"/>
    <x v="1"/>
    <x v="4"/>
    <x v="152"/>
  </r>
  <r>
    <x v="3"/>
    <x v="1"/>
    <x v="24"/>
    <x v="247"/>
  </r>
  <r>
    <x v="3"/>
    <x v="1"/>
    <x v="6"/>
    <x v="346"/>
  </r>
  <r>
    <x v="2"/>
    <x v="2"/>
    <x v="6"/>
    <x v="138"/>
  </r>
  <r>
    <x v="2"/>
    <x v="0"/>
    <x v="12"/>
    <x v="236"/>
  </r>
  <r>
    <x v="2"/>
    <x v="0"/>
    <x v="6"/>
    <x v="57"/>
  </r>
  <r>
    <x v="4"/>
    <x v="0"/>
    <x v="22"/>
    <x v="95"/>
  </r>
  <r>
    <x v="6"/>
    <x v="0"/>
    <x v="15"/>
    <x v="198"/>
  </r>
  <r>
    <x v="2"/>
    <x v="1"/>
    <x v="2"/>
    <x v="151"/>
  </r>
  <r>
    <x v="0"/>
    <x v="2"/>
    <x v="15"/>
    <x v="347"/>
  </r>
  <r>
    <x v="6"/>
    <x v="2"/>
    <x v="12"/>
    <x v="348"/>
  </r>
  <r>
    <x v="3"/>
    <x v="0"/>
    <x v="4"/>
    <x v="349"/>
  </r>
  <r>
    <x v="3"/>
    <x v="0"/>
    <x v="5"/>
    <x v="350"/>
  </r>
  <r>
    <x v="4"/>
    <x v="2"/>
    <x v="5"/>
    <x v="351"/>
  </r>
  <r>
    <x v="3"/>
    <x v="0"/>
    <x v="6"/>
    <x v="266"/>
  </r>
  <r>
    <x v="4"/>
    <x v="2"/>
    <x v="12"/>
    <x v="352"/>
  </r>
  <r>
    <x v="2"/>
    <x v="0"/>
    <x v="6"/>
    <x v="43"/>
  </r>
  <r>
    <x v="3"/>
    <x v="0"/>
    <x v="2"/>
    <x v="123"/>
  </r>
  <r>
    <x v="0"/>
    <x v="1"/>
    <x v="5"/>
    <x v="73"/>
  </r>
  <r>
    <x v="4"/>
    <x v="0"/>
    <x v="1"/>
    <x v="353"/>
  </r>
  <r>
    <x v="5"/>
    <x v="2"/>
    <x v="12"/>
    <x v="103"/>
  </r>
  <r>
    <x v="3"/>
    <x v="2"/>
    <x v="17"/>
    <x v="227"/>
  </r>
  <r>
    <x v="6"/>
    <x v="1"/>
    <x v="2"/>
    <x v="153"/>
  </r>
  <r>
    <x v="3"/>
    <x v="1"/>
    <x v="15"/>
    <x v="215"/>
  </r>
  <r>
    <x v="0"/>
    <x v="2"/>
    <x v="17"/>
    <x v="354"/>
  </r>
  <r>
    <x v="3"/>
    <x v="2"/>
    <x v="5"/>
    <x v="318"/>
  </r>
  <r>
    <x v="5"/>
    <x v="0"/>
    <x v="13"/>
    <x v="355"/>
  </r>
  <r>
    <x v="3"/>
    <x v="1"/>
    <x v="19"/>
    <x v="356"/>
  </r>
  <r>
    <x v="3"/>
    <x v="1"/>
    <x v="4"/>
    <x v="119"/>
  </r>
  <r>
    <x v="6"/>
    <x v="0"/>
    <x v="2"/>
    <x v="221"/>
  </r>
  <r>
    <x v="4"/>
    <x v="2"/>
    <x v="3"/>
    <x v="15"/>
  </r>
  <r>
    <x v="5"/>
    <x v="2"/>
    <x v="21"/>
    <x v="357"/>
  </r>
  <r>
    <x v="5"/>
    <x v="1"/>
    <x v="8"/>
    <x v="130"/>
  </r>
  <r>
    <x v="3"/>
    <x v="0"/>
    <x v="0"/>
    <x v="358"/>
  </r>
  <r>
    <x v="0"/>
    <x v="1"/>
    <x v="2"/>
    <x v="309"/>
  </r>
  <r>
    <x v="3"/>
    <x v="2"/>
    <x v="4"/>
    <x v="359"/>
  </r>
  <r>
    <x v="6"/>
    <x v="0"/>
    <x v="2"/>
    <x v="197"/>
  </r>
  <r>
    <x v="1"/>
    <x v="0"/>
    <x v="6"/>
    <x v="360"/>
  </r>
  <r>
    <x v="0"/>
    <x v="0"/>
    <x v="12"/>
    <x v="199"/>
  </r>
  <r>
    <x v="5"/>
    <x v="0"/>
    <x v="15"/>
    <x v="259"/>
  </r>
  <r>
    <x v="3"/>
    <x v="1"/>
    <x v="13"/>
    <x v="283"/>
  </r>
  <r>
    <x v="6"/>
    <x v="2"/>
    <x v="1"/>
    <x v="361"/>
  </r>
  <r>
    <x v="3"/>
    <x v="0"/>
    <x v="10"/>
    <x v="111"/>
  </r>
  <r>
    <x v="5"/>
    <x v="0"/>
    <x v="1"/>
    <x v="362"/>
  </r>
  <r>
    <x v="4"/>
    <x v="2"/>
    <x v="0"/>
    <x v="277"/>
  </r>
  <r>
    <x v="3"/>
    <x v="1"/>
    <x v="2"/>
    <x v="220"/>
  </r>
  <r>
    <x v="5"/>
    <x v="0"/>
    <x v="13"/>
    <x v="363"/>
  </r>
  <r>
    <x v="0"/>
    <x v="1"/>
    <x v="14"/>
    <x v="364"/>
  </r>
  <r>
    <x v="1"/>
    <x v="2"/>
    <x v="8"/>
    <x v="141"/>
  </r>
  <r>
    <x v="1"/>
    <x v="2"/>
    <x v="16"/>
    <x v="329"/>
  </r>
  <r>
    <x v="5"/>
    <x v="0"/>
    <x v="14"/>
    <x v="365"/>
  </r>
  <r>
    <x v="1"/>
    <x v="2"/>
    <x v="5"/>
    <x v="366"/>
  </r>
  <r>
    <x v="2"/>
    <x v="2"/>
    <x v="1"/>
    <x v="210"/>
  </r>
  <r>
    <x v="2"/>
    <x v="0"/>
    <x v="9"/>
    <x v="154"/>
  </r>
  <r>
    <x v="3"/>
    <x v="2"/>
    <x v="3"/>
    <x v="367"/>
  </r>
  <r>
    <x v="5"/>
    <x v="2"/>
    <x v="8"/>
    <x v="368"/>
  </r>
  <r>
    <x v="4"/>
    <x v="0"/>
    <x v="5"/>
    <x v="104"/>
  </r>
  <r>
    <x v="4"/>
    <x v="0"/>
    <x v="17"/>
    <x v="369"/>
  </r>
  <r>
    <x v="0"/>
    <x v="1"/>
    <x v="16"/>
    <x v="1"/>
  </r>
  <r>
    <x v="0"/>
    <x v="1"/>
    <x v="12"/>
    <x v="234"/>
  </r>
  <r>
    <x v="2"/>
    <x v="1"/>
    <x v="3"/>
    <x v="233"/>
  </r>
  <r>
    <x v="1"/>
    <x v="0"/>
    <x v="8"/>
    <x v="316"/>
  </r>
  <r>
    <x v="5"/>
    <x v="1"/>
    <x v="23"/>
    <x v="370"/>
  </r>
  <r>
    <x v="1"/>
    <x v="0"/>
    <x v="9"/>
    <x v="34"/>
  </r>
  <r>
    <x v="6"/>
    <x v="1"/>
    <x v="12"/>
    <x v="128"/>
  </r>
  <r>
    <x v="6"/>
    <x v="0"/>
    <x v="2"/>
    <x v="202"/>
  </r>
  <r>
    <x v="5"/>
    <x v="2"/>
    <x v="1"/>
    <x v="15"/>
  </r>
  <r>
    <x v="0"/>
    <x v="0"/>
    <x v="14"/>
    <x v="371"/>
  </r>
  <r>
    <x v="3"/>
    <x v="2"/>
    <x v="13"/>
    <x v="40"/>
  </r>
  <r>
    <x v="1"/>
    <x v="1"/>
    <x v="2"/>
    <x v="372"/>
  </r>
  <r>
    <x v="1"/>
    <x v="1"/>
    <x v="6"/>
    <x v="75"/>
  </r>
  <r>
    <x v="2"/>
    <x v="0"/>
    <x v="4"/>
    <x v="373"/>
  </r>
  <r>
    <x v="2"/>
    <x v="1"/>
    <x v="6"/>
    <x v="114"/>
  </r>
  <r>
    <x v="0"/>
    <x v="1"/>
    <x v="2"/>
    <x v="67"/>
  </r>
  <r>
    <x v="3"/>
    <x v="2"/>
    <x v="2"/>
    <x v="374"/>
  </r>
  <r>
    <x v="5"/>
    <x v="1"/>
    <x v="5"/>
    <x v="342"/>
  </r>
  <r>
    <x v="6"/>
    <x v="1"/>
    <x v="2"/>
    <x v="375"/>
  </r>
  <r>
    <x v="1"/>
    <x v="2"/>
    <x v="23"/>
    <x v="376"/>
  </r>
  <r>
    <x v="2"/>
    <x v="0"/>
    <x v="2"/>
    <x v="264"/>
  </r>
  <r>
    <x v="0"/>
    <x v="2"/>
    <x v="7"/>
    <x v="377"/>
  </r>
  <r>
    <x v="0"/>
    <x v="1"/>
    <x v="3"/>
    <x v="126"/>
  </r>
  <r>
    <x v="6"/>
    <x v="2"/>
    <x v="13"/>
    <x v="216"/>
  </r>
  <r>
    <x v="6"/>
    <x v="1"/>
    <x v="1"/>
    <x v="70"/>
  </r>
  <r>
    <x v="6"/>
    <x v="2"/>
    <x v="6"/>
    <x v="100"/>
  </r>
  <r>
    <x v="4"/>
    <x v="1"/>
    <x v="12"/>
    <x v="69"/>
  </r>
  <r>
    <x v="2"/>
    <x v="2"/>
    <x v="12"/>
    <x v="232"/>
  </r>
  <r>
    <x v="5"/>
    <x v="2"/>
    <x v="8"/>
    <x v="378"/>
  </r>
  <r>
    <x v="4"/>
    <x v="2"/>
    <x v="2"/>
    <x v="17"/>
  </r>
  <r>
    <x v="1"/>
    <x v="2"/>
    <x v="5"/>
    <x v="379"/>
  </r>
  <r>
    <x v="4"/>
    <x v="2"/>
    <x v="3"/>
    <x v="380"/>
  </r>
  <r>
    <x v="2"/>
    <x v="1"/>
    <x v="7"/>
    <x v="381"/>
  </r>
  <r>
    <x v="5"/>
    <x v="1"/>
    <x v="0"/>
    <x v="382"/>
  </r>
  <r>
    <x v="2"/>
    <x v="0"/>
    <x v="6"/>
    <x v="383"/>
  </r>
  <r>
    <x v="0"/>
    <x v="1"/>
    <x v="11"/>
    <x v="175"/>
  </r>
  <r>
    <x v="2"/>
    <x v="1"/>
    <x v="7"/>
    <x v="96"/>
  </r>
  <r>
    <x v="5"/>
    <x v="0"/>
    <x v="9"/>
    <x v="384"/>
  </r>
  <r>
    <x v="5"/>
    <x v="0"/>
    <x v="3"/>
    <x v="101"/>
  </r>
  <r>
    <x v="5"/>
    <x v="2"/>
    <x v="22"/>
    <x v="100"/>
  </r>
  <r>
    <x v="4"/>
    <x v="0"/>
    <x v="2"/>
    <x v="385"/>
  </r>
  <r>
    <x v="2"/>
    <x v="1"/>
    <x v="22"/>
    <x v="209"/>
  </r>
  <r>
    <x v="6"/>
    <x v="1"/>
    <x v="13"/>
    <x v="241"/>
  </r>
  <r>
    <x v="6"/>
    <x v="2"/>
    <x v="0"/>
    <x v="275"/>
  </r>
  <r>
    <x v="4"/>
    <x v="2"/>
    <x v="2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6" cacheId="2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compactData="0" showDrill="1" multipleFieldFilters="0">
  <location ref="H6:I11" firstHeaderRow="1" firstDataRow="1" firstDataCol="1"/>
  <pivotFields count="3">
    <pivotField compact="0" outline="0" numFmtId="58" showAll="0">
      <items count="9">
        <item x="6"/>
        <item x="0"/>
        <item x="4"/>
        <item x="1"/>
        <item x="2"/>
        <item x="5"/>
        <item x="3"/>
        <item x="7"/>
        <item t="default"/>
      </items>
    </pivotField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>
      <items count="26">
        <item x="11"/>
        <item x="14"/>
        <item x="12"/>
        <item x="16"/>
        <item x="2"/>
        <item x="10"/>
        <item x="8"/>
        <item x="5"/>
        <item x="3"/>
        <item x="6"/>
        <item x="1"/>
        <item x="13"/>
        <item x="4"/>
        <item x="7"/>
        <item x="15"/>
        <item x="0"/>
        <item x="9"/>
        <item x="17"/>
        <item x="18"/>
        <item x="19"/>
        <item x="20"/>
        <item x="21"/>
        <item x="22"/>
        <item x="23"/>
        <item x="24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6" minRefreshableVersion="3" createdVersion="6" useAutoFormatting="1" compact="0" indent="0" compactData="0" showDrill="1" multipleFieldFilters="0">
  <location ref="E3:F8" firstHeaderRow="1" firstDataRow="1" firstDataCol="1"/>
  <pivotFields count="3">
    <pivotField compact="0" outline="0" numFmtId="58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3" autoFormatId="1" applyNumberFormats="0" applyBorderFormats="0" applyFontFormats="0" applyPatternFormats="0" applyAlignmentFormats="0" applyWidthHeightFormats="1" dataCaption="Values" updatedVersion="5" minRefreshableVersion="3" createdVersion="5" useAutoFormatting="1" compact="0" indent="0" compactData="0" showDrill="1" multipleFieldFilters="0">
  <location ref="H6:I32" firstHeaderRow="1" firstDataRow="1" firstDataCol="1"/>
  <pivotFields count="4">
    <pivotField compact="0" outline="0" numFmtId="176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outline="0" numFmtId="8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78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" autoFormatId="1" applyNumberFormats="0" applyBorderFormats="0" applyFontFormats="0" applyPatternFormats="0" applyAlignmentFormats="0" applyWidthHeightFormats="1" dataCaption="Values" updatedVersion="6" minRefreshableVersion="3" createdVersion="6" useAutoFormatting="1" compact="0" indent="0" compactData="0" showDrill="1" multipleFieldFilters="0">
  <location ref="F3:G29" firstHeaderRow="1" firstDataRow="1" firstDataCol="1"/>
  <pivotFields count="4">
    <pivotField compact="0" outline="0" numFmtId="176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outline="0" numFmtId="8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8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PriceLookup" displayName="PriceLookup" ref="A23:D29" totalsRowShown="0">
  <autoFilter ref="A23:D29"/>
  <tableColumns count="4">
    <tableColumn id="1" name="Product" dataDxfId="0"/>
    <tableColumn id="2" name="Supplier" dataDxfId="1"/>
    <tableColumn id="3" name="Cost" dataDxfId="2"/>
    <tableColumn id="4" name="Retail Pric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PriceLookupAnswer" displayName="PriceLookupAnswer" ref="A23:D29" totalsRowShown="0">
  <autoFilter ref="A23:D29"/>
  <tableColumns count="4">
    <tableColumn id="1" name="Product" dataDxfId="4"/>
    <tableColumn id="2" name="Supplier" dataDxfId="5"/>
    <tableColumn id="3" name="Cost" dataDxfId="6"/>
    <tableColumn id="4" name="Retail Price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Table14" displayName="Table14" ref="A4:B7" totalsRowShown="0">
  <autoFilter ref="A4:B7"/>
  <tableColumns count="2">
    <tableColumn id="1" name="Date" dataDxfId="8"/>
    <tableColumn id="2" name="Your Name Sales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MySalesAnswer" displayName="MySalesAnswer" ref="A4:B8" totalsRowShown="0">
  <autoFilter ref="A4:B8"/>
  <tableColumns count="2">
    <tableColumn id="1" name="Date" dataDxfId="10"/>
    <tableColumn id="2" name="Your Name Sales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15" displayName="Table15" ref="A3:C29" totalsRowShown="0">
  <autoFilter ref="A3:C29"/>
  <tableColumns count="3">
    <tableColumn id="1" name="Date" dataDxfId="12"/>
    <tableColumn id="2" name="Product"/>
    <tableColumn id="3" name="Units Sol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UnitSalesTableAnswer" displayName="UnitSalesTableAnswer" ref="A3:C29" totalsRowShown="0">
  <autoFilter ref="A3:C29"/>
  <tableColumns count="3">
    <tableColumn id="1" name="Date" dataDxfId="13"/>
    <tableColumn id="2" name="Product"/>
    <tableColumn id="3" name="Units Sol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6" name="Table16" displayName="Table16" ref="A3:C958" totalsRowShown="0">
  <autoFilter ref="A3:C958"/>
  <tableColumns count="3">
    <tableColumn id="1" name="Date" dataDxfId="14"/>
    <tableColumn id="2" name="Product"/>
    <tableColumn id="3" name="Units Sol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ProductUnitsTableAnswer" displayName="ProductUnitsTableAnswer" ref="A3:C958" totalsRowShown="0">
  <autoFilter ref="A3:C958"/>
  <tableColumns count="3">
    <tableColumn id="1" name="Date" dataDxfId="15"/>
    <tableColumn id="2" name="Product"/>
    <tableColumn id="3" name="Units Sol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RevenueTable" displayName="RevenueTable" ref="A19:G655" totalsRowShown="0">
  <autoFilter ref="A19:G655"/>
  <tableColumns count="7">
    <tableColumn id="1" name="Date" dataDxfId="16"/>
    <tableColumn id="2" name="Product"/>
    <tableColumn id="3" name="Units Sold"/>
    <tableColumn id="4" name="Price Each" dataDxfId="17"/>
    <tableColumn id="5" name="Total Revenue" dataDxfId="18"/>
    <tableColumn id="6" name="Discount per Total Revenue"/>
    <tableColumn id="7" name="Net Reven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DiscountperUnitsSold" displayName="DiscountperUnitsSold" ref="I19:J25" totalsRowShown="0">
  <autoFilter ref="I19:J25"/>
  <tableColumns count="2">
    <tableColumn id="1" name="Units"/>
    <tableColumn id="2" name="Dis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venueTableAnswer" displayName="RevenueTableAnswer" ref="A19:G655" totalsRowShown="0">
  <autoFilter ref="A19:G655"/>
  <tableColumns count="7">
    <tableColumn id="1" name="Date" dataDxfId="19"/>
    <tableColumn id="2" name="Product"/>
    <tableColumn id="3" name="Units Sold"/>
    <tableColumn id="4" name="Price Each" dataDxfId="20"/>
    <tableColumn id="5" name="Total Revenue" dataDxfId="21"/>
    <tableColumn id="6" name="Discount on Total Revenue" dataDxfId="22"/>
    <tableColumn id="7" name="Net Revenue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DiscountTableAnswer" displayName="DiscountTableAnswer" ref="J19:K25" totalsRowShown="0">
  <autoFilter ref="J19:K25"/>
  <tableColumns count="2">
    <tableColumn id="1" name="Units"/>
    <tableColumn id="2" name="Dis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8" name="SalesRepSalesTable" displayName="SalesRepSalesTable" ref="A3:D585" totalsRowShown="0">
  <autoFilter ref="A3:D585"/>
  <tableColumns count="4">
    <tableColumn id="1" name="Date" dataDxfId="24"/>
    <tableColumn id="2" name="Region" dataDxfId="25"/>
    <tableColumn id="3" name="SalesRep" dataDxfId="26"/>
    <tableColumn id="4" name="Sales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SalesRepSalesTableAnswer" displayName="SalesRepSalesTableAnswer" ref="A3:D585" totalsRowShown="0">
  <autoFilter ref="A3:D585"/>
  <tableColumns count="4">
    <tableColumn id="1" name="Date" dataDxfId="28"/>
    <tableColumn id="2" name="Region" dataDxfId="29"/>
    <tableColumn id="3" name="SalesRep" dataDxfId="30"/>
    <tableColumn id="4" name="Sales" dataDxfId="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GPAtable" displayName="GPAtable" ref="A8:B16" totalsRowShown="0">
  <autoFilter ref="A8:B16"/>
  <tableColumns count="2">
    <tableColumn id="1" name="Class"/>
    <tableColumn id="2" name="Gra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1" name="GradeTableAnswer" displayName="GradeTableAnswer" ref="A8:B15" totalsRowShown="0">
  <autoFilter ref="A8:B15"/>
  <sortState ref="A8:B15">
    <sortCondition ref="B8:B15"/>
  </sortState>
  <tableColumns count="2">
    <tableColumn id="1" name="Class"/>
    <tableColumn id="2" name="Grade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T27"/>
  <sheetViews>
    <sheetView zoomScale="85" zoomScaleNormal="85" workbookViewId="0">
      <selection activeCell="AB17" sqref="AB17"/>
    </sheetView>
  </sheetViews>
  <sheetFormatPr defaultColWidth="9" defaultRowHeight="15"/>
  <cols>
    <col min="11" max="11" width="30.4285714285714" customWidth="1"/>
  </cols>
  <sheetData>
    <row r="1" ht="15.75" spans="1:20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</row>
    <row r="2" ht="30.75" spans="1:20">
      <c r="A2" s="72"/>
      <c r="B2" s="73" t="s">
        <v>0</v>
      </c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90"/>
      <c r="T2" s="72"/>
    </row>
    <row r="3" ht="23.25" spans="1:20">
      <c r="A3" s="72"/>
      <c r="B3" s="75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91"/>
      <c r="T3" s="72"/>
    </row>
    <row r="4" ht="26.25" spans="1:20">
      <c r="A4" s="72"/>
      <c r="B4" s="75"/>
      <c r="C4" s="76"/>
      <c r="D4" s="76"/>
      <c r="E4" s="76"/>
      <c r="F4" s="76"/>
      <c r="G4" s="76"/>
      <c r="H4" s="77"/>
      <c r="I4" s="77"/>
      <c r="J4" s="83"/>
      <c r="K4" s="84"/>
      <c r="L4" s="85"/>
      <c r="M4" s="76"/>
      <c r="N4" s="76"/>
      <c r="O4" s="76"/>
      <c r="P4" s="86" t="s">
        <v>1</v>
      </c>
      <c r="Q4" s="76"/>
      <c r="R4" s="76"/>
      <c r="S4" s="91"/>
      <c r="T4" s="72"/>
    </row>
    <row r="5" ht="22.5" spans="1:20">
      <c r="A5" s="72"/>
      <c r="B5" s="78"/>
      <c r="C5" s="79"/>
      <c r="D5" s="79"/>
      <c r="E5" s="79"/>
      <c r="F5" s="79"/>
      <c r="G5" s="79"/>
      <c r="H5" s="77"/>
      <c r="I5" s="77"/>
      <c r="J5" s="83"/>
      <c r="K5" s="84"/>
      <c r="L5" s="87"/>
      <c r="M5" s="88" t="s">
        <v>2</v>
      </c>
      <c r="N5" s="89"/>
      <c r="O5" s="79"/>
      <c r="P5" s="79"/>
      <c r="Q5" s="79"/>
      <c r="R5" s="79"/>
      <c r="S5" s="92"/>
      <c r="T5" s="72"/>
    </row>
    <row r="6" ht="22.5" spans="1:20">
      <c r="A6" s="72"/>
      <c r="B6" s="78"/>
      <c r="C6" s="79"/>
      <c r="D6" s="79"/>
      <c r="E6" s="79"/>
      <c r="F6" s="79"/>
      <c r="G6" s="79"/>
      <c r="H6" s="77"/>
      <c r="I6" s="77"/>
      <c r="J6" s="83"/>
      <c r="K6" s="84"/>
      <c r="L6" s="83">
        <v>1</v>
      </c>
      <c r="M6" s="84" t="str">
        <f>'VLOOKUP DVL'!A13</f>
        <v>Example 1: Excel Table feature for VLOOKUP &amp; Data Validation List</v>
      </c>
      <c r="N6" s="89"/>
      <c r="O6" s="77"/>
      <c r="P6" s="79"/>
      <c r="Q6" s="93"/>
      <c r="R6" s="77"/>
      <c r="S6" s="94"/>
      <c r="T6" s="72"/>
    </row>
    <row r="7" ht="15.75" spans="1:20">
      <c r="A7" s="72"/>
      <c r="B7" s="80"/>
      <c r="C7" s="77"/>
      <c r="D7" s="77"/>
      <c r="E7" s="77"/>
      <c r="F7" s="77"/>
      <c r="G7" s="77"/>
      <c r="H7" s="77"/>
      <c r="I7" s="77"/>
      <c r="J7" s="83"/>
      <c r="K7" s="84"/>
      <c r="L7" s="83">
        <v>2</v>
      </c>
      <c r="M7" s="84" t="str">
        <f>'Chart (an)'!A1</f>
        <v>Example 2: Excel Table feature for Chart</v>
      </c>
      <c r="N7" s="89"/>
      <c r="O7" s="77"/>
      <c r="P7" s="77"/>
      <c r="Q7" s="77"/>
      <c r="R7" s="77"/>
      <c r="S7" s="94"/>
      <c r="T7" s="72"/>
    </row>
    <row r="8" ht="15.75" spans="1:20">
      <c r="A8" s="72"/>
      <c r="B8" s="80"/>
      <c r="C8" s="77"/>
      <c r="D8" s="77"/>
      <c r="E8" s="77"/>
      <c r="F8" s="77"/>
      <c r="G8" s="77"/>
      <c r="H8" s="77"/>
      <c r="I8" s="77"/>
      <c r="J8" s="83"/>
      <c r="K8" s="84"/>
      <c r="L8" s="83">
        <v>3</v>
      </c>
      <c r="M8" s="84" t="str">
        <f>'PivotTable (an)'!A1</f>
        <v>Example 3: Excel Table feature for PivotTable</v>
      </c>
      <c r="N8" s="89"/>
      <c r="O8" s="77"/>
      <c r="P8" s="77"/>
      <c r="Q8" s="77"/>
      <c r="R8" s="77"/>
      <c r="S8" s="94"/>
      <c r="T8" s="72"/>
    </row>
    <row r="9" ht="15.75" spans="1:20">
      <c r="A9" s="72"/>
      <c r="B9" s="80"/>
      <c r="C9" s="77"/>
      <c r="D9" s="77"/>
      <c r="E9" s="77"/>
      <c r="F9" s="77"/>
      <c r="G9" s="77"/>
      <c r="H9" s="77"/>
      <c r="I9" s="77"/>
      <c r="J9" s="83"/>
      <c r="K9" s="84"/>
      <c r="L9" s="83">
        <v>4</v>
      </c>
      <c r="M9" s="84" t="str">
        <f>'SUM (an)'!A1</f>
        <v>Example 4: Excel Table feature for Other Formulas</v>
      </c>
      <c r="N9" s="89"/>
      <c r="O9" s="77"/>
      <c r="P9" s="77"/>
      <c r="Q9" s="77"/>
      <c r="R9" s="77"/>
      <c r="S9" s="94"/>
      <c r="T9" s="72"/>
    </row>
    <row r="10" ht="22.5" spans="1:20">
      <c r="A10" s="72"/>
      <c r="B10" s="80"/>
      <c r="C10" s="77"/>
      <c r="D10" s="77"/>
      <c r="E10" s="77"/>
      <c r="F10" s="77"/>
      <c r="G10" s="77"/>
      <c r="H10" s="77"/>
      <c r="I10" s="77"/>
      <c r="J10" s="83"/>
      <c r="K10" s="84"/>
      <c r="L10" s="83">
        <v>5</v>
      </c>
      <c r="M10" s="84" t="s">
        <v>3</v>
      </c>
      <c r="N10" s="79"/>
      <c r="O10" s="77"/>
      <c r="P10" s="77"/>
      <c r="Q10" s="77"/>
      <c r="R10" s="77"/>
      <c r="S10" s="94"/>
      <c r="T10" s="72"/>
    </row>
    <row r="11" ht="22.5" spans="1:20">
      <c r="A11" s="72"/>
      <c r="B11" s="80"/>
      <c r="C11" s="77"/>
      <c r="D11" s="77"/>
      <c r="E11" s="77"/>
      <c r="F11" s="77"/>
      <c r="G11" s="77"/>
      <c r="H11" s="77"/>
      <c r="I11" s="77"/>
      <c r="J11" s="83"/>
      <c r="K11" s="84"/>
      <c r="L11" s="83"/>
      <c r="M11" s="84" t="s">
        <v>4</v>
      </c>
      <c r="N11" s="79"/>
      <c r="O11" s="77"/>
      <c r="P11" s="77"/>
      <c r="Q11" s="77"/>
      <c r="R11" s="77"/>
      <c r="S11" s="94"/>
      <c r="T11" s="72"/>
    </row>
    <row r="12" ht="22.5" spans="1:20">
      <c r="A12" s="72"/>
      <c r="B12" s="80"/>
      <c r="C12" s="77"/>
      <c r="D12" s="77"/>
      <c r="E12" s="77"/>
      <c r="F12" s="77"/>
      <c r="G12" s="77"/>
      <c r="H12" s="77"/>
      <c r="I12" s="77"/>
      <c r="J12" s="83"/>
      <c r="K12" s="84"/>
      <c r="L12" s="83"/>
      <c r="M12" s="84"/>
      <c r="N12" s="79"/>
      <c r="O12" s="77"/>
      <c r="P12" s="77"/>
      <c r="Q12" s="77"/>
      <c r="R12" s="77"/>
      <c r="S12" s="94"/>
      <c r="T12" s="72"/>
    </row>
    <row r="13" ht="22.5" spans="1:20">
      <c r="A13" s="72"/>
      <c r="B13" s="80"/>
      <c r="C13" s="77"/>
      <c r="D13" s="77"/>
      <c r="E13" s="77"/>
      <c r="F13" s="77"/>
      <c r="G13" s="77"/>
      <c r="H13" s="77"/>
      <c r="I13" s="77"/>
      <c r="J13" s="83"/>
      <c r="K13" s="84"/>
      <c r="L13" s="83"/>
      <c r="M13" s="84"/>
      <c r="N13" s="79"/>
      <c r="O13" s="77"/>
      <c r="P13" s="77"/>
      <c r="Q13" s="77"/>
      <c r="R13" s="77"/>
      <c r="S13" s="94"/>
      <c r="T13" s="72"/>
    </row>
    <row r="14" ht="22.5" spans="1:20">
      <c r="A14" s="72"/>
      <c r="B14" s="80"/>
      <c r="C14" s="77"/>
      <c r="D14" s="77"/>
      <c r="E14" s="77"/>
      <c r="F14" s="77"/>
      <c r="G14" s="77"/>
      <c r="H14" s="77"/>
      <c r="I14" s="77"/>
      <c r="J14" s="83"/>
      <c r="K14" s="84"/>
      <c r="L14" s="83"/>
      <c r="M14" s="84"/>
      <c r="N14" s="79"/>
      <c r="O14" s="77"/>
      <c r="P14" s="77"/>
      <c r="Q14" s="77"/>
      <c r="R14" s="77"/>
      <c r="S14" s="94"/>
      <c r="T14" s="72"/>
    </row>
    <row r="15" ht="22.5" spans="1:20">
      <c r="A15" s="72"/>
      <c r="B15" s="80"/>
      <c r="C15" s="77"/>
      <c r="D15" s="77"/>
      <c r="E15" s="77"/>
      <c r="F15" s="77"/>
      <c r="G15" s="77"/>
      <c r="H15" s="77"/>
      <c r="I15" s="77"/>
      <c r="J15" s="83"/>
      <c r="K15" s="84"/>
      <c r="L15" s="83"/>
      <c r="M15" s="84"/>
      <c r="N15" s="79"/>
      <c r="O15" s="77"/>
      <c r="P15" s="77"/>
      <c r="Q15" s="77"/>
      <c r="R15" s="77"/>
      <c r="S15" s="94"/>
      <c r="T15" s="72"/>
    </row>
    <row r="16" ht="22.5" spans="1:20">
      <c r="A16" s="72"/>
      <c r="B16" s="80"/>
      <c r="C16" s="77"/>
      <c r="D16" s="77"/>
      <c r="E16" s="77"/>
      <c r="F16" s="77"/>
      <c r="G16" s="77"/>
      <c r="H16" s="77"/>
      <c r="I16" s="77"/>
      <c r="J16" s="83"/>
      <c r="K16" s="84"/>
      <c r="L16" s="77"/>
      <c r="M16" s="77"/>
      <c r="N16" s="79"/>
      <c r="O16" s="77"/>
      <c r="P16" s="77"/>
      <c r="Q16" s="77"/>
      <c r="R16" s="77"/>
      <c r="S16" s="94"/>
      <c r="T16" s="72"/>
    </row>
    <row r="17" ht="22.5" spans="1:20">
      <c r="A17" s="72"/>
      <c r="B17" s="80"/>
      <c r="C17" s="77"/>
      <c r="D17" s="77"/>
      <c r="E17" s="77"/>
      <c r="F17" s="77"/>
      <c r="G17" s="77"/>
      <c r="H17" s="77"/>
      <c r="I17" s="77"/>
      <c r="J17" s="83"/>
      <c r="K17" s="84"/>
      <c r="L17" s="77"/>
      <c r="M17" s="77"/>
      <c r="N17" s="79"/>
      <c r="O17" s="77"/>
      <c r="P17" s="77"/>
      <c r="Q17" s="77"/>
      <c r="R17" s="77"/>
      <c r="S17" s="94"/>
      <c r="T17" s="72"/>
    </row>
    <row r="18" ht="22.5" spans="1:20">
      <c r="A18" s="72"/>
      <c r="B18" s="80"/>
      <c r="C18" s="77"/>
      <c r="D18" s="77"/>
      <c r="E18" s="77"/>
      <c r="F18" s="77"/>
      <c r="G18" s="77"/>
      <c r="H18" s="77"/>
      <c r="I18" s="77"/>
      <c r="J18" s="83"/>
      <c r="K18" s="84"/>
      <c r="L18" s="77"/>
      <c r="M18" s="77"/>
      <c r="N18" s="79"/>
      <c r="O18" s="77"/>
      <c r="P18" s="77"/>
      <c r="Q18" s="77"/>
      <c r="R18" s="77"/>
      <c r="S18" s="94"/>
      <c r="T18" s="72"/>
    </row>
    <row r="19" ht="22.5" spans="1:20">
      <c r="A19" s="72"/>
      <c r="B19" s="80"/>
      <c r="C19" s="77"/>
      <c r="D19" s="77"/>
      <c r="E19" s="77"/>
      <c r="F19" s="77"/>
      <c r="G19" s="77"/>
      <c r="H19" s="77"/>
      <c r="I19" s="77"/>
      <c r="J19" s="83"/>
      <c r="K19" s="84"/>
      <c r="L19" s="77"/>
      <c r="M19" s="77"/>
      <c r="N19" s="79"/>
      <c r="O19" s="77"/>
      <c r="P19" s="77"/>
      <c r="Q19" s="77"/>
      <c r="R19" s="77"/>
      <c r="S19" s="94"/>
      <c r="T19" s="72"/>
    </row>
    <row r="20" ht="22.5" spans="1:20">
      <c r="A20" s="72"/>
      <c r="B20" s="80"/>
      <c r="C20" s="77"/>
      <c r="D20" s="77"/>
      <c r="E20" s="77"/>
      <c r="F20" s="77"/>
      <c r="G20" s="77"/>
      <c r="H20" s="77"/>
      <c r="I20" s="77"/>
      <c r="J20" s="83"/>
      <c r="K20" s="84"/>
      <c r="L20" s="77"/>
      <c r="M20" s="77"/>
      <c r="N20" s="79"/>
      <c r="O20" s="77"/>
      <c r="P20" s="77"/>
      <c r="Q20" s="77"/>
      <c r="R20" s="77"/>
      <c r="S20" s="94"/>
      <c r="T20" s="72"/>
    </row>
    <row r="21" ht="22.5" spans="1:20">
      <c r="A21" s="72"/>
      <c r="B21" s="80"/>
      <c r="C21" s="77"/>
      <c r="D21" s="77"/>
      <c r="E21" s="77"/>
      <c r="F21" s="77"/>
      <c r="G21" s="77"/>
      <c r="H21" s="77"/>
      <c r="I21" s="77"/>
      <c r="J21" s="83"/>
      <c r="K21" s="84"/>
      <c r="L21" s="77"/>
      <c r="M21" s="77"/>
      <c r="N21" s="79"/>
      <c r="O21" s="77"/>
      <c r="P21" s="77"/>
      <c r="Q21" s="77"/>
      <c r="R21" s="77"/>
      <c r="S21" s="94"/>
      <c r="T21" s="72"/>
    </row>
    <row r="22" ht="22.5" spans="1:20">
      <c r="A22" s="72"/>
      <c r="B22" s="80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9"/>
      <c r="O22" s="77"/>
      <c r="P22" s="77"/>
      <c r="Q22" s="77"/>
      <c r="R22" s="77"/>
      <c r="S22" s="94"/>
      <c r="T22" s="72"/>
    </row>
    <row r="23" ht="22.5" spans="1:20">
      <c r="A23" s="72"/>
      <c r="B23" s="80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9"/>
      <c r="O23" s="77"/>
      <c r="P23" s="77"/>
      <c r="Q23" s="77"/>
      <c r="R23" s="77"/>
      <c r="S23" s="94"/>
      <c r="T23" s="72"/>
    </row>
    <row r="24" ht="22.5" spans="1:20">
      <c r="A24" s="72"/>
      <c r="B24" s="80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9"/>
      <c r="O24" s="77"/>
      <c r="P24" s="77"/>
      <c r="Q24" s="77"/>
      <c r="R24" s="77"/>
      <c r="S24" s="94"/>
      <c r="T24" s="72"/>
    </row>
    <row r="25" ht="15.75" spans="1:20">
      <c r="A25" s="72"/>
      <c r="B25" s="81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95"/>
      <c r="T25" s="72"/>
    </row>
    <row r="26" ht="15.75" spans="1:20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</row>
    <row r="27" spans="1:20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I29"/>
  <sheetViews>
    <sheetView zoomScale="115" zoomScaleNormal="115" topLeftCell="A12" workbookViewId="0">
      <selection activeCell="G30" sqref="G30"/>
    </sheetView>
  </sheetViews>
  <sheetFormatPr defaultColWidth="9" defaultRowHeight="15"/>
  <cols>
    <col min="1" max="1" width="15.1428571428571" customWidth="1"/>
    <col min="2" max="3" width="17.1428571428571" customWidth="1"/>
    <col min="4" max="4" width="12.5714285714286" customWidth="1"/>
    <col min="5" max="5" width="4.71428571428571" customWidth="1"/>
    <col min="6" max="6" width="10.8571428571429" customWidth="1"/>
    <col min="7" max="7" width="15" customWidth="1"/>
  </cols>
  <sheetData>
    <row r="1" ht="21" spans="1:1">
      <c r="A1" s="43" t="s">
        <v>5</v>
      </c>
    </row>
    <row r="2" spans="1:1">
      <c r="A2" t="s">
        <v>6</v>
      </c>
    </row>
    <row r="3" spans="1:1">
      <c r="A3" s="44" t="s">
        <v>7</v>
      </c>
    </row>
    <row r="4" spans="1:1">
      <c r="A4" s="44" t="s">
        <v>8</v>
      </c>
    </row>
    <row r="5" spans="1:1">
      <c r="A5" s="44" t="s">
        <v>9</v>
      </c>
    </row>
    <row r="6" spans="1:1">
      <c r="A6" s="44" t="s">
        <v>10</v>
      </c>
    </row>
    <row r="7" spans="1:1">
      <c r="A7" t="s">
        <v>11</v>
      </c>
    </row>
    <row r="8" spans="1:1">
      <c r="A8" s="44" t="s">
        <v>12</v>
      </c>
    </row>
    <row r="9" spans="1:1">
      <c r="A9" s="45" t="s">
        <v>13</v>
      </c>
    </row>
    <row r="10" spans="1:1">
      <c r="A10" s="44" t="s">
        <v>14</v>
      </c>
    </row>
    <row r="13" spans="1:1">
      <c r="A13" s="1" t="s">
        <v>15</v>
      </c>
    </row>
    <row r="15" spans="1:7">
      <c r="A15" s="46" t="s">
        <v>16</v>
      </c>
      <c r="B15" s="46" t="s">
        <v>17</v>
      </c>
      <c r="C15" s="46" t="s">
        <v>18</v>
      </c>
      <c r="D15" s="46" t="s">
        <v>19</v>
      </c>
      <c r="F15" s="46" t="s">
        <v>16</v>
      </c>
      <c r="G15" s="46" t="s">
        <v>19</v>
      </c>
    </row>
    <row r="16" spans="1:9">
      <c r="A16" s="47" t="s">
        <v>20</v>
      </c>
      <c r="B16" s="47" t="s">
        <v>21</v>
      </c>
      <c r="C16" s="48">
        <v>12.37</v>
      </c>
      <c r="D16" s="49">
        <v>19.95</v>
      </c>
      <c r="F16" s="50" t="s">
        <v>22</v>
      </c>
      <c r="G16" s="51">
        <f>VLOOKUP(F16,A16:D20,4,0)</f>
        <v>26.95</v>
      </c>
      <c r="I16" t="s">
        <v>23</v>
      </c>
    </row>
    <row r="17" spans="1:7">
      <c r="A17" s="47" t="s">
        <v>24</v>
      </c>
      <c r="B17" s="47" t="s">
        <v>25</v>
      </c>
      <c r="C17" s="48">
        <v>12.89</v>
      </c>
      <c r="D17" s="49">
        <v>18.95</v>
      </c>
      <c r="F17" s="52"/>
      <c r="G17" s="52"/>
    </row>
    <row r="18" spans="1:6">
      <c r="A18" s="47" t="s">
        <v>26</v>
      </c>
      <c r="B18" s="47" t="s">
        <v>27</v>
      </c>
      <c r="C18" s="48">
        <v>21.54</v>
      </c>
      <c r="D18" s="49">
        <v>43.95</v>
      </c>
      <c r="F18" s="52"/>
    </row>
    <row r="19" spans="1:7">
      <c r="A19" s="47" t="s">
        <v>22</v>
      </c>
      <c r="B19" s="47" t="s">
        <v>27</v>
      </c>
      <c r="C19" s="48">
        <v>11.59</v>
      </c>
      <c r="D19" s="49">
        <v>26.95</v>
      </c>
      <c r="F19" s="52"/>
      <c r="G19" s="52"/>
    </row>
    <row r="20" spans="1:7">
      <c r="A20" s="47" t="s">
        <v>28</v>
      </c>
      <c r="B20" s="47" t="s">
        <v>27</v>
      </c>
      <c r="C20" s="48">
        <v>17.33</v>
      </c>
      <c r="D20" s="49">
        <v>27.95</v>
      </c>
      <c r="F20" s="52"/>
      <c r="G20" s="52"/>
    </row>
    <row r="23" spans="1:7">
      <c r="A23" s="46" t="s">
        <v>16</v>
      </c>
      <c r="B23" s="46" t="s">
        <v>17</v>
      </c>
      <c r="C23" s="46" t="s">
        <v>18</v>
      </c>
      <c r="D23" s="46" t="s">
        <v>19</v>
      </c>
      <c r="F23" s="46" t="s">
        <v>16</v>
      </c>
      <c r="G23" s="46" t="s">
        <v>19</v>
      </c>
    </row>
    <row r="24" spans="1:9">
      <c r="A24" s="47" t="s">
        <v>20</v>
      </c>
      <c r="B24" s="47" t="s">
        <v>21</v>
      </c>
      <c r="C24" s="48">
        <v>12.37</v>
      </c>
      <c r="D24" s="49">
        <v>19.95</v>
      </c>
      <c r="F24" s="50" t="s">
        <v>26</v>
      </c>
      <c r="G24" s="51">
        <f>VLOOKUP(F24,A24:D29,4,0)</f>
        <v>43.95</v>
      </c>
      <c r="I24" t="s">
        <v>23</v>
      </c>
    </row>
    <row r="25" spans="1:7">
      <c r="A25" s="47" t="s">
        <v>24</v>
      </c>
      <c r="B25" s="47" t="s">
        <v>25</v>
      </c>
      <c r="C25" s="48">
        <v>12.89</v>
      </c>
      <c r="D25" s="49">
        <v>18.95</v>
      </c>
      <c r="F25" s="52"/>
      <c r="G25" s="52"/>
    </row>
    <row r="26" spans="1:6">
      <c r="A26" s="47" t="s">
        <v>26</v>
      </c>
      <c r="B26" s="47" t="s">
        <v>27</v>
      </c>
      <c r="C26" s="48">
        <v>21.54</v>
      </c>
      <c r="D26" s="49">
        <v>43.95</v>
      </c>
      <c r="F26" s="52"/>
    </row>
    <row r="27" spans="1:7">
      <c r="A27" s="47" t="s">
        <v>22</v>
      </c>
      <c r="B27" s="47" t="s">
        <v>27</v>
      </c>
      <c r="C27" s="48">
        <v>11.59</v>
      </c>
      <c r="D27" s="49">
        <v>26.95</v>
      </c>
      <c r="F27" s="52"/>
      <c r="G27" s="52"/>
    </row>
    <row r="28" spans="1:7">
      <c r="A28" s="47" t="s">
        <v>28</v>
      </c>
      <c r="B28" s="47" t="s">
        <v>27</v>
      </c>
      <c r="C28" s="48">
        <v>17.33</v>
      </c>
      <c r="D28" s="49">
        <v>27.95</v>
      </c>
      <c r="F28" s="52"/>
      <c r="G28" s="52"/>
    </row>
    <row r="29" spans="1:4">
      <c r="A29" s="69" t="s">
        <v>29</v>
      </c>
      <c r="B29" s="69" t="s">
        <v>25</v>
      </c>
      <c r="C29" s="70">
        <v>11.56</v>
      </c>
      <c r="D29" s="71">
        <v>25.42</v>
      </c>
    </row>
  </sheetData>
  <dataValidations count="2">
    <dataValidation type="list" allowBlank="1" showInputMessage="1" showErrorMessage="1" sqref="F16">
      <formula1>$A$16:$A$20</formula1>
    </dataValidation>
    <dataValidation type="list" allowBlank="1" showInputMessage="1" showErrorMessage="1" sqref="F24">
      <formula1>$A$24:$A$29</formula1>
    </dataValidation>
  </dataValidations>
  <pageMargins left="0.7" right="0.7" top="0.75" bottom="0.75" header="0.3" footer="0.3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I29"/>
  <sheetViews>
    <sheetView zoomScale="115" zoomScaleNormal="115" topLeftCell="A11" workbookViewId="0">
      <selection activeCell="F24" sqref="F24"/>
    </sheetView>
  </sheetViews>
  <sheetFormatPr defaultColWidth="9" defaultRowHeight="15"/>
  <cols>
    <col min="1" max="1" width="15.1428571428571" customWidth="1"/>
    <col min="2" max="3" width="17.1428571428571" customWidth="1"/>
    <col min="4" max="4" width="12.5714285714286" customWidth="1"/>
    <col min="5" max="5" width="4.71428571428571" customWidth="1"/>
    <col min="6" max="6" width="10.8571428571429" customWidth="1"/>
    <col min="7" max="7" width="15" customWidth="1"/>
  </cols>
  <sheetData>
    <row r="1" ht="21" spans="1:1">
      <c r="A1" s="43" t="s">
        <v>5</v>
      </c>
    </row>
    <row r="2" spans="1:1">
      <c r="A2" t="s">
        <v>6</v>
      </c>
    </row>
    <row r="3" spans="1:1">
      <c r="A3" s="44" t="s">
        <v>7</v>
      </c>
    </row>
    <row r="4" spans="1:1">
      <c r="A4" s="44" t="s">
        <v>8</v>
      </c>
    </row>
    <row r="5" spans="1:1">
      <c r="A5" s="44" t="s">
        <v>9</v>
      </c>
    </row>
    <row r="6" spans="1:1">
      <c r="A6" s="44" t="s">
        <v>10</v>
      </c>
    </row>
    <row r="7" spans="1:1">
      <c r="A7" t="s">
        <v>11</v>
      </c>
    </row>
    <row r="8" spans="1:1">
      <c r="A8" s="44" t="s">
        <v>12</v>
      </c>
    </row>
    <row r="9" spans="1:1">
      <c r="A9" s="45" t="s">
        <v>13</v>
      </c>
    </row>
    <row r="10" spans="1:1">
      <c r="A10" s="44" t="s">
        <v>14</v>
      </c>
    </row>
    <row r="13" spans="1:1">
      <c r="A13" s="1" t="s">
        <v>15</v>
      </c>
    </row>
    <row r="15" spans="1:7">
      <c r="A15" s="46" t="s">
        <v>16</v>
      </c>
      <c r="B15" s="46" t="s">
        <v>17</v>
      </c>
      <c r="C15" s="46" t="s">
        <v>18</v>
      </c>
      <c r="D15" s="46" t="s">
        <v>19</v>
      </c>
      <c r="F15" s="46" t="s">
        <v>16</v>
      </c>
      <c r="G15" s="46" t="s">
        <v>19</v>
      </c>
    </row>
    <row r="16" spans="1:9">
      <c r="A16" s="47" t="s">
        <v>20</v>
      </c>
      <c r="B16" s="47" t="s">
        <v>21</v>
      </c>
      <c r="C16" s="48">
        <v>12.37</v>
      </c>
      <c r="D16" s="49">
        <v>19.95</v>
      </c>
      <c r="F16" s="50" t="s">
        <v>22</v>
      </c>
      <c r="G16" s="51">
        <f>VLOOKUP(F16,A16:D20,4,0)</f>
        <v>26.95</v>
      </c>
      <c r="I16" t="s">
        <v>23</v>
      </c>
    </row>
    <row r="17" spans="1:7">
      <c r="A17" s="47" t="s">
        <v>24</v>
      </c>
      <c r="B17" s="47" t="s">
        <v>25</v>
      </c>
      <c r="C17" s="48">
        <v>12.89</v>
      </c>
      <c r="D17" s="49">
        <v>18.95</v>
      </c>
      <c r="F17" s="52"/>
      <c r="G17" s="52"/>
    </row>
    <row r="18" spans="1:6">
      <c r="A18" s="47" t="s">
        <v>26</v>
      </c>
      <c r="B18" s="47" t="s">
        <v>27</v>
      </c>
      <c r="C18" s="48">
        <v>21.54</v>
      </c>
      <c r="D18" s="49">
        <v>43.95</v>
      </c>
      <c r="F18" s="52"/>
    </row>
    <row r="19" spans="1:7">
      <c r="A19" s="47" t="s">
        <v>22</v>
      </c>
      <c r="B19" s="47" t="s">
        <v>27</v>
      </c>
      <c r="C19" s="48">
        <v>11.59</v>
      </c>
      <c r="D19" s="49">
        <v>26.95</v>
      </c>
      <c r="F19" s="52"/>
      <c r="G19" s="52"/>
    </row>
    <row r="20" spans="1:7">
      <c r="A20" s="47" t="s">
        <v>28</v>
      </c>
      <c r="B20" s="47" t="s">
        <v>27</v>
      </c>
      <c r="C20" s="48">
        <v>17.33</v>
      </c>
      <c r="D20" s="49">
        <v>27.95</v>
      </c>
      <c r="F20" s="52"/>
      <c r="G20" s="52"/>
    </row>
    <row r="21" spans="1:4">
      <c r="A21" s="53" t="s">
        <v>29</v>
      </c>
      <c r="B21" s="53" t="s">
        <v>25</v>
      </c>
      <c r="C21" s="54">
        <v>11</v>
      </c>
      <c r="D21" s="55">
        <v>22.95</v>
      </c>
    </row>
    <row r="23" spans="1:7">
      <c r="A23" s="56" t="s">
        <v>16</v>
      </c>
      <c r="B23" s="57" t="s">
        <v>17</v>
      </c>
      <c r="C23" s="57" t="s">
        <v>18</v>
      </c>
      <c r="D23" s="58" t="s">
        <v>19</v>
      </c>
      <c r="F23" s="46" t="s">
        <v>16</v>
      </c>
      <c r="G23" s="46" t="s">
        <v>19</v>
      </c>
    </row>
    <row r="24" spans="1:9">
      <c r="A24" s="59" t="s">
        <v>20</v>
      </c>
      <c r="B24" s="47" t="s">
        <v>21</v>
      </c>
      <c r="C24" s="48">
        <v>12.37</v>
      </c>
      <c r="D24" s="60">
        <v>19.95</v>
      </c>
      <c r="F24" s="50" t="s">
        <v>29</v>
      </c>
      <c r="G24" s="51">
        <f>VLOOKUP(F24,PriceLookupAnswer[],4,0)</f>
        <v>22.95</v>
      </c>
      <c r="I24" t="s">
        <v>23</v>
      </c>
    </row>
    <row r="25" spans="1:7">
      <c r="A25" s="59" t="s">
        <v>24</v>
      </c>
      <c r="B25" s="47" t="s">
        <v>25</v>
      </c>
      <c r="C25" s="48">
        <v>12.89</v>
      </c>
      <c r="D25" s="60">
        <v>18.95</v>
      </c>
      <c r="F25" s="52"/>
      <c r="G25" s="52"/>
    </row>
    <row r="26" spans="1:6">
      <c r="A26" s="59" t="s">
        <v>26</v>
      </c>
      <c r="B26" s="47" t="s">
        <v>27</v>
      </c>
      <c r="C26" s="48">
        <v>21.54</v>
      </c>
      <c r="D26" s="60">
        <v>43.95</v>
      </c>
      <c r="F26" s="52"/>
    </row>
    <row r="27" spans="1:7">
      <c r="A27" s="59" t="s">
        <v>22</v>
      </c>
      <c r="B27" s="47" t="s">
        <v>27</v>
      </c>
      <c r="C27" s="48">
        <v>11.59</v>
      </c>
      <c r="D27" s="60">
        <v>26.95</v>
      </c>
      <c r="F27" s="52"/>
      <c r="G27" s="52"/>
    </row>
    <row r="28" spans="1:7">
      <c r="A28" s="61" t="s">
        <v>28</v>
      </c>
      <c r="B28" s="62" t="s">
        <v>27</v>
      </c>
      <c r="C28" s="63">
        <v>17.33</v>
      </c>
      <c r="D28" s="64">
        <v>27.95</v>
      </c>
      <c r="F28" s="52"/>
      <c r="G28" s="52"/>
    </row>
    <row r="29" spans="1:4">
      <c r="A29" s="65" t="s">
        <v>29</v>
      </c>
      <c r="B29" s="66" t="s">
        <v>25</v>
      </c>
      <c r="C29" s="67">
        <v>11</v>
      </c>
      <c r="D29" s="68">
        <v>22.95</v>
      </c>
    </row>
  </sheetData>
  <dataValidations count="2">
    <dataValidation type="list" allowBlank="1" showInputMessage="1" showErrorMessage="1" sqref="F16">
      <formula1>$A$16:$A$20</formula1>
    </dataValidation>
    <dataValidation type="list" allowBlank="1" showInputMessage="1" showErrorMessage="1" sqref="F24">
      <formula1>$A$24:$A$29</formula1>
    </dataValidation>
  </dataValidations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B7"/>
  <sheetViews>
    <sheetView zoomScale="145" zoomScaleNormal="145" workbookViewId="0">
      <selection activeCell="B6" sqref="B6"/>
    </sheetView>
  </sheetViews>
  <sheetFormatPr defaultColWidth="9" defaultRowHeight="15" outlineLevelRow="6" outlineLevelCol="1"/>
  <cols>
    <col min="1" max="1" width="15.1428571428571" customWidth="1"/>
    <col min="2" max="2" width="23" customWidth="1"/>
    <col min="3" max="3" width="17.1428571428571" customWidth="1"/>
    <col min="4" max="4" width="12.5714285714286" customWidth="1"/>
    <col min="5" max="5" width="4.71428571428571" customWidth="1"/>
    <col min="6" max="6" width="10.8571428571429" customWidth="1"/>
    <col min="7" max="7" width="15" customWidth="1"/>
  </cols>
  <sheetData>
    <row r="1" spans="1:1">
      <c r="A1" s="1" t="s">
        <v>30</v>
      </c>
    </row>
    <row r="4" spans="1:2">
      <c r="A4" s="1" t="s">
        <v>31</v>
      </c>
      <c r="B4" s="1" t="s">
        <v>32</v>
      </c>
    </row>
    <row r="5" spans="1:2">
      <c r="A5" s="30">
        <v>43045</v>
      </c>
      <c r="B5" s="20">
        <v>5789.24</v>
      </c>
    </row>
    <row r="6" spans="1:2">
      <c r="A6" s="30">
        <v>43046</v>
      </c>
      <c r="B6" s="20">
        <v>6125.75</v>
      </c>
    </row>
    <row r="7" spans="1:2">
      <c r="A7" s="30">
        <v>43047</v>
      </c>
      <c r="B7" s="20">
        <v>4215.14</v>
      </c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B8"/>
  <sheetViews>
    <sheetView zoomScale="145" zoomScaleNormal="145" workbookViewId="0">
      <selection activeCell="B10" sqref="B10"/>
    </sheetView>
  </sheetViews>
  <sheetFormatPr defaultColWidth="9" defaultRowHeight="15" outlineLevelRow="7" outlineLevelCol="1"/>
  <cols>
    <col min="1" max="1" width="15.1428571428571" customWidth="1"/>
    <col min="2" max="2" width="23" customWidth="1"/>
    <col min="3" max="3" width="17.1428571428571" customWidth="1"/>
    <col min="4" max="4" width="12.5714285714286" customWidth="1"/>
    <col min="5" max="5" width="4.71428571428571" customWidth="1"/>
    <col min="6" max="6" width="10.8571428571429" customWidth="1"/>
    <col min="7" max="7" width="15" customWidth="1"/>
  </cols>
  <sheetData>
    <row r="1" spans="1:1">
      <c r="A1" s="1" t="s">
        <v>30</v>
      </c>
    </row>
    <row r="4" spans="1:2">
      <c r="A4" s="1" t="s">
        <v>31</v>
      </c>
      <c r="B4" s="1" t="s">
        <v>32</v>
      </c>
    </row>
    <row r="5" spans="1:2">
      <c r="A5" s="30">
        <v>43045</v>
      </c>
      <c r="B5" s="13">
        <v>5789.24</v>
      </c>
    </row>
    <row r="6" spans="1:2">
      <c r="A6" s="30">
        <v>43046</v>
      </c>
      <c r="B6" s="13">
        <v>6125.75</v>
      </c>
    </row>
    <row r="7" spans="1:2">
      <c r="A7" s="30">
        <v>43047</v>
      </c>
      <c r="B7" s="13">
        <v>4215.14</v>
      </c>
    </row>
    <row r="8" spans="1:2">
      <c r="A8" s="30">
        <v>43048</v>
      </c>
      <c r="B8" s="13">
        <v>9125.65</v>
      </c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AW29"/>
  <sheetViews>
    <sheetView zoomScale="130" zoomScaleNormal="130" topLeftCell="E6" workbookViewId="0">
      <selection activeCell="I18" sqref="I18"/>
    </sheetView>
  </sheetViews>
  <sheetFormatPr defaultColWidth="9" defaultRowHeight="15"/>
  <cols>
    <col min="1" max="1" width="15.1428571428571" customWidth="1"/>
    <col min="2" max="3" width="17.1428571428571" customWidth="1"/>
    <col min="4" max="7" width="12.5714285714286" customWidth="1"/>
    <col min="8" max="8" width="12.1428571428571"/>
    <col min="9" max="9" width="18"/>
    <col min="10" max="12" width="12" customWidth="1"/>
    <col min="13" max="13" width="13.2857142857143" customWidth="1"/>
    <col min="14" max="14" width="7" customWidth="1"/>
    <col min="15" max="15" width="4.14285714285714" customWidth="1"/>
    <col min="16" max="19" width="4.71428571428571" customWidth="1"/>
    <col min="20" max="20" width="10.8571428571429" customWidth="1"/>
    <col min="21" max="21" width="15" customWidth="1"/>
    <col min="45" max="45" width="10.1428571428571" customWidth="1"/>
  </cols>
  <sheetData>
    <row r="1" spans="1:13">
      <c r="A1" s="1" t="s">
        <v>33</v>
      </c>
      <c r="M1" s="1" t="s">
        <v>34</v>
      </c>
    </row>
    <row r="3" spans="1:49">
      <c r="A3" s="1" t="s">
        <v>31</v>
      </c>
      <c r="B3" s="1" t="s">
        <v>16</v>
      </c>
      <c r="C3" s="1" t="s">
        <v>35</v>
      </c>
      <c r="M3" s="30">
        <v>43047</v>
      </c>
      <c r="N3" t="s">
        <v>24</v>
      </c>
      <c r="O3">
        <v>88</v>
      </c>
      <c r="AS3" s="1" t="s">
        <v>31</v>
      </c>
      <c r="AT3" s="1" t="s">
        <v>16</v>
      </c>
      <c r="AU3" s="1" t="s">
        <v>35</v>
      </c>
      <c r="AW3" s="1" t="s">
        <v>16</v>
      </c>
    </row>
    <row r="4" spans="1:49">
      <c r="A4" s="30">
        <v>43041</v>
      </c>
      <c r="B4" t="s">
        <v>26</v>
      </c>
      <c r="C4">
        <v>181</v>
      </c>
      <c r="M4" s="30">
        <v>43042</v>
      </c>
      <c r="N4" t="s">
        <v>26</v>
      </c>
      <c r="O4">
        <v>152</v>
      </c>
      <c r="AS4" s="30">
        <f ca="1">RANDBETWEEN("11/1/2017",TODAY())</f>
        <v>43040</v>
      </c>
      <c r="AT4" t="str">
        <f ca="1">INDEX($AW$4:$AW$7,RANDBETWEEN(1,ROWS($AW$4:$AW$7)))</f>
        <v>Yanaki</v>
      </c>
      <c r="AU4">
        <f ca="1">RANDBETWEEN(1,191)</f>
        <v>114</v>
      </c>
      <c r="AW4" t="s">
        <v>26</v>
      </c>
    </row>
    <row r="5" spans="1:49">
      <c r="A5" s="30">
        <v>43043</v>
      </c>
      <c r="B5" t="s">
        <v>36</v>
      </c>
      <c r="C5">
        <v>155</v>
      </c>
      <c r="M5" s="30">
        <v>43046</v>
      </c>
      <c r="N5" t="s">
        <v>26</v>
      </c>
      <c r="O5">
        <v>90</v>
      </c>
      <c r="AS5" s="30">
        <f ca="1">RANDBETWEEN("11/1/2017",TODAY())</f>
        <v>44274</v>
      </c>
      <c r="AT5" t="str">
        <f ca="1">INDEX($AW$4:$AW$7,RANDBETWEEN(1,ROWS($AW$4:$AW$7)))</f>
        <v>Quad</v>
      </c>
      <c r="AU5">
        <f ca="1">RANDBETWEEN(1,191)</f>
        <v>54</v>
      </c>
      <c r="AW5" t="s">
        <v>37</v>
      </c>
    </row>
    <row r="6" spans="1:49">
      <c r="A6" s="30">
        <v>43044</v>
      </c>
      <c r="B6" t="s">
        <v>36</v>
      </c>
      <c r="C6">
        <v>56</v>
      </c>
      <c r="H6" t="s">
        <v>16</v>
      </c>
      <c r="I6" t="s">
        <v>38</v>
      </c>
      <c r="J6"/>
      <c r="M6" s="30">
        <v>43042</v>
      </c>
      <c r="N6" t="s">
        <v>37</v>
      </c>
      <c r="O6">
        <v>112</v>
      </c>
      <c r="AS6" s="30">
        <f ca="1">RANDBETWEEN("11/1/2017",TODAY())</f>
        <v>44546</v>
      </c>
      <c r="AT6" t="str">
        <f ca="1">INDEX($AW$4:$AW$7,RANDBETWEEN(1,ROWS($AW$4:$AW$7)))</f>
        <v>V Rang</v>
      </c>
      <c r="AU6">
        <f ca="1">RANDBETWEEN(1,191)</f>
        <v>22</v>
      </c>
      <c r="AW6" t="s">
        <v>36</v>
      </c>
    </row>
    <row r="7" spans="1:49">
      <c r="A7" s="30">
        <v>43044</v>
      </c>
      <c r="B7" t="s">
        <v>36</v>
      </c>
      <c r="C7">
        <v>127</v>
      </c>
      <c r="H7" t="s">
        <v>26</v>
      </c>
      <c r="I7">
        <v>741</v>
      </c>
      <c r="J7"/>
      <c r="M7" s="30">
        <v>43045</v>
      </c>
      <c r="N7" t="s">
        <v>37</v>
      </c>
      <c r="O7">
        <v>24</v>
      </c>
      <c r="AS7" s="30">
        <f ca="1">RANDBETWEEN("11/1/2017",TODAY())</f>
        <v>44324</v>
      </c>
      <c r="AT7" t="str">
        <f ca="1">INDEX($AW$4:$AW$7,RANDBETWEEN(1,ROWS($AW$4:$AW$7)))</f>
        <v>Quad</v>
      </c>
      <c r="AU7">
        <f ca="1">RANDBETWEEN(1,191)</f>
        <v>176</v>
      </c>
      <c r="AW7" t="s">
        <v>24</v>
      </c>
    </row>
    <row r="8" spans="1:47">
      <c r="A8" s="30">
        <v>43046</v>
      </c>
      <c r="B8" t="s">
        <v>24</v>
      </c>
      <c r="C8">
        <v>159</v>
      </c>
      <c r="H8" t="s">
        <v>37</v>
      </c>
      <c r="I8">
        <v>287</v>
      </c>
      <c r="J8"/>
      <c r="M8" s="30">
        <v>43045</v>
      </c>
      <c r="N8" t="s">
        <v>36</v>
      </c>
      <c r="O8">
        <v>44</v>
      </c>
      <c r="AS8" s="30">
        <f ca="1">RANDBETWEEN("11/1/2017",TODAY())</f>
        <v>44878</v>
      </c>
      <c r="AT8" t="str">
        <f ca="1">INDEX($AW$4:$AW$7,RANDBETWEEN(1,ROWS($AW$4:$AW$7)))</f>
        <v>Quad</v>
      </c>
      <c r="AU8">
        <f ca="1">RANDBETWEEN(1,191)</f>
        <v>156</v>
      </c>
    </row>
    <row r="9" spans="1:47">
      <c r="A9" s="30">
        <v>43046</v>
      </c>
      <c r="B9" t="s">
        <v>26</v>
      </c>
      <c r="C9">
        <v>100</v>
      </c>
      <c r="H9" t="s">
        <v>24</v>
      </c>
      <c r="I9">
        <v>593</v>
      </c>
      <c r="J9"/>
      <c r="M9" s="30">
        <v>43046</v>
      </c>
      <c r="N9" t="s">
        <v>36</v>
      </c>
      <c r="O9">
        <v>154</v>
      </c>
      <c r="AS9" s="30">
        <f ca="1">RANDBETWEEN("11/1/2017",TODAY())</f>
        <v>43895</v>
      </c>
      <c r="AT9" t="str">
        <f ca="1">INDEX($AW$4:$AW$7,RANDBETWEEN(1,ROWS($AW$4:$AW$7)))</f>
        <v>Sunset</v>
      </c>
      <c r="AU9">
        <f ca="1">RANDBETWEEN(1,191)</f>
        <v>126</v>
      </c>
    </row>
    <row r="10" spans="1:47">
      <c r="A10" s="30">
        <v>43042</v>
      </c>
      <c r="B10" t="s">
        <v>37</v>
      </c>
      <c r="C10">
        <v>151</v>
      </c>
      <c r="H10" t="s">
        <v>36</v>
      </c>
      <c r="I10">
        <v>1083</v>
      </c>
      <c r="J10"/>
      <c r="M10" s="30">
        <v>43044</v>
      </c>
      <c r="N10" t="s">
        <v>24</v>
      </c>
      <c r="O10">
        <v>96</v>
      </c>
      <c r="AS10" s="30">
        <f ca="1">RANDBETWEEN("11/1/2017",TODAY())</f>
        <v>44210</v>
      </c>
      <c r="AT10" t="str">
        <f ca="1">INDEX($AW$4:$AW$7,RANDBETWEEN(1,ROWS($AW$4:$AW$7)))</f>
        <v>Yanaki</v>
      </c>
      <c r="AU10">
        <f ca="1">RANDBETWEEN(1,191)</f>
        <v>160</v>
      </c>
    </row>
    <row r="11" spans="1:47">
      <c r="A11" s="30">
        <v>43041</v>
      </c>
      <c r="B11" t="s">
        <v>36</v>
      </c>
      <c r="C11">
        <v>163</v>
      </c>
      <c r="H11" t="s">
        <v>39</v>
      </c>
      <c r="I11">
        <v>2704</v>
      </c>
      <c r="J11"/>
      <c r="AS11" s="30">
        <f ca="1">RANDBETWEEN("11/1/2017",TODAY())</f>
        <v>45040</v>
      </c>
      <c r="AT11" t="str">
        <f ca="1">INDEX($AW$4:$AW$7,RANDBETWEEN(1,ROWS($AW$4:$AW$7)))</f>
        <v>Sunset</v>
      </c>
      <c r="AU11">
        <f ca="1">RANDBETWEEN(1,191)</f>
        <v>127</v>
      </c>
    </row>
    <row r="12" spans="1:3">
      <c r="A12" s="30">
        <v>43045</v>
      </c>
      <c r="B12" t="s">
        <v>36</v>
      </c>
      <c r="C12">
        <v>84</v>
      </c>
    </row>
    <row r="13" spans="1:3">
      <c r="A13" s="30">
        <v>43045</v>
      </c>
      <c r="B13" t="s">
        <v>36</v>
      </c>
      <c r="C13">
        <v>191</v>
      </c>
    </row>
    <row r="14" spans="1:3">
      <c r="A14" s="30">
        <v>43040</v>
      </c>
      <c r="B14" t="s">
        <v>24</v>
      </c>
      <c r="C14">
        <v>78</v>
      </c>
    </row>
    <row r="15" spans="1:3">
      <c r="A15" s="30">
        <v>43043</v>
      </c>
      <c r="B15" t="s">
        <v>26</v>
      </c>
      <c r="C15">
        <v>8</v>
      </c>
    </row>
    <row r="16" spans="1:3">
      <c r="A16" s="30">
        <v>43046</v>
      </c>
      <c r="B16" t="s">
        <v>24</v>
      </c>
      <c r="C16">
        <v>15</v>
      </c>
    </row>
    <row r="17" spans="1:3">
      <c r="A17" s="30">
        <v>43040</v>
      </c>
      <c r="B17" t="s">
        <v>24</v>
      </c>
      <c r="C17">
        <v>157</v>
      </c>
    </row>
    <row r="18" spans="1:3">
      <c r="A18" s="30">
        <v>43041</v>
      </c>
      <c r="B18" t="s">
        <v>36</v>
      </c>
      <c r="C18">
        <v>100</v>
      </c>
    </row>
    <row r="19" spans="1:3">
      <c r="A19" s="30">
        <v>43040</v>
      </c>
      <c r="B19" t="s">
        <v>36</v>
      </c>
      <c r="C19">
        <v>9</v>
      </c>
    </row>
    <row r="20" spans="1:3">
      <c r="A20" s="30">
        <v>43043</v>
      </c>
      <c r="B20" t="s">
        <v>26</v>
      </c>
      <c r="C20">
        <v>180</v>
      </c>
    </row>
    <row r="21" spans="1:3">
      <c r="A21" s="30">
        <v>43047</v>
      </c>
      <c r="B21" t="s">
        <v>26</v>
      </c>
      <c r="C21">
        <v>30</v>
      </c>
    </row>
    <row r="22" spans="1:3">
      <c r="A22" s="30">
        <v>43047</v>
      </c>
      <c r="B22" t="s">
        <v>24</v>
      </c>
      <c r="C22">
        <v>88</v>
      </c>
    </row>
    <row r="23" spans="1:3">
      <c r="A23" s="30">
        <v>43042</v>
      </c>
      <c r="B23" t="s">
        <v>26</v>
      </c>
      <c r="C23">
        <v>152</v>
      </c>
    </row>
    <row r="24" spans="1:3">
      <c r="A24" s="30">
        <v>43046</v>
      </c>
      <c r="B24" t="s">
        <v>26</v>
      </c>
      <c r="C24">
        <v>90</v>
      </c>
    </row>
    <row r="25" spans="1:3">
      <c r="A25" s="30">
        <v>43042</v>
      </c>
      <c r="B25" t="s">
        <v>37</v>
      </c>
      <c r="C25">
        <v>112</v>
      </c>
    </row>
    <row r="26" spans="1:3">
      <c r="A26" s="30">
        <v>43045</v>
      </c>
      <c r="B26" t="s">
        <v>37</v>
      </c>
      <c r="C26">
        <v>24</v>
      </c>
    </row>
    <row r="27" spans="1:3">
      <c r="A27" s="30">
        <v>43045</v>
      </c>
      <c r="B27" t="s">
        <v>36</v>
      </c>
      <c r="C27">
        <v>44</v>
      </c>
    </row>
    <row r="28" spans="1:3">
      <c r="A28" s="30">
        <v>43046</v>
      </c>
      <c r="B28" t="s">
        <v>36</v>
      </c>
      <c r="C28">
        <v>154</v>
      </c>
    </row>
    <row r="29" spans="1:3">
      <c r="A29" s="30">
        <v>43044</v>
      </c>
      <c r="B29" t="s">
        <v>24</v>
      </c>
      <c r="C29">
        <v>96</v>
      </c>
    </row>
  </sheetData>
  <pageMargins left="0.7" right="0.7" top="0.75" bottom="0.75" header="0.3" footer="0.3"/>
  <headerFooter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O29"/>
  <sheetViews>
    <sheetView zoomScale="145" zoomScaleNormal="145" workbookViewId="0">
      <selection activeCell="C3" sqref="C3"/>
    </sheetView>
  </sheetViews>
  <sheetFormatPr defaultColWidth="9" defaultRowHeight="15"/>
  <cols>
    <col min="1" max="1" width="15.1428571428571" customWidth="1"/>
    <col min="2" max="3" width="17.1428571428571" customWidth="1"/>
    <col min="4" max="4" width="12.5714285714286" customWidth="1"/>
    <col min="5" max="5" width="11.2857142857143" customWidth="1"/>
    <col min="6" max="6" width="16.7142857142857" customWidth="1"/>
    <col min="7" max="8" width="12.5714285714286" customWidth="1"/>
    <col min="9" max="12" width="12" customWidth="1"/>
    <col min="13" max="13" width="13.2857142857143" customWidth="1"/>
    <col min="14" max="14" width="7" customWidth="1"/>
    <col min="15" max="15" width="4.14285714285714" customWidth="1"/>
    <col min="16" max="19" width="4.71428571428571" customWidth="1"/>
    <col min="20" max="20" width="10.8571428571429" customWidth="1"/>
    <col min="21" max="21" width="15" customWidth="1"/>
    <col min="38" max="38" width="10.1428571428571" customWidth="1"/>
  </cols>
  <sheetData>
    <row r="1" spans="1:13">
      <c r="A1" s="1" t="s">
        <v>33</v>
      </c>
      <c r="M1" s="1" t="s">
        <v>34</v>
      </c>
    </row>
    <row r="3" spans="1:15">
      <c r="A3" s="1" t="s">
        <v>31</v>
      </c>
      <c r="B3" s="1" t="s">
        <v>16</v>
      </c>
      <c r="C3" s="1" t="s">
        <v>35</v>
      </c>
      <c r="E3" t="s">
        <v>16</v>
      </c>
      <c r="F3" t="s">
        <v>38</v>
      </c>
      <c r="M3" s="30">
        <v>43047</v>
      </c>
      <c r="N3" t="s">
        <v>24</v>
      </c>
      <c r="O3">
        <v>88</v>
      </c>
    </row>
    <row r="4" spans="1:15">
      <c r="A4" s="30">
        <v>43041</v>
      </c>
      <c r="B4" t="s">
        <v>26</v>
      </c>
      <c r="C4">
        <v>181</v>
      </c>
      <c r="E4" t="s">
        <v>26</v>
      </c>
      <c r="F4" s="42">
        <v>741</v>
      </c>
      <c r="M4" s="30">
        <v>43042</v>
      </c>
      <c r="N4" t="s">
        <v>26</v>
      </c>
      <c r="O4">
        <v>152</v>
      </c>
    </row>
    <row r="5" spans="1:15">
      <c r="A5" s="30">
        <v>43043</v>
      </c>
      <c r="B5" t="s">
        <v>36</v>
      </c>
      <c r="C5">
        <v>155</v>
      </c>
      <c r="E5" t="s">
        <v>37</v>
      </c>
      <c r="F5" s="42">
        <v>287</v>
      </c>
      <c r="M5" s="30">
        <v>43046</v>
      </c>
      <c r="N5" t="s">
        <v>26</v>
      </c>
      <c r="O5">
        <v>90</v>
      </c>
    </row>
    <row r="6" spans="1:15">
      <c r="A6" s="30">
        <v>43044</v>
      </c>
      <c r="B6" t="s">
        <v>36</v>
      </c>
      <c r="C6">
        <v>56</v>
      </c>
      <c r="E6" t="s">
        <v>24</v>
      </c>
      <c r="F6" s="42">
        <v>593</v>
      </c>
      <c r="M6" s="30">
        <v>43042</v>
      </c>
      <c r="N6" t="s">
        <v>37</v>
      </c>
      <c r="O6">
        <v>112</v>
      </c>
    </row>
    <row r="7" spans="1:15">
      <c r="A7" s="30">
        <v>43044</v>
      </c>
      <c r="B7" t="s">
        <v>36</v>
      </c>
      <c r="C7">
        <v>127</v>
      </c>
      <c r="E7" t="s">
        <v>36</v>
      </c>
      <c r="F7" s="42">
        <v>1083</v>
      </c>
      <c r="M7" s="30">
        <v>43045</v>
      </c>
      <c r="N7" t="s">
        <v>37</v>
      </c>
      <c r="O7">
        <v>24</v>
      </c>
    </row>
    <row r="8" spans="1:15">
      <c r="A8" s="30">
        <v>43046</v>
      </c>
      <c r="B8" t="s">
        <v>24</v>
      </c>
      <c r="C8">
        <v>159</v>
      </c>
      <c r="E8" t="s">
        <v>39</v>
      </c>
      <c r="F8" s="42">
        <v>2704</v>
      </c>
      <c r="M8" s="30">
        <v>43045</v>
      </c>
      <c r="N8" t="s">
        <v>36</v>
      </c>
      <c r="O8">
        <v>44</v>
      </c>
    </row>
    <row r="9" spans="1:15">
      <c r="A9" s="30">
        <v>43046</v>
      </c>
      <c r="B9" t="s">
        <v>26</v>
      </c>
      <c r="C9">
        <v>100</v>
      </c>
      <c r="M9" s="30">
        <v>43046</v>
      </c>
      <c r="N9" t="s">
        <v>36</v>
      </c>
      <c r="O9">
        <v>154</v>
      </c>
    </row>
    <row r="10" spans="1:15">
      <c r="A10" s="30">
        <v>43042</v>
      </c>
      <c r="B10" t="s">
        <v>37</v>
      </c>
      <c r="C10">
        <v>151</v>
      </c>
      <c r="M10" s="30">
        <v>43044</v>
      </c>
      <c r="N10" t="s">
        <v>24</v>
      </c>
      <c r="O10">
        <v>96</v>
      </c>
    </row>
    <row r="11" spans="1:3">
      <c r="A11" s="30">
        <v>43041</v>
      </c>
      <c r="B11" t="s">
        <v>36</v>
      </c>
      <c r="C11">
        <v>163</v>
      </c>
    </row>
    <row r="12" spans="1:3">
      <c r="A12" s="30">
        <v>43045</v>
      </c>
      <c r="B12" t="s">
        <v>36</v>
      </c>
      <c r="C12">
        <v>84</v>
      </c>
    </row>
    <row r="13" spans="1:3">
      <c r="A13" s="30">
        <v>43045</v>
      </c>
      <c r="B13" t="s">
        <v>36</v>
      </c>
      <c r="C13">
        <v>191</v>
      </c>
    </row>
    <row r="14" spans="1:3">
      <c r="A14" s="30">
        <v>43040</v>
      </c>
      <c r="B14" t="s">
        <v>24</v>
      </c>
      <c r="C14">
        <v>78</v>
      </c>
    </row>
    <row r="15" spans="1:3">
      <c r="A15" s="30">
        <v>43043</v>
      </c>
      <c r="B15" t="s">
        <v>26</v>
      </c>
      <c r="C15">
        <v>8</v>
      </c>
    </row>
    <row r="16" spans="1:3">
      <c r="A16" s="30">
        <v>43046</v>
      </c>
      <c r="B16" t="s">
        <v>24</v>
      </c>
      <c r="C16">
        <v>15</v>
      </c>
    </row>
    <row r="17" spans="1:3">
      <c r="A17" s="30">
        <v>43040</v>
      </c>
      <c r="B17" t="s">
        <v>24</v>
      </c>
      <c r="C17">
        <v>157</v>
      </c>
    </row>
    <row r="18" spans="1:3">
      <c r="A18" s="30">
        <v>43041</v>
      </c>
      <c r="B18" t="s">
        <v>36</v>
      </c>
      <c r="C18">
        <v>100</v>
      </c>
    </row>
    <row r="19" spans="1:3">
      <c r="A19" s="30">
        <v>43040</v>
      </c>
      <c r="B19" t="s">
        <v>36</v>
      </c>
      <c r="C19">
        <v>9</v>
      </c>
    </row>
    <row r="20" spans="1:3">
      <c r="A20" s="30">
        <v>43043</v>
      </c>
      <c r="B20" t="s">
        <v>26</v>
      </c>
      <c r="C20">
        <v>180</v>
      </c>
    </row>
    <row r="21" spans="1:3">
      <c r="A21" s="30">
        <v>43047</v>
      </c>
      <c r="B21" t="s">
        <v>26</v>
      </c>
      <c r="C21">
        <v>30</v>
      </c>
    </row>
    <row r="22" spans="1:3">
      <c r="A22" s="30">
        <v>43047</v>
      </c>
      <c r="B22" t="s">
        <v>24</v>
      </c>
      <c r="C22">
        <v>88</v>
      </c>
    </row>
    <row r="23" spans="1:3">
      <c r="A23" s="30">
        <v>43042</v>
      </c>
      <c r="B23" t="s">
        <v>26</v>
      </c>
      <c r="C23">
        <v>152</v>
      </c>
    </row>
    <row r="24" spans="1:3">
      <c r="A24" s="30">
        <v>43046</v>
      </c>
      <c r="B24" t="s">
        <v>26</v>
      </c>
      <c r="C24">
        <v>90</v>
      </c>
    </row>
    <row r="25" spans="1:3">
      <c r="A25" s="30">
        <v>43042</v>
      </c>
      <c r="B25" t="s">
        <v>37</v>
      </c>
      <c r="C25">
        <v>112</v>
      </c>
    </row>
    <row r="26" spans="1:3">
      <c r="A26" s="30">
        <v>43045</v>
      </c>
      <c r="B26" t="s">
        <v>37</v>
      </c>
      <c r="C26">
        <v>24</v>
      </c>
    </row>
    <row r="27" spans="1:3">
      <c r="A27" s="30">
        <v>43045</v>
      </c>
      <c r="B27" t="s">
        <v>36</v>
      </c>
      <c r="C27">
        <v>44</v>
      </c>
    </row>
    <row r="28" spans="1:3">
      <c r="A28" s="30">
        <v>43046</v>
      </c>
      <c r="B28" t="s">
        <v>36</v>
      </c>
      <c r="C28">
        <v>154</v>
      </c>
    </row>
    <row r="29" spans="1:3">
      <c r="A29" s="30">
        <v>43044</v>
      </c>
      <c r="B29" t="s">
        <v>24</v>
      </c>
      <c r="C29">
        <v>96</v>
      </c>
    </row>
  </sheetData>
  <pageMargins left="0.7" right="0.7" top="0.75" bottom="0.75" header="0.3" footer="0.3"/>
  <headerFooter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N958"/>
  <sheetViews>
    <sheetView zoomScale="120" zoomScaleNormal="120" workbookViewId="0">
      <selection activeCell="A1" sqref="A1"/>
    </sheetView>
  </sheetViews>
  <sheetFormatPr defaultColWidth="9" defaultRowHeight="15"/>
  <cols>
    <col min="1" max="1" width="15.1428571428571" customWidth="1"/>
    <col min="2" max="3" width="17.1428571428571" customWidth="1"/>
    <col min="4" max="4" width="12.5714285714286" customWidth="1"/>
    <col min="5" max="5" width="4.71428571428571" customWidth="1"/>
    <col min="6" max="6" width="10.8571428571429" customWidth="1"/>
    <col min="7" max="7" width="15" customWidth="1"/>
    <col min="12" max="12" width="10" customWidth="1"/>
  </cols>
  <sheetData>
    <row r="1" spans="1:12">
      <c r="A1" s="1" t="s">
        <v>40</v>
      </c>
      <c r="L1" t="s">
        <v>34</v>
      </c>
    </row>
    <row r="3" spans="1:7">
      <c r="A3" s="1" t="s">
        <v>31</v>
      </c>
      <c r="B3" s="1" t="s">
        <v>16</v>
      </c>
      <c r="C3" s="1" t="s">
        <v>35</v>
      </c>
      <c r="F3" s="39" t="s">
        <v>41</v>
      </c>
      <c r="G3" s="39" t="s">
        <v>42</v>
      </c>
    </row>
    <row r="4" spans="1:14">
      <c r="A4" s="30">
        <v>43045</v>
      </c>
      <c r="B4" t="s">
        <v>37</v>
      </c>
      <c r="C4">
        <v>190</v>
      </c>
      <c r="F4" s="41">
        <f>SUM(C:C)</f>
        <v>93046</v>
      </c>
      <c r="G4" s="4">
        <f>MAX(C:C)</f>
        <v>191</v>
      </c>
      <c r="L4" s="30">
        <v>43044</v>
      </c>
      <c r="M4" t="s">
        <v>37</v>
      </c>
      <c r="N4">
        <v>139</v>
      </c>
    </row>
    <row r="5" spans="1:14">
      <c r="A5" s="30">
        <v>43040</v>
      </c>
      <c r="B5" t="s">
        <v>37</v>
      </c>
      <c r="C5">
        <v>138</v>
      </c>
      <c r="L5" s="30">
        <v>43043</v>
      </c>
      <c r="M5" t="s">
        <v>26</v>
      </c>
      <c r="N5">
        <v>167</v>
      </c>
    </row>
    <row r="6" spans="1:14">
      <c r="A6" s="30">
        <v>43043</v>
      </c>
      <c r="B6" t="s">
        <v>26</v>
      </c>
      <c r="C6">
        <v>12</v>
      </c>
      <c r="L6" s="30">
        <v>43044</v>
      </c>
      <c r="M6" t="s">
        <v>37</v>
      </c>
      <c r="N6">
        <v>191</v>
      </c>
    </row>
    <row r="7" spans="1:14">
      <c r="A7" s="30">
        <v>43041</v>
      </c>
      <c r="B7" t="s">
        <v>24</v>
      </c>
      <c r="C7">
        <v>45</v>
      </c>
      <c r="L7" s="30">
        <v>43040</v>
      </c>
      <c r="M7" t="s">
        <v>24</v>
      </c>
      <c r="N7">
        <v>84</v>
      </c>
    </row>
    <row r="8" spans="1:14">
      <c r="A8" s="30">
        <v>43043</v>
      </c>
      <c r="B8" t="s">
        <v>37</v>
      </c>
      <c r="C8">
        <v>187</v>
      </c>
      <c r="L8" s="30">
        <v>43043</v>
      </c>
      <c r="M8" t="s">
        <v>24</v>
      </c>
      <c r="N8">
        <v>102</v>
      </c>
    </row>
    <row r="9" spans="1:14">
      <c r="A9" s="30">
        <v>43042</v>
      </c>
      <c r="B9" t="s">
        <v>24</v>
      </c>
      <c r="C9">
        <v>29</v>
      </c>
      <c r="L9" s="30">
        <v>43040</v>
      </c>
      <c r="M9" t="s">
        <v>26</v>
      </c>
      <c r="N9">
        <v>100</v>
      </c>
    </row>
    <row r="10" spans="1:14">
      <c r="A10" s="30">
        <v>43046</v>
      </c>
      <c r="B10" t="s">
        <v>24</v>
      </c>
      <c r="C10">
        <v>106</v>
      </c>
      <c r="L10" s="30">
        <v>43044</v>
      </c>
      <c r="M10" t="s">
        <v>24</v>
      </c>
      <c r="N10">
        <v>107</v>
      </c>
    </row>
    <row r="11" spans="1:14">
      <c r="A11" s="30">
        <v>43041</v>
      </c>
      <c r="B11" t="s">
        <v>37</v>
      </c>
      <c r="C11">
        <v>147</v>
      </c>
      <c r="L11" s="30">
        <v>43044</v>
      </c>
      <c r="M11" t="s">
        <v>24</v>
      </c>
      <c r="N11">
        <v>1</v>
      </c>
    </row>
    <row r="12" spans="1:14">
      <c r="A12" s="30">
        <v>43043</v>
      </c>
      <c r="B12" t="s">
        <v>26</v>
      </c>
      <c r="C12">
        <v>143</v>
      </c>
      <c r="L12" s="30">
        <v>43043</v>
      </c>
      <c r="M12" t="s">
        <v>37</v>
      </c>
      <c r="N12">
        <v>92</v>
      </c>
    </row>
    <row r="13" spans="1:14">
      <c r="A13" s="30">
        <v>43044</v>
      </c>
      <c r="B13" t="s">
        <v>36</v>
      </c>
      <c r="C13">
        <v>33</v>
      </c>
      <c r="L13" s="30">
        <v>43044</v>
      </c>
      <c r="M13" t="s">
        <v>37</v>
      </c>
      <c r="N13">
        <v>18</v>
      </c>
    </row>
    <row r="14" spans="1:14">
      <c r="A14" s="30">
        <v>43045</v>
      </c>
      <c r="B14" t="s">
        <v>36</v>
      </c>
      <c r="C14">
        <v>99</v>
      </c>
      <c r="L14" s="30">
        <v>43045</v>
      </c>
      <c r="M14" t="s">
        <v>37</v>
      </c>
      <c r="N14">
        <v>169</v>
      </c>
    </row>
    <row r="15" spans="1:14">
      <c r="A15" s="30">
        <v>43047</v>
      </c>
      <c r="B15" t="s">
        <v>37</v>
      </c>
      <c r="C15">
        <v>35</v>
      </c>
      <c r="L15" s="30">
        <v>43045</v>
      </c>
      <c r="M15" t="s">
        <v>24</v>
      </c>
      <c r="N15">
        <v>129</v>
      </c>
    </row>
    <row r="16" spans="1:14">
      <c r="A16" s="30">
        <v>43045</v>
      </c>
      <c r="B16" t="s">
        <v>36</v>
      </c>
      <c r="C16">
        <v>21</v>
      </c>
      <c r="L16" s="30">
        <v>43042</v>
      </c>
      <c r="M16" t="s">
        <v>24</v>
      </c>
      <c r="N16">
        <v>30</v>
      </c>
    </row>
    <row r="17" spans="1:14">
      <c r="A17" s="30">
        <v>43047</v>
      </c>
      <c r="B17" t="s">
        <v>26</v>
      </c>
      <c r="C17">
        <v>60</v>
      </c>
      <c r="L17" s="30">
        <v>43041</v>
      </c>
      <c r="M17" t="s">
        <v>37</v>
      </c>
      <c r="N17">
        <v>12</v>
      </c>
    </row>
    <row r="18" spans="1:14">
      <c r="A18" s="30">
        <v>43045</v>
      </c>
      <c r="B18" t="s">
        <v>37</v>
      </c>
      <c r="C18">
        <v>132</v>
      </c>
      <c r="L18" s="30">
        <v>43044</v>
      </c>
      <c r="M18" t="s">
        <v>37</v>
      </c>
      <c r="N18">
        <v>59</v>
      </c>
    </row>
    <row r="19" spans="1:14">
      <c r="A19" s="30">
        <v>43047</v>
      </c>
      <c r="B19" t="s">
        <v>24</v>
      </c>
      <c r="C19">
        <v>156</v>
      </c>
      <c r="L19" s="30">
        <v>43047</v>
      </c>
      <c r="M19" t="s">
        <v>26</v>
      </c>
      <c r="N19">
        <v>120</v>
      </c>
    </row>
    <row r="20" spans="1:14">
      <c r="A20" s="30">
        <v>43045</v>
      </c>
      <c r="B20" t="s">
        <v>24</v>
      </c>
      <c r="C20">
        <v>120</v>
      </c>
      <c r="L20" s="30">
        <v>43043</v>
      </c>
      <c r="M20" t="s">
        <v>26</v>
      </c>
      <c r="N20">
        <v>72</v>
      </c>
    </row>
    <row r="21" spans="1:14">
      <c r="A21" s="30">
        <v>43043</v>
      </c>
      <c r="B21" t="s">
        <v>36</v>
      </c>
      <c r="C21">
        <v>55</v>
      </c>
      <c r="L21" s="30">
        <v>43045</v>
      </c>
      <c r="M21" t="s">
        <v>24</v>
      </c>
      <c r="N21">
        <v>111</v>
      </c>
    </row>
    <row r="22" spans="1:14">
      <c r="A22" s="30">
        <v>43042</v>
      </c>
      <c r="B22" t="s">
        <v>36</v>
      </c>
      <c r="C22">
        <v>165</v>
      </c>
      <c r="L22" s="30">
        <v>43040</v>
      </c>
      <c r="M22" t="s">
        <v>24</v>
      </c>
      <c r="N22">
        <v>182</v>
      </c>
    </row>
    <row r="23" spans="1:14">
      <c r="A23" s="30">
        <v>43046</v>
      </c>
      <c r="B23" t="s">
        <v>36</v>
      </c>
      <c r="C23">
        <v>124</v>
      </c>
      <c r="L23" s="30">
        <v>43041</v>
      </c>
      <c r="M23" t="s">
        <v>26</v>
      </c>
      <c r="N23">
        <v>175</v>
      </c>
    </row>
    <row r="24" spans="1:14">
      <c r="A24" s="30">
        <v>43046</v>
      </c>
      <c r="B24" t="s">
        <v>24</v>
      </c>
      <c r="C24">
        <v>155</v>
      </c>
      <c r="L24" s="30">
        <v>43043</v>
      </c>
      <c r="M24" t="s">
        <v>37</v>
      </c>
      <c r="N24">
        <v>8</v>
      </c>
    </row>
    <row r="25" spans="1:14">
      <c r="A25" s="30">
        <v>43045</v>
      </c>
      <c r="B25" t="s">
        <v>37</v>
      </c>
      <c r="C25">
        <v>33</v>
      </c>
      <c r="L25" s="30">
        <v>43041</v>
      </c>
      <c r="M25" t="s">
        <v>24</v>
      </c>
      <c r="N25">
        <v>69</v>
      </c>
    </row>
    <row r="26" spans="1:14">
      <c r="A26" s="30">
        <v>43047</v>
      </c>
      <c r="B26" t="s">
        <v>36</v>
      </c>
      <c r="C26">
        <v>76</v>
      </c>
      <c r="L26" s="30">
        <v>43044</v>
      </c>
      <c r="M26" t="s">
        <v>37</v>
      </c>
      <c r="N26">
        <v>60</v>
      </c>
    </row>
    <row r="27" spans="1:14">
      <c r="A27" s="30">
        <v>43044</v>
      </c>
      <c r="B27" t="s">
        <v>36</v>
      </c>
      <c r="C27">
        <v>49</v>
      </c>
      <c r="L27" s="30">
        <v>43046</v>
      </c>
      <c r="M27" t="s">
        <v>37</v>
      </c>
      <c r="N27">
        <v>25</v>
      </c>
    </row>
    <row r="28" spans="1:14">
      <c r="A28" s="30">
        <v>43042</v>
      </c>
      <c r="B28" t="s">
        <v>24</v>
      </c>
      <c r="C28">
        <v>26</v>
      </c>
      <c r="L28" s="30">
        <v>43045</v>
      </c>
      <c r="M28" t="s">
        <v>36</v>
      </c>
      <c r="N28">
        <v>118</v>
      </c>
    </row>
    <row r="29" spans="1:14">
      <c r="A29" s="30">
        <v>43041</v>
      </c>
      <c r="B29" t="s">
        <v>36</v>
      </c>
      <c r="C29">
        <v>30</v>
      </c>
      <c r="L29" s="30">
        <v>43045</v>
      </c>
      <c r="M29" t="s">
        <v>26</v>
      </c>
      <c r="N29">
        <v>63</v>
      </c>
    </row>
    <row r="30" spans="1:14">
      <c r="A30" s="30">
        <v>43042</v>
      </c>
      <c r="B30" t="s">
        <v>26</v>
      </c>
      <c r="C30">
        <v>116</v>
      </c>
      <c r="L30" s="30">
        <v>43047</v>
      </c>
      <c r="M30" t="s">
        <v>26</v>
      </c>
      <c r="N30">
        <v>123</v>
      </c>
    </row>
    <row r="31" spans="1:14">
      <c r="A31" s="30">
        <v>43041</v>
      </c>
      <c r="B31" t="s">
        <v>37</v>
      </c>
      <c r="C31">
        <v>45</v>
      </c>
      <c r="L31" s="30">
        <v>43042</v>
      </c>
      <c r="M31" t="s">
        <v>36</v>
      </c>
      <c r="N31">
        <v>90</v>
      </c>
    </row>
    <row r="32" spans="1:14">
      <c r="A32" s="30">
        <v>43041</v>
      </c>
      <c r="B32" t="s">
        <v>24</v>
      </c>
      <c r="C32">
        <v>47</v>
      </c>
      <c r="L32" s="30">
        <v>43047</v>
      </c>
      <c r="M32" t="s">
        <v>36</v>
      </c>
      <c r="N32">
        <v>41</v>
      </c>
    </row>
    <row r="33" spans="1:14">
      <c r="A33" s="30">
        <v>43044</v>
      </c>
      <c r="B33" t="s">
        <v>26</v>
      </c>
      <c r="C33">
        <v>113</v>
      </c>
      <c r="L33" s="30">
        <v>43047</v>
      </c>
      <c r="M33" t="s">
        <v>26</v>
      </c>
      <c r="N33">
        <v>162</v>
      </c>
    </row>
    <row r="34" spans="1:14">
      <c r="A34" s="30">
        <v>43043</v>
      </c>
      <c r="B34" t="s">
        <v>26</v>
      </c>
      <c r="C34">
        <v>70</v>
      </c>
      <c r="L34" s="30">
        <v>43046</v>
      </c>
      <c r="M34" t="s">
        <v>37</v>
      </c>
      <c r="N34">
        <v>9</v>
      </c>
    </row>
    <row r="35" spans="1:14">
      <c r="A35" s="30">
        <v>43043</v>
      </c>
      <c r="B35" t="s">
        <v>26</v>
      </c>
      <c r="C35">
        <v>173</v>
      </c>
      <c r="L35" s="30">
        <v>43046</v>
      </c>
      <c r="M35" t="s">
        <v>37</v>
      </c>
      <c r="N35">
        <v>161</v>
      </c>
    </row>
    <row r="36" spans="1:14">
      <c r="A36" s="30">
        <v>43044</v>
      </c>
      <c r="B36" t="s">
        <v>37</v>
      </c>
      <c r="C36">
        <v>54</v>
      </c>
      <c r="L36" s="30">
        <v>43046</v>
      </c>
      <c r="M36" t="s">
        <v>24</v>
      </c>
      <c r="N36">
        <v>30</v>
      </c>
    </row>
    <row r="37" spans="1:14">
      <c r="A37" s="30">
        <v>43041</v>
      </c>
      <c r="B37" t="s">
        <v>37</v>
      </c>
      <c r="C37">
        <v>122</v>
      </c>
      <c r="L37" s="30">
        <v>43044</v>
      </c>
      <c r="M37" t="s">
        <v>37</v>
      </c>
      <c r="N37">
        <v>120</v>
      </c>
    </row>
    <row r="38" spans="1:14">
      <c r="A38" s="30">
        <v>43040</v>
      </c>
      <c r="B38" t="s">
        <v>24</v>
      </c>
      <c r="C38">
        <v>3</v>
      </c>
      <c r="L38" s="30">
        <v>43044</v>
      </c>
      <c r="M38" t="s">
        <v>36</v>
      </c>
      <c r="N38">
        <v>39</v>
      </c>
    </row>
    <row r="39" spans="1:14">
      <c r="A39" s="30">
        <v>43042</v>
      </c>
      <c r="B39" t="s">
        <v>36</v>
      </c>
      <c r="C39">
        <v>122</v>
      </c>
      <c r="L39" s="30">
        <v>43047</v>
      </c>
      <c r="M39" t="s">
        <v>37</v>
      </c>
      <c r="N39">
        <v>131</v>
      </c>
    </row>
    <row r="40" spans="1:14">
      <c r="A40" s="30">
        <v>43041</v>
      </c>
      <c r="B40" t="s">
        <v>36</v>
      </c>
      <c r="C40">
        <v>81</v>
      </c>
      <c r="L40" s="30">
        <v>43045</v>
      </c>
      <c r="M40" t="s">
        <v>24</v>
      </c>
      <c r="N40">
        <v>90</v>
      </c>
    </row>
    <row r="41" spans="1:14">
      <c r="A41" s="30">
        <v>43045</v>
      </c>
      <c r="B41" t="s">
        <v>36</v>
      </c>
      <c r="C41">
        <v>21</v>
      </c>
      <c r="L41" s="30">
        <v>43044</v>
      </c>
      <c r="M41" t="s">
        <v>26</v>
      </c>
      <c r="N41">
        <v>171</v>
      </c>
    </row>
    <row r="42" spans="1:14">
      <c r="A42" s="30">
        <v>43042</v>
      </c>
      <c r="B42" t="s">
        <v>37</v>
      </c>
      <c r="C42">
        <v>144</v>
      </c>
      <c r="L42" s="30">
        <v>43045</v>
      </c>
      <c r="M42" t="s">
        <v>26</v>
      </c>
      <c r="N42">
        <v>158</v>
      </c>
    </row>
    <row r="43" spans="1:14">
      <c r="A43" s="30">
        <v>43046</v>
      </c>
      <c r="B43" t="s">
        <v>24</v>
      </c>
      <c r="C43">
        <v>139</v>
      </c>
      <c r="L43" s="30">
        <v>43041</v>
      </c>
      <c r="M43" t="s">
        <v>26</v>
      </c>
      <c r="N43">
        <v>130</v>
      </c>
    </row>
    <row r="44" spans="1:14">
      <c r="A44" s="30">
        <v>43042</v>
      </c>
      <c r="B44" t="s">
        <v>24</v>
      </c>
      <c r="C44">
        <v>105</v>
      </c>
      <c r="L44" s="30">
        <v>43046</v>
      </c>
      <c r="M44" t="s">
        <v>24</v>
      </c>
      <c r="N44">
        <v>149</v>
      </c>
    </row>
    <row r="45" spans="1:14">
      <c r="A45" s="30">
        <v>43043</v>
      </c>
      <c r="B45" t="s">
        <v>37</v>
      </c>
      <c r="C45">
        <v>14</v>
      </c>
      <c r="L45" s="30">
        <v>43047</v>
      </c>
      <c r="M45" t="s">
        <v>37</v>
      </c>
      <c r="N45">
        <v>143</v>
      </c>
    </row>
    <row r="46" spans="1:14">
      <c r="A46" s="30">
        <v>43043</v>
      </c>
      <c r="B46" t="s">
        <v>37</v>
      </c>
      <c r="C46">
        <v>95</v>
      </c>
      <c r="L46" s="30">
        <v>43040</v>
      </c>
      <c r="M46" t="s">
        <v>24</v>
      </c>
      <c r="N46">
        <v>48</v>
      </c>
    </row>
    <row r="47" spans="1:14">
      <c r="A47" s="30">
        <v>43042</v>
      </c>
      <c r="B47" t="s">
        <v>26</v>
      </c>
      <c r="C47">
        <v>142</v>
      </c>
      <c r="L47" s="30">
        <v>43044</v>
      </c>
      <c r="M47" t="s">
        <v>36</v>
      </c>
      <c r="N47">
        <v>17</v>
      </c>
    </row>
    <row r="48" spans="1:14">
      <c r="A48" s="30">
        <v>43040</v>
      </c>
      <c r="B48" t="s">
        <v>24</v>
      </c>
      <c r="C48">
        <v>150</v>
      </c>
      <c r="L48" s="30">
        <v>43042</v>
      </c>
      <c r="M48" t="s">
        <v>26</v>
      </c>
      <c r="N48">
        <v>35</v>
      </c>
    </row>
    <row r="49" spans="1:14">
      <c r="A49" s="30">
        <v>43045</v>
      </c>
      <c r="B49" t="s">
        <v>36</v>
      </c>
      <c r="C49">
        <v>79</v>
      </c>
      <c r="L49" s="30">
        <v>43044</v>
      </c>
      <c r="M49" t="s">
        <v>37</v>
      </c>
      <c r="N49">
        <v>168</v>
      </c>
    </row>
    <row r="50" spans="1:14">
      <c r="A50" s="30">
        <v>43040</v>
      </c>
      <c r="B50" t="s">
        <v>24</v>
      </c>
      <c r="C50">
        <v>57</v>
      </c>
      <c r="L50" s="30">
        <v>43041</v>
      </c>
      <c r="M50" t="s">
        <v>37</v>
      </c>
      <c r="N50">
        <v>106</v>
      </c>
    </row>
    <row r="51" spans="1:14">
      <c r="A51" s="30">
        <v>43043</v>
      </c>
      <c r="B51" t="s">
        <v>24</v>
      </c>
      <c r="C51">
        <v>62</v>
      </c>
      <c r="L51" s="30">
        <v>43044</v>
      </c>
      <c r="M51" t="s">
        <v>36</v>
      </c>
      <c r="N51">
        <v>36</v>
      </c>
    </row>
    <row r="52" spans="1:14">
      <c r="A52" s="30">
        <v>43041</v>
      </c>
      <c r="B52" t="s">
        <v>24</v>
      </c>
      <c r="C52">
        <v>177</v>
      </c>
      <c r="L52" s="30">
        <v>43041</v>
      </c>
      <c r="M52" t="s">
        <v>36</v>
      </c>
      <c r="N52">
        <v>19</v>
      </c>
    </row>
    <row r="53" spans="1:14">
      <c r="A53" s="30">
        <v>43044</v>
      </c>
      <c r="B53" t="s">
        <v>37</v>
      </c>
      <c r="C53">
        <v>165</v>
      </c>
      <c r="L53" s="30">
        <v>43044</v>
      </c>
      <c r="M53" t="s">
        <v>36</v>
      </c>
      <c r="N53">
        <v>173</v>
      </c>
    </row>
    <row r="54" spans="1:14">
      <c r="A54" s="30">
        <v>43041</v>
      </c>
      <c r="B54" t="s">
        <v>36</v>
      </c>
      <c r="C54">
        <v>37</v>
      </c>
      <c r="L54" s="30">
        <v>43042</v>
      </c>
      <c r="M54" t="s">
        <v>26</v>
      </c>
      <c r="N54">
        <v>66</v>
      </c>
    </row>
    <row r="55" spans="1:14">
      <c r="A55" s="30">
        <v>43044</v>
      </c>
      <c r="B55" t="s">
        <v>36</v>
      </c>
      <c r="C55">
        <v>181</v>
      </c>
      <c r="L55" s="30">
        <v>43045</v>
      </c>
      <c r="M55" t="s">
        <v>36</v>
      </c>
      <c r="N55">
        <v>25</v>
      </c>
    </row>
    <row r="56" spans="1:14">
      <c r="A56" s="30">
        <v>43043</v>
      </c>
      <c r="B56" t="s">
        <v>36</v>
      </c>
      <c r="C56">
        <v>148</v>
      </c>
      <c r="L56" s="30">
        <v>43043</v>
      </c>
      <c r="M56" t="s">
        <v>37</v>
      </c>
      <c r="N56">
        <v>47</v>
      </c>
    </row>
    <row r="57" spans="1:14">
      <c r="A57" s="30">
        <v>43047</v>
      </c>
      <c r="B57" t="s">
        <v>37</v>
      </c>
      <c r="C57">
        <v>132</v>
      </c>
      <c r="L57" s="30">
        <v>43047</v>
      </c>
      <c r="M57" t="s">
        <v>37</v>
      </c>
      <c r="N57">
        <v>49</v>
      </c>
    </row>
    <row r="58" spans="1:14">
      <c r="A58" s="30">
        <v>43045</v>
      </c>
      <c r="B58" t="s">
        <v>24</v>
      </c>
      <c r="C58">
        <v>3</v>
      </c>
      <c r="L58" s="30">
        <v>43047</v>
      </c>
      <c r="M58" t="s">
        <v>26</v>
      </c>
      <c r="N58">
        <v>1</v>
      </c>
    </row>
    <row r="59" spans="1:14">
      <c r="A59" s="30">
        <v>43040</v>
      </c>
      <c r="B59" t="s">
        <v>24</v>
      </c>
      <c r="C59">
        <v>121</v>
      </c>
      <c r="L59" s="30">
        <v>43042</v>
      </c>
      <c r="M59" t="s">
        <v>24</v>
      </c>
      <c r="N59">
        <v>75</v>
      </c>
    </row>
    <row r="60" spans="1:14">
      <c r="A60" s="30">
        <v>43047</v>
      </c>
      <c r="B60" t="s">
        <v>36</v>
      </c>
      <c r="C60">
        <v>104</v>
      </c>
      <c r="L60" s="30">
        <v>43045</v>
      </c>
      <c r="M60" t="s">
        <v>37</v>
      </c>
      <c r="N60">
        <v>137</v>
      </c>
    </row>
    <row r="61" spans="1:14">
      <c r="A61" s="30">
        <v>43047</v>
      </c>
      <c r="B61" t="s">
        <v>36</v>
      </c>
      <c r="C61">
        <v>155</v>
      </c>
      <c r="L61" s="30">
        <v>43040</v>
      </c>
      <c r="M61" t="s">
        <v>24</v>
      </c>
      <c r="N61">
        <v>101</v>
      </c>
    </row>
    <row r="62" spans="1:14">
      <c r="A62" s="30">
        <v>43045</v>
      </c>
      <c r="B62" t="s">
        <v>24</v>
      </c>
      <c r="C62">
        <v>129</v>
      </c>
      <c r="L62" s="30">
        <v>43046</v>
      </c>
      <c r="M62" t="s">
        <v>26</v>
      </c>
      <c r="N62">
        <v>11</v>
      </c>
    </row>
    <row r="63" spans="1:14">
      <c r="A63" s="30">
        <v>43040</v>
      </c>
      <c r="B63" t="s">
        <v>24</v>
      </c>
      <c r="C63">
        <v>72</v>
      </c>
      <c r="L63" s="30">
        <v>43042</v>
      </c>
      <c r="M63" t="s">
        <v>36</v>
      </c>
      <c r="N63">
        <v>42</v>
      </c>
    </row>
    <row r="64" spans="1:14">
      <c r="A64" s="30">
        <v>43044</v>
      </c>
      <c r="B64" t="s">
        <v>26</v>
      </c>
      <c r="C64">
        <v>164</v>
      </c>
      <c r="L64" s="30">
        <v>43040</v>
      </c>
      <c r="M64" t="s">
        <v>37</v>
      </c>
      <c r="N64">
        <v>185</v>
      </c>
    </row>
    <row r="65" spans="1:14">
      <c r="A65" s="30">
        <v>43042</v>
      </c>
      <c r="B65" t="s">
        <v>24</v>
      </c>
      <c r="C65">
        <v>6</v>
      </c>
      <c r="L65" s="30">
        <v>43043</v>
      </c>
      <c r="M65" t="s">
        <v>37</v>
      </c>
      <c r="N65">
        <v>160</v>
      </c>
    </row>
    <row r="66" spans="1:14">
      <c r="A66" s="30">
        <v>43040</v>
      </c>
      <c r="B66" t="s">
        <v>36</v>
      </c>
      <c r="C66">
        <v>46</v>
      </c>
      <c r="L66" s="30">
        <v>43043</v>
      </c>
      <c r="M66" t="s">
        <v>37</v>
      </c>
      <c r="N66">
        <v>7</v>
      </c>
    </row>
    <row r="67" spans="1:14">
      <c r="A67" s="30">
        <v>43047</v>
      </c>
      <c r="B67" t="s">
        <v>24</v>
      </c>
      <c r="C67">
        <v>182</v>
      </c>
      <c r="L67" s="30">
        <v>43044</v>
      </c>
      <c r="M67" t="s">
        <v>24</v>
      </c>
      <c r="N67">
        <v>1</v>
      </c>
    </row>
    <row r="68" spans="1:14">
      <c r="A68" s="30">
        <v>43041</v>
      </c>
      <c r="B68" t="s">
        <v>24</v>
      </c>
      <c r="C68">
        <v>11</v>
      </c>
      <c r="L68" s="30">
        <v>43045</v>
      </c>
      <c r="M68" t="s">
        <v>37</v>
      </c>
      <c r="N68">
        <v>80</v>
      </c>
    </row>
    <row r="69" spans="1:14">
      <c r="A69" s="30">
        <v>43047</v>
      </c>
      <c r="B69" t="s">
        <v>26</v>
      </c>
      <c r="C69">
        <v>18</v>
      </c>
      <c r="L69" s="30">
        <v>43047</v>
      </c>
      <c r="M69" t="s">
        <v>26</v>
      </c>
      <c r="N69">
        <v>117</v>
      </c>
    </row>
    <row r="70" spans="1:14">
      <c r="A70" s="30">
        <v>43045</v>
      </c>
      <c r="B70" t="s">
        <v>24</v>
      </c>
      <c r="C70">
        <v>152</v>
      </c>
      <c r="L70" s="30">
        <v>43041</v>
      </c>
      <c r="M70" t="s">
        <v>36</v>
      </c>
      <c r="N70">
        <v>37</v>
      </c>
    </row>
    <row r="71" spans="1:14">
      <c r="A71" s="30">
        <v>43040</v>
      </c>
      <c r="B71" t="s">
        <v>36</v>
      </c>
      <c r="C71">
        <v>41</v>
      </c>
      <c r="L71" s="30">
        <v>43040</v>
      </c>
      <c r="M71" t="s">
        <v>37</v>
      </c>
      <c r="N71">
        <v>179</v>
      </c>
    </row>
    <row r="72" spans="1:14">
      <c r="A72" s="30">
        <v>43045</v>
      </c>
      <c r="B72" t="s">
        <v>24</v>
      </c>
      <c r="C72">
        <v>11</v>
      </c>
      <c r="L72" s="30">
        <v>43046</v>
      </c>
      <c r="M72" t="s">
        <v>26</v>
      </c>
      <c r="N72">
        <v>60</v>
      </c>
    </row>
    <row r="73" spans="1:14">
      <c r="A73" s="30">
        <v>43047</v>
      </c>
      <c r="B73" t="s">
        <v>24</v>
      </c>
      <c r="C73">
        <v>148</v>
      </c>
      <c r="L73" s="30">
        <v>43043</v>
      </c>
      <c r="M73" t="s">
        <v>36</v>
      </c>
      <c r="N73">
        <v>60</v>
      </c>
    </row>
    <row r="74" spans="1:14">
      <c r="A74" s="30">
        <v>43044</v>
      </c>
      <c r="B74" t="s">
        <v>24</v>
      </c>
      <c r="C74">
        <v>154</v>
      </c>
      <c r="L74" s="30">
        <v>43044</v>
      </c>
      <c r="M74" t="s">
        <v>26</v>
      </c>
      <c r="N74">
        <v>79</v>
      </c>
    </row>
    <row r="75" spans="1:14">
      <c r="A75" s="30">
        <v>43041</v>
      </c>
      <c r="B75" t="s">
        <v>36</v>
      </c>
      <c r="C75">
        <v>115</v>
      </c>
      <c r="L75" s="30">
        <v>43047</v>
      </c>
      <c r="M75" t="s">
        <v>26</v>
      </c>
      <c r="N75">
        <v>63</v>
      </c>
    </row>
    <row r="76" spans="1:14">
      <c r="A76" s="30">
        <v>43046</v>
      </c>
      <c r="B76" t="s">
        <v>26</v>
      </c>
      <c r="C76">
        <v>122</v>
      </c>
      <c r="L76" s="30">
        <v>43040</v>
      </c>
      <c r="M76" t="s">
        <v>37</v>
      </c>
      <c r="N76">
        <v>145</v>
      </c>
    </row>
    <row r="77" spans="1:14">
      <c r="A77" s="30">
        <v>43047</v>
      </c>
      <c r="B77" t="s">
        <v>24</v>
      </c>
      <c r="C77">
        <v>3</v>
      </c>
      <c r="L77" s="30">
        <v>43045</v>
      </c>
      <c r="M77" t="s">
        <v>24</v>
      </c>
      <c r="N77">
        <v>39</v>
      </c>
    </row>
    <row r="78" spans="1:14">
      <c r="A78" s="30">
        <v>43046</v>
      </c>
      <c r="B78" t="s">
        <v>26</v>
      </c>
      <c r="C78">
        <v>26</v>
      </c>
      <c r="L78" s="30">
        <v>43043</v>
      </c>
      <c r="M78" t="s">
        <v>26</v>
      </c>
      <c r="N78">
        <v>117</v>
      </c>
    </row>
    <row r="79" spans="1:14">
      <c r="A79" s="30">
        <v>43043</v>
      </c>
      <c r="B79" t="s">
        <v>37</v>
      </c>
      <c r="C79">
        <v>162</v>
      </c>
      <c r="L79" s="30">
        <v>43044</v>
      </c>
      <c r="M79" t="s">
        <v>36</v>
      </c>
      <c r="N79">
        <v>127</v>
      </c>
    </row>
    <row r="80" spans="1:14">
      <c r="A80" s="30">
        <v>43046</v>
      </c>
      <c r="B80" t="s">
        <v>26</v>
      </c>
      <c r="C80">
        <v>21</v>
      </c>
      <c r="L80" s="30">
        <v>43047</v>
      </c>
      <c r="M80" t="s">
        <v>26</v>
      </c>
      <c r="N80">
        <v>13</v>
      </c>
    </row>
    <row r="81" spans="1:14">
      <c r="A81" s="30">
        <v>43042</v>
      </c>
      <c r="B81" t="s">
        <v>26</v>
      </c>
      <c r="C81">
        <v>42</v>
      </c>
      <c r="L81" s="30">
        <v>43044</v>
      </c>
      <c r="M81" t="s">
        <v>26</v>
      </c>
      <c r="N81">
        <v>92</v>
      </c>
    </row>
    <row r="82" spans="1:14">
      <c r="A82" s="30">
        <v>43044</v>
      </c>
      <c r="B82" t="s">
        <v>37</v>
      </c>
      <c r="C82">
        <v>82</v>
      </c>
      <c r="L82" s="30">
        <v>43047</v>
      </c>
      <c r="M82" t="s">
        <v>26</v>
      </c>
      <c r="N82">
        <v>147</v>
      </c>
    </row>
    <row r="83" spans="1:14">
      <c r="A83" s="30">
        <v>43046</v>
      </c>
      <c r="B83" t="s">
        <v>24</v>
      </c>
      <c r="C83">
        <v>78</v>
      </c>
      <c r="L83" s="30">
        <v>43041</v>
      </c>
      <c r="M83" t="s">
        <v>37</v>
      </c>
      <c r="N83">
        <v>175</v>
      </c>
    </row>
    <row r="84" spans="1:14">
      <c r="A84" s="30">
        <v>43047</v>
      </c>
      <c r="B84" t="s">
        <v>36</v>
      </c>
      <c r="C84">
        <v>127</v>
      </c>
      <c r="L84" s="30">
        <v>43041</v>
      </c>
      <c r="M84" t="s">
        <v>26</v>
      </c>
      <c r="N84">
        <v>165</v>
      </c>
    </row>
    <row r="85" spans="1:14">
      <c r="A85" s="30">
        <v>43040</v>
      </c>
      <c r="B85" t="s">
        <v>26</v>
      </c>
      <c r="C85">
        <v>64</v>
      </c>
      <c r="L85" s="30">
        <v>43041</v>
      </c>
      <c r="M85" t="s">
        <v>37</v>
      </c>
      <c r="N85">
        <v>10</v>
      </c>
    </row>
    <row r="86" spans="1:14">
      <c r="A86" s="30">
        <v>43044</v>
      </c>
      <c r="B86" t="s">
        <v>26</v>
      </c>
      <c r="C86">
        <v>152</v>
      </c>
      <c r="L86" s="30">
        <v>43042</v>
      </c>
      <c r="M86" t="s">
        <v>36</v>
      </c>
      <c r="N86">
        <v>110</v>
      </c>
    </row>
    <row r="87" spans="1:14">
      <c r="A87" s="30">
        <v>43042</v>
      </c>
      <c r="B87" t="s">
        <v>24</v>
      </c>
      <c r="C87">
        <v>53</v>
      </c>
      <c r="L87" s="30">
        <v>43040</v>
      </c>
      <c r="M87" t="s">
        <v>26</v>
      </c>
      <c r="N87">
        <v>133</v>
      </c>
    </row>
    <row r="88" spans="1:14">
      <c r="A88" s="30">
        <v>43044</v>
      </c>
      <c r="B88" t="s">
        <v>26</v>
      </c>
      <c r="C88">
        <v>11</v>
      </c>
      <c r="L88" s="30">
        <v>43041</v>
      </c>
      <c r="M88" t="s">
        <v>37</v>
      </c>
      <c r="N88">
        <v>191</v>
      </c>
    </row>
    <row r="89" spans="1:14">
      <c r="A89" s="30">
        <v>43043</v>
      </c>
      <c r="B89" t="s">
        <v>37</v>
      </c>
      <c r="C89">
        <v>170</v>
      </c>
      <c r="L89" s="30">
        <v>43043</v>
      </c>
      <c r="M89" t="s">
        <v>26</v>
      </c>
      <c r="N89">
        <v>123</v>
      </c>
    </row>
    <row r="90" spans="1:14">
      <c r="A90" s="30">
        <v>43041</v>
      </c>
      <c r="B90" t="s">
        <v>24</v>
      </c>
      <c r="C90">
        <v>170</v>
      </c>
      <c r="L90" s="30">
        <v>43046</v>
      </c>
      <c r="M90" t="s">
        <v>36</v>
      </c>
      <c r="N90">
        <v>26</v>
      </c>
    </row>
    <row r="91" spans="1:14">
      <c r="A91" s="30">
        <v>43047</v>
      </c>
      <c r="B91" t="s">
        <v>36</v>
      </c>
      <c r="C91">
        <v>31</v>
      </c>
      <c r="L91" s="30">
        <v>43047</v>
      </c>
      <c r="M91" t="s">
        <v>26</v>
      </c>
      <c r="N91">
        <v>88</v>
      </c>
    </row>
    <row r="92" spans="1:14">
      <c r="A92" s="30">
        <v>43041</v>
      </c>
      <c r="B92" t="s">
        <v>26</v>
      </c>
      <c r="C92">
        <v>7</v>
      </c>
      <c r="L92" s="30">
        <v>43046</v>
      </c>
      <c r="M92" t="s">
        <v>36</v>
      </c>
      <c r="N92">
        <v>119</v>
      </c>
    </row>
    <row r="93" spans="1:14">
      <c r="A93" s="30">
        <v>43046</v>
      </c>
      <c r="B93" t="s">
        <v>26</v>
      </c>
      <c r="C93">
        <v>175</v>
      </c>
      <c r="L93" s="30">
        <v>43043</v>
      </c>
      <c r="M93" t="s">
        <v>26</v>
      </c>
      <c r="N93">
        <v>78</v>
      </c>
    </row>
    <row r="94" spans="1:14">
      <c r="A94" s="30">
        <v>43047</v>
      </c>
      <c r="B94" t="s">
        <v>36</v>
      </c>
      <c r="C94">
        <v>107</v>
      </c>
      <c r="L94" s="30">
        <v>43040</v>
      </c>
      <c r="M94" t="s">
        <v>24</v>
      </c>
      <c r="N94">
        <v>141</v>
      </c>
    </row>
    <row r="95" spans="1:14">
      <c r="A95" s="30">
        <v>43046</v>
      </c>
      <c r="B95" t="s">
        <v>24</v>
      </c>
      <c r="C95">
        <v>123</v>
      </c>
      <c r="L95" s="30">
        <v>43040</v>
      </c>
      <c r="M95" t="s">
        <v>37</v>
      </c>
      <c r="N95">
        <v>187</v>
      </c>
    </row>
    <row r="96" spans="1:14">
      <c r="A96" s="30">
        <v>43045</v>
      </c>
      <c r="B96" t="s">
        <v>24</v>
      </c>
      <c r="C96">
        <v>21</v>
      </c>
      <c r="L96" s="30">
        <v>43043</v>
      </c>
      <c r="M96" t="s">
        <v>26</v>
      </c>
      <c r="N96">
        <v>2</v>
      </c>
    </row>
    <row r="97" spans="1:14">
      <c r="A97" s="30">
        <v>43040</v>
      </c>
      <c r="B97" t="s">
        <v>36</v>
      </c>
      <c r="C97">
        <v>8</v>
      </c>
      <c r="L97" s="30">
        <v>43044</v>
      </c>
      <c r="M97" t="s">
        <v>37</v>
      </c>
      <c r="N97">
        <v>163</v>
      </c>
    </row>
    <row r="98" spans="1:14">
      <c r="A98" s="30">
        <v>43042</v>
      </c>
      <c r="B98" t="s">
        <v>37</v>
      </c>
      <c r="C98">
        <v>115</v>
      </c>
      <c r="L98" s="30">
        <v>43045</v>
      </c>
      <c r="M98" t="s">
        <v>26</v>
      </c>
      <c r="N98">
        <v>106</v>
      </c>
    </row>
    <row r="99" spans="1:14">
      <c r="A99" s="30">
        <v>43043</v>
      </c>
      <c r="B99" t="s">
        <v>24</v>
      </c>
      <c r="C99">
        <v>50</v>
      </c>
      <c r="L99" s="30">
        <v>43044</v>
      </c>
      <c r="M99" t="s">
        <v>24</v>
      </c>
      <c r="N99">
        <v>9</v>
      </c>
    </row>
    <row r="100" spans="1:14">
      <c r="A100" s="30">
        <v>43047</v>
      </c>
      <c r="B100" t="s">
        <v>24</v>
      </c>
      <c r="C100">
        <v>121</v>
      </c>
      <c r="L100" s="30">
        <v>43040</v>
      </c>
      <c r="M100" t="s">
        <v>26</v>
      </c>
      <c r="N100">
        <v>70</v>
      </c>
    </row>
    <row r="101" spans="1:14">
      <c r="A101" s="30">
        <v>43041</v>
      </c>
      <c r="B101" t="s">
        <v>24</v>
      </c>
      <c r="C101">
        <v>35</v>
      </c>
      <c r="L101" s="30">
        <v>43044</v>
      </c>
      <c r="M101" t="s">
        <v>37</v>
      </c>
      <c r="N101">
        <v>88</v>
      </c>
    </row>
    <row r="102" spans="1:14">
      <c r="A102" s="30">
        <v>43044</v>
      </c>
      <c r="B102" t="s">
        <v>37</v>
      </c>
      <c r="C102">
        <v>106</v>
      </c>
      <c r="L102" s="30">
        <v>43040</v>
      </c>
      <c r="M102" t="s">
        <v>26</v>
      </c>
      <c r="N102">
        <v>129</v>
      </c>
    </row>
    <row r="103" spans="1:14">
      <c r="A103" s="30">
        <v>43041</v>
      </c>
      <c r="B103" t="s">
        <v>24</v>
      </c>
      <c r="C103">
        <v>125</v>
      </c>
      <c r="L103" s="30">
        <v>43040</v>
      </c>
      <c r="M103" t="s">
        <v>26</v>
      </c>
      <c r="N103">
        <v>50</v>
      </c>
    </row>
    <row r="104" spans="1:14">
      <c r="A104" s="30">
        <v>43040</v>
      </c>
      <c r="B104" t="s">
        <v>24</v>
      </c>
      <c r="C104">
        <v>182</v>
      </c>
      <c r="L104" s="30">
        <v>43041</v>
      </c>
      <c r="M104" t="s">
        <v>26</v>
      </c>
      <c r="N104">
        <v>158</v>
      </c>
    </row>
    <row r="105" spans="1:14">
      <c r="A105" s="30">
        <v>43046</v>
      </c>
      <c r="B105" t="s">
        <v>26</v>
      </c>
      <c r="C105">
        <v>98</v>
      </c>
      <c r="L105" s="30">
        <v>43046</v>
      </c>
      <c r="M105" t="s">
        <v>37</v>
      </c>
      <c r="N105">
        <v>166</v>
      </c>
    </row>
    <row r="106" spans="1:14">
      <c r="A106" s="30">
        <v>43042</v>
      </c>
      <c r="B106" t="s">
        <v>24</v>
      </c>
      <c r="C106">
        <v>80</v>
      </c>
      <c r="L106" s="30">
        <v>43047</v>
      </c>
      <c r="M106" t="s">
        <v>24</v>
      </c>
      <c r="N106">
        <v>151</v>
      </c>
    </row>
    <row r="107" spans="1:14">
      <c r="A107" s="30">
        <v>43044</v>
      </c>
      <c r="B107" t="s">
        <v>36</v>
      </c>
      <c r="C107">
        <v>18</v>
      </c>
      <c r="L107" s="30">
        <v>43042</v>
      </c>
      <c r="M107" t="s">
        <v>24</v>
      </c>
      <c r="N107">
        <v>110</v>
      </c>
    </row>
    <row r="108" spans="1:14">
      <c r="A108" s="30">
        <v>43043</v>
      </c>
      <c r="B108" t="s">
        <v>24</v>
      </c>
      <c r="C108">
        <v>80</v>
      </c>
      <c r="L108" s="30">
        <v>43040</v>
      </c>
      <c r="M108" t="s">
        <v>37</v>
      </c>
      <c r="N108">
        <v>13</v>
      </c>
    </row>
    <row r="109" spans="1:14">
      <c r="A109" s="30">
        <v>43041</v>
      </c>
      <c r="B109" t="s">
        <v>37</v>
      </c>
      <c r="C109">
        <v>52</v>
      </c>
      <c r="L109" s="30">
        <v>43040</v>
      </c>
      <c r="M109" t="s">
        <v>26</v>
      </c>
      <c r="N109">
        <v>85</v>
      </c>
    </row>
    <row r="110" spans="1:14">
      <c r="A110" s="30">
        <v>43042</v>
      </c>
      <c r="B110" t="s">
        <v>26</v>
      </c>
      <c r="C110">
        <v>52</v>
      </c>
      <c r="L110" s="30">
        <v>43046</v>
      </c>
      <c r="M110" t="s">
        <v>24</v>
      </c>
      <c r="N110">
        <v>74</v>
      </c>
    </row>
    <row r="111" spans="1:14">
      <c r="A111" s="30">
        <v>43045</v>
      </c>
      <c r="B111" t="s">
        <v>37</v>
      </c>
      <c r="C111">
        <v>119</v>
      </c>
      <c r="L111" s="30">
        <v>43044</v>
      </c>
      <c r="M111" t="s">
        <v>26</v>
      </c>
      <c r="N111">
        <v>169</v>
      </c>
    </row>
    <row r="112" spans="1:14">
      <c r="A112" s="30">
        <v>43047</v>
      </c>
      <c r="B112" t="s">
        <v>24</v>
      </c>
      <c r="C112">
        <v>129</v>
      </c>
      <c r="L112" s="30">
        <v>43044</v>
      </c>
      <c r="M112" t="s">
        <v>24</v>
      </c>
      <c r="N112">
        <v>89</v>
      </c>
    </row>
    <row r="113" spans="1:14">
      <c r="A113" s="30">
        <v>43047</v>
      </c>
      <c r="B113" t="s">
        <v>24</v>
      </c>
      <c r="C113">
        <v>141</v>
      </c>
      <c r="L113" s="30">
        <v>43042</v>
      </c>
      <c r="M113" t="s">
        <v>37</v>
      </c>
      <c r="N113">
        <v>189</v>
      </c>
    </row>
    <row r="114" spans="1:14">
      <c r="A114" s="30">
        <v>43047</v>
      </c>
      <c r="B114" t="s">
        <v>26</v>
      </c>
      <c r="C114">
        <v>95</v>
      </c>
      <c r="L114" s="30">
        <v>43042</v>
      </c>
      <c r="M114" t="s">
        <v>24</v>
      </c>
      <c r="N114">
        <v>138</v>
      </c>
    </row>
    <row r="115" spans="1:14">
      <c r="A115" s="30">
        <v>43041</v>
      </c>
      <c r="B115" t="s">
        <v>37</v>
      </c>
      <c r="C115">
        <v>112</v>
      </c>
      <c r="L115" s="30">
        <v>43047</v>
      </c>
      <c r="M115" t="s">
        <v>36</v>
      </c>
      <c r="N115">
        <v>6</v>
      </c>
    </row>
    <row r="116" spans="1:14">
      <c r="A116" s="30">
        <v>43043</v>
      </c>
      <c r="B116" t="s">
        <v>26</v>
      </c>
      <c r="C116">
        <v>40</v>
      </c>
      <c r="L116" s="30">
        <v>43042</v>
      </c>
      <c r="M116" t="s">
        <v>24</v>
      </c>
      <c r="N116">
        <v>133</v>
      </c>
    </row>
    <row r="117" spans="1:14">
      <c r="A117" s="30">
        <v>43044</v>
      </c>
      <c r="B117" t="s">
        <v>26</v>
      </c>
      <c r="C117">
        <v>160</v>
      </c>
      <c r="L117" s="30">
        <v>43046</v>
      </c>
      <c r="M117" t="s">
        <v>24</v>
      </c>
      <c r="N117">
        <v>95</v>
      </c>
    </row>
    <row r="118" spans="1:14">
      <c r="A118" s="30">
        <v>43043</v>
      </c>
      <c r="B118" t="s">
        <v>24</v>
      </c>
      <c r="C118">
        <v>81</v>
      </c>
      <c r="L118" s="30">
        <v>43045</v>
      </c>
      <c r="M118" t="s">
        <v>36</v>
      </c>
      <c r="N118">
        <v>133</v>
      </c>
    </row>
    <row r="119" spans="1:14">
      <c r="A119" s="30">
        <v>43044</v>
      </c>
      <c r="B119" t="s">
        <v>26</v>
      </c>
      <c r="C119">
        <v>157</v>
      </c>
      <c r="L119" s="30">
        <v>43047</v>
      </c>
      <c r="M119" t="s">
        <v>26</v>
      </c>
      <c r="N119">
        <v>164</v>
      </c>
    </row>
    <row r="120" spans="1:14">
      <c r="A120" s="30">
        <v>43046</v>
      </c>
      <c r="B120" t="s">
        <v>37</v>
      </c>
      <c r="C120">
        <v>12</v>
      </c>
      <c r="L120" s="30">
        <v>43046</v>
      </c>
      <c r="M120" t="s">
        <v>37</v>
      </c>
      <c r="N120">
        <v>30</v>
      </c>
    </row>
    <row r="121" spans="1:14">
      <c r="A121" s="30">
        <v>43040</v>
      </c>
      <c r="B121" t="s">
        <v>24</v>
      </c>
      <c r="C121">
        <v>117</v>
      </c>
      <c r="L121" s="30">
        <v>43046</v>
      </c>
      <c r="M121" t="s">
        <v>36</v>
      </c>
      <c r="N121">
        <v>113</v>
      </c>
    </row>
    <row r="122" spans="1:14">
      <c r="A122" s="30">
        <v>43043</v>
      </c>
      <c r="B122" t="s">
        <v>26</v>
      </c>
      <c r="C122">
        <v>118</v>
      </c>
      <c r="L122" s="30">
        <v>43043</v>
      </c>
      <c r="M122" t="s">
        <v>26</v>
      </c>
      <c r="N122">
        <v>3</v>
      </c>
    </row>
    <row r="123" spans="1:14">
      <c r="A123" s="30">
        <v>43042</v>
      </c>
      <c r="B123" t="s">
        <v>37</v>
      </c>
      <c r="C123">
        <v>6</v>
      </c>
      <c r="L123" s="30">
        <v>43046</v>
      </c>
      <c r="M123" t="s">
        <v>24</v>
      </c>
      <c r="N123">
        <v>167</v>
      </c>
    </row>
    <row r="124" spans="1:14">
      <c r="A124" s="30">
        <v>43043</v>
      </c>
      <c r="B124" t="s">
        <v>24</v>
      </c>
      <c r="C124">
        <v>107</v>
      </c>
      <c r="L124" s="30">
        <v>43046</v>
      </c>
      <c r="M124" t="s">
        <v>26</v>
      </c>
      <c r="N124">
        <v>148</v>
      </c>
    </row>
    <row r="125" spans="1:14">
      <c r="A125" s="30">
        <v>43041</v>
      </c>
      <c r="B125" t="s">
        <v>36</v>
      </c>
      <c r="C125">
        <v>15</v>
      </c>
      <c r="L125" s="30">
        <v>43042</v>
      </c>
      <c r="M125" t="s">
        <v>24</v>
      </c>
      <c r="N125">
        <v>167</v>
      </c>
    </row>
    <row r="126" spans="1:14">
      <c r="A126" s="30">
        <v>43041</v>
      </c>
      <c r="B126" t="s">
        <v>36</v>
      </c>
      <c r="C126">
        <v>7</v>
      </c>
      <c r="L126" s="30">
        <v>43047</v>
      </c>
      <c r="M126" t="s">
        <v>36</v>
      </c>
      <c r="N126">
        <v>25</v>
      </c>
    </row>
    <row r="127" spans="1:14">
      <c r="A127" s="30">
        <v>43046</v>
      </c>
      <c r="B127" t="s">
        <v>37</v>
      </c>
      <c r="C127">
        <v>178</v>
      </c>
      <c r="L127" s="30">
        <v>43043</v>
      </c>
      <c r="M127" t="s">
        <v>37</v>
      </c>
      <c r="N127">
        <v>130</v>
      </c>
    </row>
    <row r="128" spans="1:14">
      <c r="A128" s="30">
        <v>43042</v>
      </c>
      <c r="B128" t="s">
        <v>24</v>
      </c>
      <c r="C128">
        <v>159</v>
      </c>
      <c r="L128" s="30">
        <v>43043</v>
      </c>
      <c r="M128" t="s">
        <v>24</v>
      </c>
      <c r="N128">
        <v>19</v>
      </c>
    </row>
    <row r="129" spans="1:14">
      <c r="A129" s="30">
        <v>43042</v>
      </c>
      <c r="B129" t="s">
        <v>36</v>
      </c>
      <c r="C129">
        <v>48</v>
      </c>
      <c r="L129" s="30">
        <v>43040</v>
      </c>
      <c r="M129" t="s">
        <v>37</v>
      </c>
      <c r="N129">
        <v>33</v>
      </c>
    </row>
    <row r="130" spans="1:14">
      <c r="A130" s="30">
        <v>43043</v>
      </c>
      <c r="B130" t="s">
        <v>26</v>
      </c>
      <c r="C130">
        <v>12</v>
      </c>
      <c r="L130" s="30">
        <v>43046</v>
      </c>
      <c r="M130" t="s">
        <v>26</v>
      </c>
      <c r="N130">
        <v>86</v>
      </c>
    </row>
    <row r="131" spans="1:14">
      <c r="A131" s="30">
        <v>43041</v>
      </c>
      <c r="B131" t="s">
        <v>26</v>
      </c>
      <c r="C131">
        <v>163</v>
      </c>
      <c r="L131" s="30">
        <v>43047</v>
      </c>
      <c r="M131" t="s">
        <v>24</v>
      </c>
      <c r="N131">
        <v>50</v>
      </c>
    </row>
    <row r="132" spans="1:14">
      <c r="A132" s="30">
        <v>43041</v>
      </c>
      <c r="B132" t="s">
        <v>36</v>
      </c>
      <c r="C132">
        <v>133</v>
      </c>
      <c r="L132" s="30">
        <v>43044</v>
      </c>
      <c r="M132" t="s">
        <v>37</v>
      </c>
      <c r="N132">
        <v>68</v>
      </c>
    </row>
    <row r="133" spans="1:14">
      <c r="A133" s="30">
        <v>43042</v>
      </c>
      <c r="B133" t="s">
        <v>24</v>
      </c>
      <c r="C133">
        <v>63</v>
      </c>
      <c r="L133" s="30">
        <v>43041</v>
      </c>
      <c r="M133" t="s">
        <v>24</v>
      </c>
      <c r="N133">
        <v>77</v>
      </c>
    </row>
    <row r="134" spans="1:14">
      <c r="A134" s="30">
        <v>43040</v>
      </c>
      <c r="B134" t="s">
        <v>26</v>
      </c>
      <c r="C134">
        <v>95</v>
      </c>
      <c r="L134" s="30">
        <v>43042</v>
      </c>
      <c r="M134" t="s">
        <v>26</v>
      </c>
      <c r="N134">
        <v>20</v>
      </c>
    </row>
    <row r="135" spans="1:14">
      <c r="A135" s="30">
        <v>43042</v>
      </c>
      <c r="B135" t="s">
        <v>24</v>
      </c>
      <c r="C135">
        <v>51</v>
      </c>
      <c r="L135" s="30">
        <v>43040</v>
      </c>
      <c r="M135" t="s">
        <v>24</v>
      </c>
      <c r="N135">
        <v>132</v>
      </c>
    </row>
    <row r="136" spans="1:14">
      <c r="A136" s="30">
        <v>43045</v>
      </c>
      <c r="B136" t="s">
        <v>26</v>
      </c>
      <c r="C136">
        <v>75</v>
      </c>
      <c r="L136" s="30">
        <v>43047</v>
      </c>
      <c r="M136" t="s">
        <v>37</v>
      </c>
      <c r="N136">
        <v>4</v>
      </c>
    </row>
    <row r="137" spans="1:14">
      <c r="A137" s="30">
        <v>43043</v>
      </c>
      <c r="B137" t="s">
        <v>24</v>
      </c>
      <c r="C137">
        <v>174</v>
      </c>
      <c r="L137" s="30">
        <v>43045</v>
      </c>
      <c r="M137" t="s">
        <v>37</v>
      </c>
      <c r="N137">
        <v>153</v>
      </c>
    </row>
    <row r="138" spans="1:14">
      <c r="A138" s="30">
        <v>43040</v>
      </c>
      <c r="B138" t="s">
        <v>24</v>
      </c>
      <c r="C138">
        <v>150</v>
      </c>
      <c r="L138" s="30">
        <v>43047</v>
      </c>
      <c r="M138" t="s">
        <v>26</v>
      </c>
      <c r="N138">
        <v>29</v>
      </c>
    </row>
    <row r="139" spans="1:14">
      <c r="A139" s="30">
        <v>43043</v>
      </c>
      <c r="B139" t="s">
        <v>24</v>
      </c>
      <c r="C139">
        <v>4</v>
      </c>
      <c r="L139" s="30">
        <v>43042</v>
      </c>
      <c r="M139" t="s">
        <v>24</v>
      </c>
      <c r="N139">
        <v>98</v>
      </c>
    </row>
    <row r="140" spans="1:14">
      <c r="A140" s="30">
        <v>43040</v>
      </c>
      <c r="B140" t="s">
        <v>26</v>
      </c>
      <c r="C140">
        <v>87</v>
      </c>
      <c r="L140" s="30">
        <v>43046</v>
      </c>
      <c r="M140" t="s">
        <v>36</v>
      </c>
      <c r="N140">
        <v>89</v>
      </c>
    </row>
    <row r="141" spans="1:14">
      <c r="A141" s="30">
        <v>43040</v>
      </c>
      <c r="B141" t="s">
        <v>24</v>
      </c>
      <c r="C141">
        <v>105</v>
      </c>
      <c r="L141" s="30">
        <v>43042</v>
      </c>
      <c r="M141" t="s">
        <v>36</v>
      </c>
      <c r="N141">
        <v>129</v>
      </c>
    </row>
    <row r="142" spans="1:14">
      <c r="A142" s="30">
        <v>43045</v>
      </c>
      <c r="B142" t="s">
        <v>24</v>
      </c>
      <c r="C142">
        <v>129</v>
      </c>
      <c r="L142" s="30">
        <v>43046</v>
      </c>
      <c r="M142" t="s">
        <v>36</v>
      </c>
      <c r="N142">
        <v>165</v>
      </c>
    </row>
    <row r="143" spans="1:14">
      <c r="A143" s="30">
        <v>43047</v>
      </c>
      <c r="B143" t="s">
        <v>24</v>
      </c>
      <c r="C143">
        <v>9</v>
      </c>
      <c r="L143" s="30">
        <v>43043</v>
      </c>
      <c r="M143" t="s">
        <v>24</v>
      </c>
      <c r="N143">
        <v>169</v>
      </c>
    </row>
    <row r="144" spans="1:14">
      <c r="A144" s="30">
        <v>43044</v>
      </c>
      <c r="B144" t="s">
        <v>24</v>
      </c>
      <c r="C144">
        <v>90</v>
      </c>
      <c r="L144" s="30">
        <v>43040</v>
      </c>
      <c r="M144" t="s">
        <v>37</v>
      </c>
      <c r="N144">
        <v>191</v>
      </c>
    </row>
    <row r="145" spans="1:14">
      <c r="A145" s="30">
        <v>43041</v>
      </c>
      <c r="B145" t="s">
        <v>36</v>
      </c>
      <c r="C145">
        <v>14</v>
      </c>
      <c r="L145" s="30">
        <v>43047</v>
      </c>
      <c r="M145" t="s">
        <v>36</v>
      </c>
      <c r="N145">
        <v>120</v>
      </c>
    </row>
    <row r="146" spans="1:14">
      <c r="A146" s="30">
        <v>43041</v>
      </c>
      <c r="B146" t="s">
        <v>36</v>
      </c>
      <c r="C146">
        <v>134</v>
      </c>
      <c r="L146" s="30">
        <v>43046</v>
      </c>
      <c r="M146" t="s">
        <v>24</v>
      </c>
      <c r="N146">
        <v>188</v>
      </c>
    </row>
    <row r="147" spans="1:14">
      <c r="A147" s="30">
        <v>43047</v>
      </c>
      <c r="B147" t="s">
        <v>37</v>
      </c>
      <c r="C147">
        <v>102</v>
      </c>
      <c r="L147" s="30">
        <v>43045</v>
      </c>
      <c r="M147" t="s">
        <v>37</v>
      </c>
      <c r="N147">
        <v>101</v>
      </c>
    </row>
    <row r="148" spans="1:14">
      <c r="A148" s="30">
        <v>43042</v>
      </c>
      <c r="B148" t="s">
        <v>26</v>
      </c>
      <c r="C148">
        <v>46</v>
      </c>
      <c r="L148" s="30">
        <v>43044</v>
      </c>
      <c r="M148" t="s">
        <v>26</v>
      </c>
      <c r="N148">
        <v>73</v>
      </c>
    </row>
    <row r="149" spans="1:14">
      <c r="A149" s="30">
        <v>43046</v>
      </c>
      <c r="B149" t="s">
        <v>26</v>
      </c>
      <c r="C149">
        <v>182</v>
      </c>
      <c r="L149" s="30">
        <v>43046</v>
      </c>
      <c r="M149" t="s">
        <v>37</v>
      </c>
      <c r="N149">
        <v>139</v>
      </c>
    </row>
    <row r="150" spans="1:14">
      <c r="A150" s="30">
        <v>43041</v>
      </c>
      <c r="B150" t="s">
        <v>26</v>
      </c>
      <c r="C150">
        <v>190</v>
      </c>
      <c r="L150" s="30">
        <v>43042</v>
      </c>
      <c r="M150" t="s">
        <v>37</v>
      </c>
      <c r="N150">
        <v>168</v>
      </c>
    </row>
    <row r="151" spans="1:14">
      <c r="A151" s="30">
        <v>43045</v>
      </c>
      <c r="B151" t="s">
        <v>37</v>
      </c>
      <c r="C151">
        <v>13</v>
      </c>
      <c r="L151" s="30">
        <v>43046</v>
      </c>
      <c r="M151" t="s">
        <v>24</v>
      </c>
      <c r="N151">
        <v>150</v>
      </c>
    </row>
    <row r="152" spans="1:14">
      <c r="A152" s="30">
        <v>43045</v>
      </c>
      <c r="B152" t="s">
        <v>36</v>
      </c>
      <c r="C152">
        <v>132</v>
      </c>
      <c r="L152" s="30">
        <v>43046</v>
      </c>
      <c r="M152" t="s">
        <v>26</v>
      </c>
      <c r="N152">
        <v>24</v>
      </c>
    </row>
    <row r="153" spans="1:14">
      <c r="A153" s="30">
        <v>43047</v>
      </c>
      <c r="B153" t="s">
        <v>36</v>
      </c>
      <c r="C153">
        <v>52</v>
      </c>
      <c r="L153" s="30">
        <v>43045</v>
      </c>
      <c r="M153" t="s">
        <v>37</v>
      </c>
      <c r="N153">
        <v>94</v>
      </c>
    </row>
    <row r="154" spans="1:14">
      <c r="A154" s="30">
        <v>43040</v>
      </c>
      <c r="B154" t="s">
        <v>24</v>
      </c>
      <c r="C154">
        <v>105</v>
      </c>
      <c r="L154" s="30">
        <v>43040</v>
      </c>
      <c r="M154" t="s">
        <v>36</v>
      </c>
      <c r="N154">
        <v>171</v>
      </c>
    </row>
    <row r="155" spans="1:14">
      <c r="A155" s="30">
        <v>43041</v>
      </c>
      <c r="B155" t="s">
        <v>37</v>
      </c>
      <c r="C155">
        <v>142</v>
      </c>
      <c r="L155" s="30">
        <v>43044</v>
      </c>
      <c r="M155" t="s">
        <v>24</v>
      </c>
      <c r="N155">
        <v>119</v>
      </c>
    </row>
    <row r="156" spans="1:14">
      <c r="A156" s="30">
        <v>43047</v>
      </c>
      <c r="B156" t="s">
        <v>37</v>
      </c>
      <c r="C156">
        <v>132</v>
      </c>
      <c r="L156" s="30">
        <v>43047</v>
      </c>
      <c r="M156" t="s">
        <v>37</v>
      </c>
      <c r="N156">
        <v>157</v>
      </c>
    </row>
    <row r="157" spans="1:14">
      <c r="A157" s="30">
        <v>43043</v>
      </c>
      <c r="B157" t="s">
        <v>24</v>
      </c>
      <c r="C157">
        <v>116</v>
      </c>
      <c r="L157" s="30">
        <v>43045</v>
      </c>
      <c r="M157" t="s">
        <v>24</v>
      </c>
      <c r="N157">
        <v>46</v>
      </c>
    </row>
    <row r="158" spans="1:14">
      <c r="A158" s="30">
        <v>43047</v>
      </c>
      <c r="B158" t="s">
        <v>24</v>
      </c>
      <c r="C158">
        <v>89</v>
      </c>
      <c r="L158" s="30">
        <v>43047</v>
      </c>
      <c r="M158" t="s">
        <v>24</v>
      </c>
      <c r="N158">
        <v>191</v>
      </c>
    </row>
    <row r="159" spans="1:14">
      <c r="A159" s="30">
        <v>43042</v>
      </c>
      <c r="B159" t="s">
        <v>26</v>
      </c>
      <c r="C159">
        <v>156</v>
      </c>
      <c r="L159" s="30">
        <v>43040</v>
      </c>
      <c r="M159" t="s">
        <v>37</v>
      </c>
      <c r="N159">
        <v>83</v>
      </c>
    </row>
    <row r="160" spans="1:14">
      <c r="A160" s="30">
        <v>43045</v>
      </c>
      <c r="B160" t="s">
        <v>26</v>
      </c>
      <c r="C160">
        <v>136</v>
      </c>
      <c r="L160" s="30">
        <v>43042</v>
      </c>
      <c r="M160" t="s">
        <v>24</v>
      </c>
      <c r="N160">
        <v>106</v>
      </c>
    </row>
    <row r="161" spans="1:14">
      <c r="A161" s="30">
        <v>43043</v>
      </c>
      <c r="B161" t="s">
        <v>36</v>
      </c>
      <c r="C161">
        <v>77</v>
      </c>
      <c r="L161" s="30">
        <v>43046</v>
      </c>
      <c r="M161" t="s">
        <v>37</v>
      </c>
      <c r="N161">
        <v>53</v>
      </c>
    </row>
    <row r="162" spans="1:14">
      <c r="A162" s="30">
        <v>43044</v>
      </c>
      <c r="B162" t="s">
        <v>37</v>
      </c>
      <c r="C162">
        <v>97</v>
      </c>
      <c r="L162" s="30">
        <v>43046</v>
      </c>
      <c r="M162" t="s">
        <v>36</v>
      </c>
      <c r="N162">
        <v>178</v>
      </c>
    </row>
    <row r="163" spans="1:14">
      <c r="A163" s="30">
        <v>43047</v>
      </c>
      <c r="B163" t="s">
        <v>36</v>
      </c>
      <c r="C163">
        <v>121</v>
      </c>
      <c r="L163" s="30">
        <v>43044</v>
      </c>
      <c r="M163" t="s">
        <v>24</v>
      </c>
      <c r="N163">
        <v>134</v>
      </c>
    </row>
    <row r="164" spans="1:14">
      <c r="A164" s="30">
        <v>43041</v>
      </c>
      <c r="B164" t="s">
        <v>26</v>
      </c>
      <c r="C164">
        <v>3</v>
      </c>
      <c r="L164" s="30">
        <v>43045</v>
      </c>
      <c r="M164" t="s">
        <v>36</v>
      </c>
      <c r="N164">
        <v>74</v>
      </c>
    </row>
    <row r="165" spans="1:14">
      <c r="A165" s="30">
        <v>43043</v>
      </c>
      <c r="B165" t="s">
        <v>37</v>
      </c>
      <c r="C165">
        <v>56</v>
      </c>
      <c r="L165" s="30">
        <v>43040</v>
      </c>
      <c r="M165" t="s">
        <v>36</v>
      </c>
      <c r="N165">
        <v>38</v>
      </c>
    </row>
    <row r="166" spans="1:14">
      <c r="A166" s="30">
        <v>43043</v>
      </c>
      <c r="B166" t="s">
        <v>26</v>
      </c>
      <c r="C166">
        <v>177</v>
      </c>
      <c r="L166" s="30">
        <v>43043</v>
      </c>
      <c r="M166" t="s">
        <v>37</v>
      </c>
      <c r="N166">
        <v>185</v>
      </c>
    </row>
    <row r="167" spans="1:14">
      <c r="A167" s="30">
        <v>43043</v>
      </c>
      <c r="B167" t="s">
        <v>26</v>
      </c>
      <c r="C167">
        <v>140</v>
      </c>
      <c r="L167" s="30">
        <v>43042</v>
      </c>
      <c r="M167" t="s">
        <v>24</v>
      </c>
      <c r="N167">
        <v>145</v>
      </c>
    </row>
    <row r="168" spans="1:14">
      <c r="A168" s="30">
        <v>43047</v>
      </c>
      <c r="B168" t="s">
        <v>36</v>
      </c>
      <c r="C168">
        <v>173</v>
      </c>
      <c r="L168" s="30">
        <v>43046</v>
      </c>
      <c r="M168" t="s">
        <v>36</v>
      </c>
      <c r="N168">
        <v>119</v>
      </c>
    </row>
    <row r="169" spans="1:14">
      <c r="A169" s="30">
        <v>43045</v>
      </c>
      <c r="B169" t="s">
        <v>36</v>
      </c>
      <c r="C169">
        <v>27</v>
      </c>
      <c r="L169" s="30">
        <v>43045</v>
      </c>
      <c r="M169" t="s">
        <v>36</v>
      </c>
      <c r="N169">
        <v>178</v>
      </c>
    </row>
    <row r="170" spans="1:14">
      <c r="A170" s="30">
        <v>43043</v>
      </c>
      <c r="B170" t="s">
        <v>26</v>
      </c>
      <c r="C170">
        <v>87</v>
      </c>
      <c r="L170" s="30">
        <v>43041</v>
      </c>
      <c r="M170" t="s">
        <v>24</v>
      </c>
      <c r="N170">
        <v>171</v>
      </c>
    </row>
    <row r="171" spans="1:14">
      <c r="A171" s="30">
        <v>43043</v>
      </c>
      <c r="B171" t="s">
        <v>36</v>
      </c>
      <c r="C171">
        <v>20</v>
      </c>
      <c r="L171" s="30">
        <v>43040</v>
      </c>
      <c r="M171" t="s">
        <v>24</v>
      </c>
      <c r="N171">
        <v>33</v>
      </c>
    </row>
    <row r="172" spans="1:14">
      <c r="A172" s="30">
        <v>43043</v>
      </c>
      <c r="B172" t="s">
        <v>26</v>
      </c>
      <c r="C172">
        <v>191</v>
      </c>
      <c r="L172" s="30">
        <v>43044</v>
      </c>
      <c r="M172" t="s">
        <v>26</v>
      </c>
      <c r="N172">
        <v>32</v>
      </c>
    </row>
    <row r="173" spans="1:14">
      <c r="A173" s="30">
        <v>43040</v>
      </c>
      <c r="B173" t="s">
        <v>26</v>
      </c>
      <c r="C173">
        <v>70</v>
      </c>
      <c r="L173" s="30">
        <v>43045</v>
      </c>
      <c r="M173" t="s">
        <v>37</v>
      </c>
      <c r="N173">
        <v>24</v>
      </c>
    </row>
    <row r="174" spans="1:14">
      <c r="A174" s="30">
        <v>43043</v>
      </c>
      <c r="B174" t="s">
        <v>24</v>
      </c>
      <c r="C174">
        <v>186</v>
      </c>
      <c r="L174" s="30">
        <v>43043</v>
      </c>
      <c r="M174" t="s">
        <v>37</v>
      </c>
      <c r="N174">
        <v>166</v>
      </c>
    </row>
    <row r="175" spans="1:14">
      <c r="A175" s="30">
        <v>43043</v>
      </c>
      <c r="B175" t="s">
        <v>36</v>
      </c>
      <c r="C175">
        <v>126</v>
      </c>
      <c r="L175" s="30">
        <v>43043</v>
      </c>
      <c r="M175" t="s">
        <v>26</v>
      </c>
      <c r="N175">
        <v>107</v>
      </c>
    </row>
    <row r="176" spans="1:14">
      <c r="A176" s="30">
        <v>43040</v>
      </c>
      <c r="B176" t="s">
        <v>24</v>
      </c>
      <c r="C176">
        <v>3</v>
      </c>
      <c r="L176" s="30">
        <v>43040</v>
      </c>
      <c r="M176" t="s">
        <v>26</v>
      </c>
      <c r="N176">
        <v>179</v>
      </c>
    </row>
    <row r="177" spans="1:14">
      <c r="A177" s="30">
        <v>43043</v>
      </c>
      <c r="B177" t="s">
        <v>36</v>
      </c>
      <c r="C177">
        <v>92</v>
      </c>
      <c r="L177" s="30">
        <v>43043</v>
      </c>
      <c r="M177" t="s">
        <v>26</v>
      </c>
      <c r="N177">
        <v>164</v>
      </c>
    </row>
    <row r="178" spans="1:14">
      <c r="A178" s="30">
        <v>43043</v>
      </c>
      <c r="B178" t="s">
        <v>37</v>
      </c>
      <c r="C178">
        <v>3</v>
      </c>
      <c r="L178" s="30">
        <v>43045</v>
      </c>
      <c r="M178" t="s">
        <v>36</v>
      </c>
      <c r="N178">
        <v>175</v>
      </c>
    </row>
    <row r="179" spans="1:14">
      <c r="A179" s="30">
        <v>43044</v>
      </c>
      <c r="B179" t="s">
        <v>26</v>
      </c>
      <c r="C179">
        <v>82</v>
      </c>
      <c r="L179" s="30">
        <v>43043</v>
      </c>
      <c r="M179" t="s">
        <v>37</v>
      </c>
      <c r="N179">
        <v>55</v>
      </c>
    </row>
    <row r="180" spans="1:14">
      <c r="A180" s="30">
        <v>43040</v>
      </c>
      <c r="B180" t="s">
        <v>26</v>
      </c>
      <c r="C180">
        <v>99</v>
      </c>
      <c r="L180" s="30">
        <v>43046</v>
      </c>
      <c r="M180" t="s">
        <v>36</v>
      </c>
      <c r="N180">
        <v>165</v>
      </c>
    </row>
    <row r="181" spans="1:14">
      <c r="A181" s="30">
        <v>43045</v>
      </c>
      <c r="B181" t="s">
        <v>36</v>
      </c>
      <c r="C181">
        <v>131</v>
      </c>
      <c r="L181" s="30">
        <v>43047</v>
      </c>
      <c r="M181" t="s">
        <v>37</v>
      </c>
      <c r="N181">
        <v>142</v>
      </c>
    </row>
    <row r="182" spans="1:14">
      <c r="A182" s="30">
        <v>43040</v>
      </c>
      <c r="B182" t="s">
        <v>37</v>
      </c>
      <c r="C182">
        <v>175</v>
      </c>
      <c r="L182" s="30">
        <v>43041</v>
      </c>
      <c r="M182" t="s">
        <v>36</v>
      </c>
      <c r="N182">
        <v>67</v>
      </c>
    </row>
    <row r="183" spans="1:14">
      <c r="A183" s="30">
        <v>43043</v>
      </c>
      <c r="B183" t="s">
        <v>26</v>
      </c>
      <c r="C183">
        <v>41</v>
      </c>
      <c r="L183" s="30">
        <v>43046</v>
      </c>
      <c r="M183" t="s">
        <v>36</v>
      </c>
      <c r="N183">
        <v>73</v>
      </c>
    </row>
    <row r="184" spans="1:14">
      <c r="A184" s="30">
        <v>43043</v>
      </c>
      <c r="B184" t="s">
        <v>24</v>
      </c>
      <c r="C184">
        <v>14</v>
      </c>
      <c r="L184" s="30">
        <v>43044</v>
      </c>
      <c r="M184" t="s">
        <v>24</v>
      </c>
      <c r="N184">
        <v>21</v>
      </c>
    </row>
    <row r="185" spans="1:14">
      <c r="A185" s="30">
        <v>43045</v>
      </c>
      <c r="B185" t="s">
        <v>37</v>
      </c>
      <c r="C185">
        <v>122</v>
      </c>
      <c r="L185" s="30">
        <v>43047</v>
      </c>
      <c r="M185" t="s">
        <v>36</v>
      </c>
      <c r="N185">
        <v>40</v>
      </c>
    </row>
    <row r="186" spans="1:14">
      <c r="A186" s="30">
        <v>43041</v>
      </c>
      <c r="B186" t="s">
        <v>37</v>
      </c>
      <c r="C186">
        <v>48</v>
      </c>
      <c r="L186" s="30">
        <v>43042</v>
      </c>
      <c r="M186" t="s">
        <v>24</v>
      </c>
      <c r="N186">
        <v>175</v>
      </c>
    </row>
    <row r="187" spans="1:14">
      <c r="A187" s="30">
        <v>43042</v>
      </c>
      <c r="B187" t="s">
        <v>36</v>
      </c>
      <c r="C187">
        <v>57</v>
      </c>
      <c r="L187" s="30">
        <v>43040</v>
      </c>
      <c r="M187" t="s">
        <v>37</v>
      </c>
      <c r="N187">
        <v>187</v>
      </c>
    </row>
    <row r="188" spans="1:14">
      <c r="A188" s="30">
        <v>43047</v>
      </c>
      <c r="B188" t="s">
        <v>26</v>
      </c>
      <c r="C188">
        <v>113</v>
      </c>
      <c r="L188" s="30">
        <v>43045</v>
      </c>
      <c r="M188" t="s">
        <v>24</v>
      </c>
      <c r="N188">
        <v>167</v>
      </c>
    </row>
    <row r="189" spans="1:14">
      <c r="A189" s="30">
        <v>43047</v>
      </c>
      <c r="B189" t="s">
        <v>36</v>
      </c>
      <c r="C189">
        <v>186</v>
      </c>
      <c r="L189" s="30">
        <v>43046</v>
      </c>
      <c r="M189" t="s">
        <v>37</v>
      </c>
      <c r="N189">
        <v>70</v>
      </c>
    </row>
    <row r="190" spans="1:14">
      <c r="A190" s="30">
        <v>43043</v>
      </c>
      <c r="B190" t="s">
        <v>36</v>
      </c>
      <c r="C190">
        <v>102</v>
      </c>
      <c r="L190" s="30">
        <v>43043</v>
      </c>
      <c r="M190" t="s">
        <v>37</v>
      </c>
      <c r="N190">
        <v>72</v>
      </c>
    </row>
    <row r="191" spans="1:14">
      <c r="A191" s="30">
        <v>43040</v>
      </c>
      <c r="B191" t="s">
        <v>37</v>
      </c>
      <c r="C191">
        <v>77</v>
      </c>
      <c r="L191" s="30">
        <v>43047</v>
      </c>
      <c r="M191" t="s">
        <v>36</v>
      </c>
      <c r="N191">
        <v>103</v>
      </c>
    </row>
    <row r="192" spans="1:14">
      <c r="A192" s="30">
        <v>43043</v>
      </c>
      <c r="B192" t="s">
        <v>37</v>
      </c>
      <c r="C192">
        <v>4</v>
      </c>
      <c r="L192" s="30">
        <v>43044</v>
      </c>
      <c r="M192" t="s">
        <v>37</v>
      </c>
      <c r="N192">
        <v>88</v>
      </c>
    </row>
    <row r="193" spans="1:14">
      <c r="A193" s="30">
        <v>43045</v>
      </c>
      <c r="B193" t="s">
        <v>24</v>
      </c>
      <c r="C193">
        <v>127</v>
      </c>
      <c r="L193" s="30">
        <v>43043</v>
      </c>
      <c r="M193" t="s">
        <v>37</v>
      </c>
      <c r="N193">
        <v>134</v>
      </c>
    </row>
    <row r="194" spans="1:14">
      <c r="A194" s="30">
        <v>43047</v>
      </c>
      <c r="B194" t="s">
        <v>37</v>
      </c>
      <c r="C194">
        <v>172</v>
      </c>
      <c r="L194" s="30">
        <v>43045</v>
      </c>
      <c r="M194" t="s">
        <v>36</v>
      </c>
      <c r="N194">
        <v>40</v>
      </c>
    </row>
    <row r="195" spans="1:14">
      <c r="A195" s="30">
        <v>43040</v>
      </c>
      <c r="B195" t="s">
        <v>36</v>
      </c>
      <c r="C195">
        <v>86</v>
      </c>
      <c r="L195" s="30">
        <v>43041</v>
      </c>
      <c r="M195" t="s">
        <v>24</v>
      </c>
      <c r="N195">
        <v>19</v>
      </c>
    </row>
    <row r="196" spans="1:14">
      <c r="A196" s="30">
        <v>43044</v>
      </c>
      <c r="B196" t="s">
        <v>24</v>
      </c>
      <c r="C196">
        <v>177</v>
      </c>
      <c r="L196" s="30">
        <v>43043</v>
      </c>
      <c r="M196" t="s">
        <v>36</v>
      </c>
      <c r="N196">
        <v>6</v>
      </c>
    </row>
    <row r="197" spans="1:14">
      <c r="A197" s="30">
        <v>43041</v>
      </c>
      <c r="B197" t="s">
        <v>36</v>
      </c>
      <c r="C197">
        <v>103</v>
      </c>
      <c r="L197" s="30">
        <v>43044</v>
      </c>
      <c r="M197" t="s">
        <v>36</v>
      </c>
      <c r="N197">
        <v>93</v>
      </c>
    </row>
    <row r="198" spans="1:14">
      <c r="A198" s="30">
        <v>43043</v>
      </c>
      <c r="B198" t="s">
        <v>24</v>
      </c>
      <c r="C198">
        <v>84</v>
      </c>
      <c r="L198" s="30">
        <v>43045</v>
      </c>
      <c r="M198" t="s">
        <v>36</v>
      </c>
      <c r="N198">
        <v>147</v>
      </c>
    </row>
    <row r="199" spans="1:14">
      <c r="A199" s="30">
        <v>43044</v>
      </c>
      <c r="B199" t="s">
        <v>36</v>
      </c>
      <c r="C199">
        <v>118</v>
      </c>
      <c r="L199" s="30">
        <v>43046</v>
      </c>
      <c r="M199" t="s">
        <v>24</v>
      </c>
      <c r="N199">
        <v>37</v>
      </c>
    </row>
    <row r="200" spans="1:14">
      <c r="A200" s="30">
        <v>43046</v>
      </c>
      <c r="B200" t="s">
        <v>37</v>
      </c>
      <c r="C200">
        <v>66</v>
      </c>
      <c r="L200" s="30">
        <v>43045</v>
      </c>
      <c r="M200" t="s">
        <v>24</v>
      </c>
      <c r="N200">
        <v>8</v>
      </c>
    </row>
    <row r="201" spans="1:14">
      <c r="A201" s="30">
        <v>43042</v>
      </c>
      <c r="B201" t="s">
        <v>36</v>
      </c>
      <c r="C201">
        <v>168</v>
      </c>
      <c r="L201" s="30">
        <v>43044</v>
      </c>
      <c r="M201" t="s">
        <v>26</v>
      </c>
      <c r="N201">
        <v>137</v>
      </c>
    </row>
    <row r="202" spans="1:14">
      <c r="A202" s="30">
        <v>43043</v>
      </c>
      <c r="B202" t="s">
        <v>24</v>
      </c>
      <c r="C202">
        <v>155</v>
      </c>
      <c r="L202" s="30">
        <v>43041</v>
      </c>
      <c r="M202" t="s">
        <v>24</v>
      </c>
      <c r="N202">
        <v>100</v>
      </c>
    </row>
    <row r="203" spans="1:14">
      <c r="A203" s="30">
        <v>43045</v>
      </c>
      <c r="B203" t="s">
        <v>24</v>
      </c>
      <c r="C203">
        <v>145</v>
      </c>
      <c r="L203" s="30">
        <v>43045</v>
      </c>
      <c r="M203" t="s">
        <v>37</v>
      </c>
      <c r="N203">
        <v>143</v>
      </c>
    </row>
    <row r="204" spans="1:14">
      <c r="A204" s="30">
        <v>43040</v>
      </c>
      <c r="B204" t="s">
        <v>24</v>
      </c>
      <c r="C204">
        <v>98</v>
      </c>
      <c r="L204" s="30">
        <v>43046</v>
      </c>
      <c r="M204" t="s">
        <v>24</v>
      </c>
      <c r="N204">
        <v>99</v>
      </c>
    </row>
    <row r="205" spans="1:14">
      <c r="A205" s="30">
        <v>43045</v>
      </c>
      <c r="B205" t="s">
        <v>24</v>
      </c>
      <c r="C205">
        <v>46</v>
      </c>
      <c r="L205" s="30">
        <v>43046</v>
      </c>
      <c r="M205" t="s">
        <v>26</v>
      </c>
      <c r="N205">
        <v>171</v>
      </c>
    </row>
    <row r="206" spans="1:14">
      <c r="A206" s="30">
        <v>43040</v>
      </c>
      <c r="B206" t="s">
        <v>26</v>
      </c>
      <c r="C206">
        <v>42</v>
      </c>
      <c r="L206" s="30">
        <v>43047</v>
      </c>
      <c r="M206" t="s">
        <v>24</v>
      </c>
      <c r="N206">
        <v>30</v>
      </c>
    </row>
    <row r="207" spans="1:14">
      <c r="A207" s="30">
        <v>43047</v>
      </c>
      <c r="B207" t="s">
        <v>24</v>
      </c>
      <c r="C207">
        <v>156</v>
      </c>
      <c r="L207" s="30">
        <v>43046</v>
      </c>
      <c r="M207" t="s">
        <v>24</v>
      </c>
      <c r="N207">
        <v>145</v>
      </c>
    </row>
    <row r="208" spans="1:14">
      <c r="A208" s="30">
        <v>43040</v>
      </c>
      <c r="B208" t="s">
        <v>36</v>
      </c>
      <c r="C208">
        <v>20</v>
      </c>
      <c r="L208" s="30">
        <v>43041</v>
      </c>
      <c r="M208" t="s">
        <v>36</v>
      </c>
      <c r="N208">
        <v>125</v>
      </c>
    </row>
    <row r="209" spans="1:14">
      <c r="A209" s="30">
        <v>43045</v>
      </c>
      <c r="B209" t="s">
        <v>24</v>
      </c>
      <c r="C209">
        <v>75</v>
      </c>
      <c r="L209" s="30">
        <v>43042</v>
      </c>
      <c r="M209" t="s">
        <v>24</v>
      </c>
      <c r="N209">
        <v>25</v>
      </c>
    </row>
    <row r="210" spans="1:14">
      <c r="A210" s="30">
        <v>43042</v>
      </c>
      <c r="B210" t="s">
        <v>24</v>
      </c>
      <c r="C210">
        <v>108</v>
      </c>
      <c r="L210" s="30">
        <v>43045</v>
      </c>
      <c r="M210" t="s">
        <v>37</v>
      </c>
      <c r="N210">
        <v>126</v>
      </c>
    </row>
    <row r="211" spans="1:14">
      <c r="A211" s="30">
        <v>43043</v>
      </c>
      <c r="B211" t="s">
        <v>37</v>
      </c>
      <c r="C211">
        <v>129</v>
      </c>
      <c r="L211" s="30">
        <v>43045</v>
      </c>
      <c r="M211" t="s">
        <v>24</v>
      </c>
      <c r="N211">
        <v>18</v>
      </c>
    </row>
    <row r="212" spans="1:14">
      <c r="A212" s="30">
        <v>43044</v>
      </c>
      <c r="B212" t="s">
        <v>26</v>
      </c>
      <c r="C212">
        <v>113</v>
      </c>
      <c r="L212" s="30">
        <v>43044</v>
      </c>
      <c r="M212" t="s">
        <v>37</v>
      </c>
      <c r="N212">
        <v>161</v>
      </c>
    </row>
    <row r="213" spans="1:14">
      <c r="A213" s="30">
        <v>43040</v>
      </c>
      <c r="B213" t="s">
        <v>37</v>
      </c>
      <c r="C213">
        <v>118</v>
      </c>
      <c r="L213" s="30">
        <v>43043</v>
      </c>
      <c r="M213" t="s">
        <v>24</v>
      </c>
      <c r="N213">
        <v>166</v>
      </c>
    </row>
    <row r="214" spans="1:14">
      <c r="A214" s="30">
        <v>43041</v>
      </c>
      <c r="B214" t="s">
        <v>26</v>
      </c>
      <c r="C214">
        <v>46</v>
      </c>
      <c r="L214" s="30">
        <v>43042</v>
      </c>
      <c r="M214" t="s">
        <v>37</v>
      </c>
      <c r="N214">
        <v>29</v>
      </c>
    </row>
    <row r="215" spans="1:14">
      <c r="A215" s="30">
        <v>43043</v>
      </c>
      <c r="B215" t="s">
        <v>24</v>
      </c>
      <c r="C215">
        <v>72</v>
      </c>
      <c r="L215" s="30">
        <v>43041</v>
      </c>
      <c r="M215" t="s">
        <v>26</v>
      </c>
      <c r="N215">
        <v>63</v>
      </c>
    </row>
    <row r="216" spans="1:14">
      <c r="A216" s="30">
        <v>43046</v>
      </c>
      <c r="B216" t="s">
        <v>24</v>
      </c>
      <c r="C216">
        <v>96</v>
      </c>
      <c r="L216" s="30">
        <v>43043</v>
      </c>
      <c r="M216" t="s">
        <v>26</v>
      </c>
      <c r="N216">
        <v>11</v>
      </c>
    </row>
    <row r="217" spans="1:14">
      <c r="A217" s="30">
        <v>43042</v>
      </c>
      <c r="B217" t="s">
        <v>24</v>
      </c>
      <c r="C217">
        <v>69</v>
      </c>
      <c r="L217" s="30">
        <v>43044</v>
      </c>
      <c r="M217" t="s">
        <v>36</v>
      </c>
      <c r="N217">
        <v>157</v>
      </c>
    </row>
    <row r="218" spans="1:14">
      <c r="A218" s="30">
        <v>43042</v>
      </c>
      <c r="B218" t="s">
        <v>37</v>
      </c>
      <c r="C218">
        <v>149</v>
      </c>
      <c r="L218" s="30">
        <v>43042</v>
      </c>
      <c r="M218" t="s">
        <v>24</v>
      </c>
      <c r="N218">
        <v>12</v>
      </c>
    </row>
    <row r="219" spans="1:14">
      <c r="A219" s="30">
        <v>43040</v>
      </c>
      <c r="B219" t="s">
        <v>37</v>
      </c>
      <c r="C219">
        <v>38</v>
      </c>
      <c r="L219" s="30">
        <v>43045</v>
      </c>
      <c r="M219" t="s">
        <v>36</v>
      </c>
      <c r="N219">
        <v>71</v>
      </c>
    </row>
    <row r="220" spans="1:14">
      <c r="A220" s="30">
        <v>43042</v>
      </c>
      <c r="B220" t="s">
        <v>26</v>
      </c>
      <c r="C220">
        <v>161</v>
      </c>
      <c r="L220" s="30">
        <v>43043</v>
      </c>
      <c r="M220" t="s">
        <v>37</v>
      </c>
      <c r="N220">
        <v>153</v>
      </c>
    </row>
    <row r="221" spans="1:14">
      <c r="A221" s="30">
        <v>43043</v>
      </c>
      <c r="B221" t="s">
        <v>24</v>
      </c>
      <c r="C221">
        <v>157</v>
      </c>
      <c r="L221" s="30">
        <v>43044</v>
      </c>
      <c r="M221" t="s">
        <v>26</v>
      </c>
      <c r="N221">
        <v>95</v>
      </c>
    </row>
    <row r="222" spans="1:14">
      <c r="A222" s="30">
        <v>43040</v>
      </c>
      <c r="B222" t="s">
        <v>26</v>
      </c>
      <c r="C222">
        <v>86</v>
      </c>
      <c r="L222" s="30">
        <v>43044</v>
      </c>
      <c r="M222" t="s">
        <v>26</v>
      </c>
      <c r="N222">
        <v>31</v>
      </c>
    </row>
    <row r="223" spans="1:14">
      <c r="A223" s="30">
        <v>43042</v>
      </c>
      <c r="B223" t="s">
        <v>37</v>
      </c>
      <c r="C223">
        <v>78</v>
      </c>
      <c r="L223" s="30">
        <v>43044</v>
      </c>
      <c r="M223" t="s">
        <v>37</v>
      </c>
      <c r="N223">
        <v>47</v>
      </c>
    </row>
    <row r="224" spans="1:14">
      <c r="A224" s="30">
        <v>43040</v>
      </c>
      <c r="B224" t="s">
        <v>24</v>
      </c>
      <c r="C224">
        <v>125</v>
      </c>
      <c r="L224" s="30">
        <v>43044</v>
      </c>
      <c r="M224" t="s">
        <v>37</v>
      </c>
      <c r="N224">
        <v>147</v>
      </c>
    </row>
    <row r="225" spans="1:14">
      <c r="A225" s="30">
        <v>43045</v>
      </c>
      <c r="B225" t="s">
        <v>24</v>
      </c>
      <c r="C225">
        <v>48</v>
      </c>
      <c r="L225" s="30">
        <v>43047</v>
      </c>
      <c r="M225" t="s">
        <v>24</v>
      </c>
      <c r="N225">
        <v>135</v>
      </c>
    </row>
    <row r="226" spans="1:14">
      <c r="A226" s="30">
        <v>43047</v>
      </c>
      <c r="B226" t="s">
        <v>37</v>
      </c>
      <c r="C226">
        <v>71</v>
      </c>
      <c r="L226" s="30">
        <v>43040</v>
      </c>
      <c r="M226" t="s">
        <v>24</v>
      </c>
      <c r="N226">
        <v>78</v>
      </c>
    </row>
    <row r="227" spans="1:14">
      <c r="A227" s="30">
        <v>43043</v>
      </c>
      <c r="B227" t="s">
        <v>24</v>
      </c>
      <c r="C227">
        <v>32</v>
      </c>
      <c r="L227" s="30">
        <v>43046</v>
      </c>
      <c r="M227" t="s">
        <v>24</v>
      </c>
      <c r="N227">
        <v>94</v>
      </c>
    </row>
    <row r="228" spans="1:14">
      <c r="A228" s="30">
        <v>43045</v>
      </c>
      <c r="B228" t="s">
        <v>36</v>
      </c>
      <c r="C228">
        <v>161</v>
      </c>
      <c r="L228" s="30">
        <v>43040</v>
      </c>
      <c r="M228" t="s">
        <v>36</v>
      </c>
      <c r="N228">
        <v>97</v>
      </c>
    </row>
    <row r="229" spans="1:14">
      <c r="A229" s="30">
        <v>43047</v>
      </c>
      <c r="B229" t="s">
        <v>24</v>
      </c>
      <c r="C229">
        <v>65</v>
      </c>
      <c r="L229" s="30">
        <v>43045</v>
      </c>
      <c r="M229" t="s">
        <v>26</v>
      </c>
      <c r="N229">
        <v>170</v>
      </c>
    </row>
    <row r="230" spans="1:14">
      <c r="A230" s="30">
        <v>43040</v>
      </c>
      <c r="B230" t="s">
        <v>26</v>
      </c>
      <c r="C230">
        <v>189</v>
      </c>
      <c r="L230" s="30">
        <v>43046</v>
      </c>
      <c r="M230" t="s">
        <v>26</v>
      </c>
      <c r="N230">
        <v>100</v>
      </c>
    </row>
    <row r="231" spans="1:14">
      <c r="A231" s="30">
        <v>43045</v>
      </c>
      <c r="B231" t="s">
        <v>37</v>
      </c>
      <c r="C231">
        <v>181</v>
      </c>
      <c r="L231" s="30">
        <v>43041</v>
      </c>
      <c r="M231" t="s">
        <v>24</v>
      </c>
      <c r="N231">
        <v>57</v>
      </c>
    </row>
    <row r="232" spans="1:14">
      <c r="A232" s="30">
        <v>43044</v>
      </c>
      <c r="B232" t="s">
        <v>24</v>
      </c>
      <c r="C232">
        <v>48</v>
      </c>
      <c r="L232" s="30">
        <v>43044</v>
      </c>
      <c r="M232" t="s">
        <v>37</v>
      </c>
      <c r="N232">
        <v>133</v>
      </c>
    </row>
    <row r="233" spans="1:14">
      <c r="A233" s="30">
        <v>43044</v>
      </c>
      <c r="B233" t="s">
        <v>24</v>
      </c>
      <c r="C233">
        <v>132</v>
      </c>
      <c r="L233" s="30">
        <v>43045</v>
      </c>
      <c r="M233" t="s">
        <v>36</v>
      </c>
      <c r="N233">
        <v>176</v>
      </c>
    </row>
    <row r="234" spans="1:14">
      <c r="A234" s="30">
        <v>43045</v>
      </c>
      <c r="B234" t="s">
        <v>37</v>
      </c>
      <c r="C234">
        <v>54</v>
      </c>
      <c r="L234" s="30">
        <v>43041</v>
      </c>
      <c r="M234" t="s">
        <v>24</v>
      </c>
      <c r="N234">
        <v>165</v>
      </c>
    </row>
    <row r="235" spans="1:14">
      <c r="A235" s="30">
        <v>43044</v>
      </c>
      <c r="B235" t="s">
        <v>37</v>
      </c>
      <c r="C235">
        <v>103</v>
      </c>
      <c r="L235" s="30">
        <v>43040</v>
      </c>
      <c r="M235" t="s">
        <v>36</v>
      </c>
      <c r="N235">
        <v>182</v>
      </c>
    </row>
    <row r="236" spans="1:14">
      <c r="A236" s="30">
        <v>43043</v>
      </c>
      <c r="B236" t="s">
        <v>36</v>
      </c>
      <c r="C236">
        <v>129</v>
      </c>
      <c r="L236" s="30">
        <v>43043</v>
      </c>
      <c r="M236" t="s">
        <v>26</v>
      </c>
      <c r="N236">
        <v>72</v>
      </c>
    </row>
    <row r="237" spans="1:14">
      <c r="A237" s="30">
        <v>43042</v>
      </c>
      <c r="B237" t="s">
        <v>37</v>
      </c>
      <c r="C237">
        <v>104</v>
      </c>
      <c r="L237" s="30">
        <v>43045</v>
      </c>
      <c r="M237" t="s">
        <v>26</v>
      </c>
      <c r="N237">
        <v>45</v>
      </c>
    </row>
    <row r="238" spans="1:14">
      <c r="A238" s="30">
        <v>43047</v>
      </c>
      <c r="B238" t="s">
        <v>36</v>
      </c>
      <c r="C238">
        <v>121</v>
      </c>
      <c r="L238" s="30">
        <v>43047</v>
      </c>
      <c r="M238" t="s">
        <v>37</v>
      </c>
      <c r="N238">
        <v>52</v>
      </c>
    </row>
    <row r="239" spans="1:14">
      <c r="A239" s="30">
        <v>43043</v>
      </c>
      <c r="B239" t="s">
        <v>24</v>
      </c>
      <c r="C239">
        <v>148</v>
      </c>
      <c r="L239" s="30">
        <v>43047</v>
      </c>
      <c r="M239" t="s">
        <v>36</v>
      </c>
      <c r="N239">
        <v>10</v>
      </c>
    </row>
    <row r="240" spans="1:14">
      <c r="A240" s="30">
        <v>43044</v>
      </c>
      <c r="B240" t="s">
        <v>24</v>
      </c>
      <c r="C240">
        <v>79</v>
      </c>
      <c r="L240" s="30">
        <v>43046</v>
      </c>
      <c r="M240" t="s">
        <v>24</v>
      </c>
      <c r="N240">
        <v>167</v>
      </c>
    </row>
    <row r="241" spans="1:14">
      <c r="A241" s="30">
        <v>43046</v>
      </c>
      <c r="B241" t="s">
        <v>37</v>
      </c>
      <c r="C241">
        <v>180</v>
      </c>
      <c r="L241" s="30">
        <v>43041</v>
      </c>
      <c r="M241" t="s">
        <v>24</v>
      </c>
      <c r="N241">
        <v>49</v>
      </c>
    </row>
    <row r="242" spans="1:14">
      <c r="A242" s="30">
        <v>43040</v>
      </c>
      <c r="B242" t="s">
        <v>37</v>
      </c>
      <c r="C242">
        <v>154</v>
      </c>
      <c r="L242" s="30">
        <v>43044</v>
      </c>
      <c r="M242" t="s">
        <v>36</v>
      </c>
      <c r="N242">
        <v>51</v>
      </c>
    </row>
    <row r="243" spans="1:14">
      <c r="A243" s="30">
        <v>43047</v>
      </c>
      <c r="B243" t="s">
        <v>24</v>
      </c>
      <c r="C243">
        <v>103</v>
      </c>
      <c r="L243" s="30">
        <v>43044</v>
      </c>
      <c r="M243" t="s">
        <v>36</v>
      </c>
      <c r="N243">
        <v>146</v>
      </c>
    </row>
    <row r="244" spans="1:14">
      <c r="A244" s="30">
        <v>43047</v>
      </c>
      <c r="B244" t="s">
        <v>26</v>
      </c>
      <c r="C244">
        <v>161</v>
      </c>
      <c r="L244" s="30">
        <v>43043</v>
      </c>
      <c r="M244" t="s">
        <v>26</v>
      </c>
      <c r="N244">
        <v>138</v>
      </c>
    </row>
    <row r="245" spans="1:14">
      <c r="A245" s="30">
        <v>43047</v>
      </c>
      <c r="B245" t="s">
        <v>37</v>
      </c>
      <c r="C245">
        <v>96</v>
      </c>
      <c r="L245" s="30">
        <v>43047</v>
      </c>
      <c r="M245" t="s">
        <v>26</v>
      </c>
      <c r="N245">
        <v>162</v>
      </c>
    </row>
    <row r="246" spans="1:14">
      <c r="A246" s="30">
        <v>43044</v>
      </c>
      <c r="B246" t="s">
        <v>37</v>
      </c>
      <c r="C246">
        <v>180</v>
      </c>
      <c r="L246" s="30">
        <v>43046</v>
      </c>
      <c r="M246" t="s">
        <v>36</v>
      </c>
      <c r="N246">
        <v>134</v>
      </c>
    </row>
    <row r="247" spans="1:14">
      <c r="A247" s="30">
        <v>43047</v>
      </c>
      <c r="B247" t="s">
        <v>24</v>
      </c>
      <c r="C247">
        <v>40</v>
      </c>
      <c r="L247" s="30">
        <v>43046</v>
      </c>
      <c r="M247" t="s">
        <v>26</v>
      </c>
      <c r="N247">
        <v>177</v>
      </c>
    </row>
    <row r="248" spans="1:14">
      <c r="A248" s="30">
        <v>43043</v>
      </c>
      <c r="B248" t="s">
        <v>36</v>
      </c>
      <c r="C248">
        <v>127</v>
      </c>
      <c r="L248" s="30">
        <v>43046</v>
      </c>
      <c r="M248" t="s">
        <v>24</v>
      </c>
      <c r="N248">
        <v>131</v>
      </c>
    </row>
    <row r="249" spans="1:14">
      <c r="A249" s="30">
        <v>43047</v>
      </c>
      <c r="B249" t="s">
        <v>26</v>
      </c>
      <c r="C249">
        <v>165</v>
      </c>
      <c r="L249" s="30">
        <v>43045</v>
      </c>
      <c r="M249" t="s">
        <v>24</v>
      </c>
      <c r="N249">
        <v>97</v>
      </c>
    </row>
    <row r="250" spans="1:14">
      <c r="A250" s="30">
        <v>43047</v>
      </c>
      <c r="B250" t="s">
        <v>26</v>
      </c>
      <c r="C250">
        <v>148</v>
      </c>
      <c r="L250" s="30">
        <v>43040</v>
      </c>
      <c r="M250" t="s">
        <v>36</v>
      </c>
      <c r="N250">
        <v>67</v>
      </c>
    </row>
    <row r="251" spans="1:14">
      <c r="A251" s="30">
        <v>43045</v>
      </c>
      <c r="B251" t="s">
        <v>37</v>
      </c>
      <c r="C251">
        <v>132</v>
      </c>
      <c r="L251" s="30">
        <v>43047</v>
      </c>
      <c r="M251" t="s">
        <v>36</v>
      </c>
      <c r="N251">
        <v>91</v>
      </c>
    </row>
    <row r="252" spans="1:14">
      <c r="A252" s="30">
        <v>43045</v>
      </c>
      <c r="B252" t="s">
        <v>26</v>
      </c>
      <c r="C252">
        <v>24</v>
      </c>
      <c r="L252" s="30">
        <v>43045</v>
      </c>
      <c r="M252" t="s">
        <v>26</v>
      </c>
      <c r="N252">
        <v>24</v>
      </c>
    </row>
    <row r="253" spans="1:14">
      <c r="A253" s="30">
        <v>43042</v>
      </c>
      <c r="B253" t="s">
        <v>24</v>
      </c>
      <c r="C253">
        <v>131</v>
      </c>
      <c r="L253" s="30">
        <v>43047</v>
      </c>
      <c r="M253" t="s">
        <v>36</v>
      </c>
      <c r="N253">
        <v>84</v>
      </c>
    </row>
    <row r="254" spans="1:14">
      <c r="A254" s="30">
        <v>43045</v>
      </c>
      <c r="B254" t="s">
        <v>26</v>
      </c>
      <c r="C254">
        <v>38</v>
      </c>
      <c r="L254" s="30">
        <v>43042</v>
      </c>
      <c r="M254" t="s">
        <v>26</v>
      </c>
      <c r="N254">
        <v>137</v>
      </c>
    </row>
    <row r="255" spans="1:14">
      <c r="A255" s="30">
        <v>43042</v>
      </c>
      <c r="B255" t="s">
        <v>26</v>
      </c>
      <c r="C255">
        <v>114</v>
      </c>
      <c r="L255" s="30">
        <v>43045</v>
      </c>
      <c r="M255" t="s">
        <v>36</v>
      </c>
      <c r="N255">
        <v>176</v>
      </c>
    </row>
    <row r="256" spans="1:14">
      <c r="A256" s="30">
        <v>43042</v>
      </c>
      <c r="B256" t="s">
        <v>36</v>
      </c>
      <c r="C256">
        <v>27</v>
      </c>
      <c r="L256" s="30">
        <v>43045</v>
      </c>
      <c r="M256" t="s">
        <v>24</v>
      </c>
      <c r="N256">
        <v>30</v>
      </c>
    </row>
    <row r="257" spans="1:14">
      <c r="A257" s="30">
        <v>43046</v>
      </c>
      <c r="B257" t="s">
        <v>36</v>
      </c>
      <c r="C257">
        <v>29</v>
      </c>
      <c r="L257" s="30">
        <v>43042</v>
      </c>
      <c r="M257" t="s">
        <v>26</v>
      </c>
      <c r="N257">
        <v>7</v>
      </c>
    </row>
    <row r="258" spans="1:14">
      <c r="A258" s="30">
        <v>43041</v>
      </c>
      <c r="B258" t="s">
        <v>26</v>
      </c>
      <c r="C258">
        <v>155</v>
      </c>
      <c r="L258" s="30">
        <v>43046</v>
      </c>
      <c r="M258" t="s">
        <v>36</v>
      </c>
      <c r="N258">
        <v>168</v>
      </c>
    </row>
    <row r="259" spans="1:14">
      <c r="A259" s="30">
        <v>43041</v>
      </c>
      <c r="B259" t="s">
        <v>26</v>
      </c>
      <c r="C259">
        <v>45</v>
      </c>
      <c r="L259" s="30">
        <v>43045</v>
      </c>
      <c r="M259" t="s">
        <v>37</v>
      </c>
      <c r="N259">
        <v>23</v>
      </c>
    </row>
    <row r="260" spans="1:14">
      <c r="A260" s="30">
        <v>43043</v>
      </c>
      <c r="B260" t="s">
        <v>37</v>
      </c>
      <c r="C260">
        <v>156</v>
      </c>
      <c r="L260" s="30">
        <v>43040</v>
      </c>
      <c r="M260" t="s">
        <v>24</v>
      </c>
      <c r="N260">
        <v>109</v>
      </c>
    </row>
    <row r="261" spans="1:14">
      <c r="A261" s="30">
        <v>43043</v>
      </c>
      <c r="B261" t="s">
        <v>36</v>
      </c>
      <c r="C261">
        <v>81</v>
      </c>
      <c r="L261" s="30">
        <v>43043</v>
      </c>
      <c r="M261" t="s">
        <v>36</v>
      </c>
      <c r="N261">
        <v>45</v>
      </c>
    </row>
    <row r="262" spans="1:14">
      <c r="A262" s="30">
        <v>43040</v>
      </c>
      <c r="B262" t="s">
        <v>24</v>
      </c>
      <c r="C262">
        <v>56</v>
      </c>
      <c r="L262" s="30">
        <v>43040</v>
      </c>
      <c r="M262" t="s">
        <v>37</v>
      </c>
      <c r="N262">
        <v>86</v>
      </c>
    </row>
    <row r="263" spans="1:14">
      <c r="A263" s="30">
        <v>43043</v>
      </c>
      <c r="B263" t="s">
        <v>36</v>
      </c>
      <c r="C263">
        <v>12</v>
      </c>
      <c r="L263" s="30">
        <v>43043</v>
      </c>
      <c r="M263" t="s">
        <v>36</v>
      </c>
      <c r="N263">
        <v>130</v>
      </c>
    </row>
    <row r="264" spans="1:14">
      <c r="A264" s="30">
        <v>43046</v>
      </c>
      <c r="B264" t="s">
        <v>26</v>
      </c>
      <c r="C264">
        <v>116</v>
      </c>
      <c r="L264" s="30">
        <v>43041</v>
      </c>
      <c r="M264" t="s">
        <v>36</v>
      </c>
      <c r="N264">
        <v>61</v>
      </c>
    </row>
    <row r="265" spans="1:14">
      <c r="A265" s="30">
        <v>43043</v>
      </c>
      <c r="B265" t="s">
        <v>24</v>
      </c>
      <c r="C265">
        <v>145</v>
      </c>
      <c r="L265" s="30">
        <v>43044</v>
      </c>
      <c r="M265" t="s">
        <v>36</v>
      </c>
      <c r="N265">
        <v>134</v>
      </c>
    </row>
    <row r="266" spans="1:14">
      <c r="A266" s="30">
        <v>43044</v>
      </c>
      <c r="B266" t="s">
        <v>37</v>
      </c>
      <c r="C266">
        <v>19</v>
      </c>
      <c r="L266" s="30">
        <v>43047</v>
      </c>
      <c r="M266" t="s">
        <v>37</v>
      </c>
      <c r="N266">
        <v>62</v>
      </c>
    </row>
    <row r="267" spans="1:14">
      <c r="A267" s="30">
        <v>43041</v>
      </c>
      <c r="B267" t="s">
        <v>24</v>
      </c>
      <c r="C267">
        <v>27</v>
      </c>
      <c r="L267" s="30">
        <v>43044</v>
      </c>
      <c r="M267" t="s">
        <v>26</v>
      </c>
      <c r="N267">
        <v>85</v>
      </c>
    </row>
    <row r="268" spans="1:14">
      <c r="A268" s="30">
        <v>43044</v>
      </c>
      <c r="B268" t="s">
        <v>24</v>
      </c>
      <c r="C268">
        <v>180</v>
      </c>
      <c r="L268" s="30">
        <v>43042</v>
      </c>
      <c r="M268" t="s">
        <v>24</v>
      </c>
      <c r="N268">
        <v>22</v>
      </c>
    </row>
    <row r="269" spans="1:14">
      <c r="A269" s="30">
        <v>43044</v>
      </c>
      <c r="B269" t="s">
        <v>37</v>
      </c>
      <c r="C269">
        <v>29</v>
      </c>
      <c r="L269" s="30">
        <v>43040</v>
      </c>
      <c r="M269" t="s">
        <v>26</v>
      </c>
      <c r="N269">
        <v>2</v>
      </c>
    </row>
    <row r="270" spans="1:14">
      <c r="A270" s="30">
        <v>43041</v>
      </c>
      <c r="B270" t="s">
        <v>37</v>
      </c>
      <c r="C270">
        <v>151</v>
      </c>
      <c r="L270" s="30">
        <v>43047</v>
      </c>
      <c r="M270" t="s">
        <v>37</v>
      </c>
      <c r="N270">
        <v>89</v>
      </c>
    </row>
    <row r="271" spans="1:14">
      <c r="A271" s="30">
        <v>43041</v>
      </c>
      <c r="B271" t="s">
        <v>26</v>
      </c>
      <c r="C271">
        <v>162</v>
      </c>
      <c r="L271" s="30">
        <v>43044</v>
      </c>
      <c r="M271" t="s">
        <v>37</v>
      </c>
      <c r="N271">
        <v>142</v>
      </c>
    </row>
    <row r="272" spans="1:14">
      <c r="A272" s="30">
        <v>43045</v>
      </c>
      <c r="B272" t="s">
        <v>24</v>
      </c>
      <c r="C272">
        <v>22</v>
      </c>
      <c r="L272" s="30">
        <v>43040</v>
      </c>
      <c r="M272" t="s">
        <v>24</v>
      </c>
      <c r="N272">
        <v>182</v>
      </c>
    </row>
    <row r="273" spans="1:14">
      <c r="A273" s="30">
        <v>43047</v>
      </c>
      <c r="B273" t="s">
        <v>36</v>
      </c>
      <c r="C273">
        <v>11</v>
      </c>
      <c r="L273" s="30">
        <v>43043</v>
      </c>
      <c r="M273" t="s">
        <v>37</v>
      </c>
      <c r="N273">
        <v>165</v>
      </c>
    </row>
    <row r="274" spans="1:14">
      <c r="A274" s="30">
        <v>43047</v>
      </c>
      <c r="B274" t="s">
        <v>24</v>
      </c>
      <c r="C274">
        <v>182</v>
      </c>
      <c r="L274" s="30">
        <v>43040</v>
      </c>
      <c r="M274" t="s">
        <v>37</v>
      </c>
      <c r="N274">
        <v>128</v>
      </c>
    </row>
    <row r="275" spans="1:14">
      <c r="A275" s="30">
        <v>43046</v>
      </c>
      <c r="B275" t="s">
        <v>26</v>
      </c>
      <c r="C275">
        <v>150</v>
      </c>
      <c r="L275" s="30">
        <v>43042</v>
      </c>
      <c r="M275" t="s">
        <v>26</v>
      </c>
      <c r="N275">
        <v>180</v>
      </c>
    </row>
    <row r="276" spans="1:14">
      <c r="A276" s="30">
        <v>43047</v>
      </c>
      <c r="B276" t="s">
        <v>36</v>
      </c>
      <c r="C276">
        <v>122</v>
      </c>
      <c r="L276" s="30">
        <v>43040</v>
      </c>
      <c r="M276" t="s">
        <v>36</v>
      </c>
      <c r="N276">
        <v>89</v>
      </c>
    </row>
    <row r="277" spans="1:14">
      <c r="A277" s="30">
        <v>43045</v>
      </c>
      <c r="B277" t="s">
        <v>24</v>
      </c>
      <c r="C277">
        <v>167</v>
      </c>
      <c r="L277" s="30">
        <v>43045</v>
      </c>
      <c r="M277" t="s">
        <v>37</v>
      </c>
      <c r="N277">
        <v>134</v>
      </c>
    </row>
    <row r="278" spans="1:14">
      <c r="A278" s="30">
        <v>43046</v>
      </c>
      <c r="B278" t="s">
        <v>26</v>
      </c>
      <c r="C278">
        <v>104</v>
      </c>
      <c r="L278" s="30">
        <v>43043</v>
      </c>
      <c r="M278" t="s">
        <v>26</v>
      </c>
      <c r="N278">
        <v>191</v>
      </c>
    </row>
    <row r="279" spans="1:14">
      <c r="A279" s="30">
        <v>43043</v>
      </c>
      <c r="B279" t="s">
        <v>24</v>
      </c>
      <c r="C279">
        <v>41</v>
      </c>
      <c r="L279" s="30">
        <v>43041</v>
      </c>
      <c r="M279" t="s">
        <v>24</v>
      </c>
      <c r="N279">
        <v>191</v>
      </c>
    </row>
    <row r="280" spans="1:14">
      <c r="A280" s="30">
        <v>43046</v>
      </c>
      <c r="B280" t="s">
        <v>24</v>
      </c>
      <c r="C280">
        <v>32</v>
      </c>
      <c r="L280" s="30">
        <v>43046</v>
      </c>
      <c r="M280" t="s">
        <v>24</v>
      </c>
      <c r="N280">
        <v>81</v>
      </c>
    </row>
    <row r="281" spans="1:14">
      <c r="A281" s="30">
        <v>43045</v>
      </c>
      <c r="B281" t="s">
        <v>36</v>
      </c>
      <c r="C281">
        <v>104</v>
      </c>
      <c r="L281" s="30">
        <v>43044</v>
      </c>
      <c r="M281" t="s">
        <v>36</v>
      </c>
      <c r="N281">
        <v>164</v>
      </c>
    </row>
    <row r="282" spans="1:14">
      <c r="A282" s="30">
        <v>43042</v>
      </c>
      <c r="B282" t="s">
        <v>37</v>
      </c>
      <c r="C282">
        <v>15</v>
      </c>
      <c r="L282" s="30">
        <v>43043</v>
      </c>
      <c r="M282" t="s">
        <v>26</v>
      </c>
      <c r="N282">
        <v>65</v>
      </c>
    </row>
    <row r="283" spans="1:14">
      <c r="A283" s="30">
        <v>43043</v>
      </c>
      <c r="B283" t="s">
        <v>37</v>
      </c>
      <c r="C283">
        <v>70</v>
      </c>
      <c r="L283" s="30">
        <v>43043</v>
      </c>
      <c r="M283" t="s">
        <v>26</v>
      </c>
      <c r="N283">
        <v>183</v>
      </c>
    </row>
    <row r="284" spans="1:14">
      <c r="A284" s="30">
        <v>43047</v>
      </c>
      <c r="B284" t="s">
        <v>24</v>
      </c>
      <c r="C284">
        <v>173</v>
      </c>
      <c r="L284" s="30">
        <v>43040</v>
      </c>
      <c r="M284" t="s">
        <v>37</v>
      </c>
      <c r="N284">
        <v>82</v>
      </c>
    </row>
    <row r="285" spans="1:14">
      <c r="A285" s="30">
        <v>43042</v>
      </c>
      <c r="B285" t="s">
        <v>24</v>
      </c>
      <c r="C285">
        <v>69</v>
      </c>
      <c r="L285" s="30">
        <v>43041</v>
      </c>
      <c r="M285" t="s">
        <v>26</v>
      </c>
      <c r="N285">
        <v>75</v>
      </c>
    </row>
    <row r="286" spans="1:14">
      <c r="A286" s="30">
        <v>43047</v>
      </c>
      <c r="B286" t="s">
        <v>26</v>
      </c>
      <c r="C286">
        <v>29</v>
      </c>
      <c r="L286" s="30">
        <v>43041</v>
      </c>
      <c r="M286" t="s">
        <v>37</v>
      </c>
      <c r="N286">
        <v>88</v>
      </c>
    </row>
    <row r="287" spans="1:14">
      <c r="A287" s="30">
        <v>43042</v>
      </c>
      <c r="B287" t="s">
        <v>36</v>
      </c>
      <c r="C287">
        <v>185</v>
      </c>
      <c r="L287" s="30">
        <v>43047</v>
      </c>
      <c r="M287" t="s">
        <v>37</v>
      </c>
      <c r="N287">
        <v>14</v>
      </c>
    </row>
    <row r="288" spans="1:14">
      <c r="A288" s="30">
        <v>43040</v>
      </c>
      <c r="B288" t="s">
        <v>37</v>
      </c>
      <c r="C288">
        <v>123</v>
      </c>
      <c r="L288" s="30">
        <v>43044</v>
      </c>
      <c r="M288" t="s">
        <v>37</v>
      </c>
      <c r="N288">
        <v>124</v>
      </c>
    </row>
    <row r="289" spans="1:14">
      <c r="A289" s="30">
        <v>43043</v>
      </c>
      <c r="B289" t="s">
        <v>26</v>
      </c>
      <c r="C289">
        <v>156</v>
      </c>
      <c r="L289" s="30">
        <v>43043</v>
      </c>
      <c r="M289" t="s">
        <v>26</v>
      </c>
      <c r="N289">
        <v>153</v>
      </c>
    </row>
    <row r="290" spans="1:14">
      <c r="A290" s="30">
        <v>43044</v>
      </c>
      <c r="B290" t="s">
        <v>36</v>
      </c>
      <c r="C290">
        <v>39</v>
      </c>
      <c r="L290" s="30">
        <v>43043</v>
      </c>
      <c r="M290" t="s">
        <v>24</v>
      </c>
      <c r="N290">
        <v>113</v>
      </c>
    </row>
    <row r="291" spans="1:14">
      <c r="A291" s="30">
        <v>43045</v>
      </c>
      <c r="B291" t="s">
        <v>26</v>
      </c>
      <c r="C291">
        <v>18</v>
      </c>
      <c r="L291" s="30">
        <v>43047</v>
      </c>
      <c r="M291" t="s">
        <v>37</v>
      </c>
      <c r="N291">
        <v>94</v>
      </c>
    </row>
    <row r="292" spans="1:14">
      <c r="A292" s="30">
        <v>43040</v>
      </c>
      <c r="B292" t="s">
        <v>36</v>
      </c>
      <c r="C292">
        <v>64</v>
      </c>
      <c r="L292" s="30">
        <v>43042</v>
      </c>
      <c r="M292" t="s">
        <v>26</v>
      </c>
      <c r="N292">
        <v>16</v>
      </c>
    </row>
    <row r="293" spans="1:14">
      <c r="A293" s="30">
        <v>43044</v>
      </c>
      <c r="B293" t="s">
        <v>26</v>
      </c>
      <c r="C293">
        <v>34</v>
      </c>
      <c r="L293" s="30">
        <v>43046</v>
      </c>
      <c r="M293" t="s">
        <v>24</v>
      </c>
      <c r="N293">
        <v>156</v>
      </c>
    </row>
    <row r="294" spans="1:14">
      <c r="A294" s="30">
        <v>43046</v>
      </c>
      <c r="B294" t="s">
        <v>24</v>
      </c>
      <c r="C294">
        <v>186</v>
      </c>
      <c r="L294" s="30">
        <v>43042</v>
      </c>
      <c r="M294" t="s">
        <v>24</v>
      </c>
      <c r="N294">
        <v>16</v>
      </c>
    </row>
    <row r="295" spans="1:14">
      <c r="A295" s="30">
        <v>43044</v>
      </c>
      <c r="B295" t="s">
        <v>26</v>
      </c>
      <c r="C295">
        <v>130</v>
      </c>
      <c r="L295" s="30">
        <v>43041</v>
      </c>
      <c r="M295" t="s">
        <v>24</v>
      </c>
      <c r="N295">
        <v>165</v>
      </c>
    </row>
    <row r="296" spans="1:14">
      <c r="A296" s="30">
        <v>43043</v>
      </c>
      <c r="B296" t="s">
        <v>36</v>
      </c>
      <c r="C296">
        <v>115</v>
      </c>
      <c r="L296" s="30">
        <v>43042</v>
      </c>
      <c r="M296" t="s">
        <v>37</v>
      </c>
      <c r="N296">
        <v>108</v>
      </c>
    </row>
    <row r="297" spans="1:14">
      <c r="A297" s="30">
        <v>43040</v>
      </c>
      <c r="B297" t="s">
        <v>24</v>
      </c>
      <c r="C297">
        <v>101</v>
      </c>
      <c r="L297" s="30">
        <v>43045</v>
      </c>
      <c r="M297" t="s">
        <v>26</v>
      </c>
      <c r="N297">
        <v>158</v>
      </c>
    </row>
    <row r="298" spans="1:14">
      <c r="A298" s="30">
        <v>43045</v>
      </c>
      <c r="B298" t="s">
        <v>37</v>
      </c>
      <c r="C298">
        <v>80</v>
      </c>
      <c r="L298" s="30">
        <v>43046</v>
      </c>
      <c r="M298" t="s">
        <v>24</v>
      </c>
      <c r="N298">
        <v>107</v>
      </c>
    </row>
    <row r="299" spans="1:14">
      <c r="A299" s="30">
        <v>43040</v>
      </c>
      <c r="B299" t="s">
        <v>24</v>
      </c>
      <c r="C299">
        <v>9</v>
      </c>
      <c r="L299" s="30">
        <v>43043</v>
      </c>
      <c r="M299" t="s">
        <v>36</v>
      </c>
      <c r="N299">
        <v>127</v>
      </c>
    </row>
    <row r="300" spans="1:14">
      <c r="A300" s="30">
        <v>43040</v>
      </c>
      <c r="B300" t="s">
        <v>24</v>
      </c>
      <c r="C300">
        <v>50</v>
      </c>
      <c r="L300" s="30">
        <v>43047</v>
      </c>
      <c r="M300" t="s">
        <v>24</v>
      </c>
      <c r="N300">
        <v>120</v>
      </c>
    </row>
    <row r="301" spans="1:14">
      <c r="A301" s="30">
        <v>43046</v>
      </c>
      <c r="B301" t="s">
        <v>37</v>
      </c>
      <c r="C301">
        <v>94</v>
      </c>
      <c r="L301" s="30">
        <v>43045</v>
      </c>
      <c r="M301" t="s">
        <v>26</v>
      </c>
      <c r="N301">
        <v>69</v>
      </c>
    </row>
    <row r="302" spans="1:14">
      <c r="A302" s="30">
        <v>43043</v>
      </c>
      <c r="B302" t="s">
        <v>26</v>
      </c>
      <c r="C302">
        <v>103</v>
      </c>
      <c r="L302" s="30">
        <v>43047</v>
      </c>
      <c r="M302" t="s">
        <v>26</v>
      </c>
      <c r="N302">
        <v>186</v>
      </c>
    </row>
    <row r="303" spans="1:14">
      <c r="A303" s="30">
        <v>43041</v>
      </c>
      <c r="B303" t="s">
        <v>26</v>
      </c>
      <c r="C303">
        <v>82</v>
      </c>
      <c r="L303" s="30">
        <v>43044</v>
      </c>
      <c r="M303" t="s">
        <v>26</v>
      </c>
      <c r="N303">
        <v>171</v>
      </c>
    </row>
    <row r="304" spans="1:14">
      <c r="A304" s="30">
        <v>43041</v>
      </c>
      <c r="B304" t="s">
        <v>26</v>
      </c>
      <c r="C304">
        <v>116</v>
      </c>
      <c r="L304" s="30">
        <v>43044</v>
      </c>
      <c r="M304" t="s">
        <v>37</v>
      </c>
      <c r="N304">
        <v>99</v>
      </c>
    </row>
    <row r="305" spans="1:14">
      <c r="A305" s="30">
        <v>43040</v>
      </c>
      <c r="B305" t="s">
        <v>24</v>
      </c>
      <c r="C305">
        <v>161</v>
      </c>
      <c r="L305" s="30">
        <v>43044</v>
      </c>
      <c r="M305" t="s">
        <v>36</v>
      </c>
      <c r="N305">
        <v>164</v>
      </c>
    </row>
    <row r="306" spans="1:14">
      <c r="A306" s="30">
        <v>43046</v>
      </c>
      <c r="B306" t="s">
        <v>37</v>
      </c>
      <c r="C306">
        <v>136</v>
      </c>
      <c r="L306" s="30">
        <v>43041</v>
      </c>
      <c r="M306" t="s">
        <v>37</v>
      </c>
      <c r="N306">
        <v>158</v>
      </c>
    </row>
    <row r="307" spans="1:14">
      <c r="A307" s="30">
        <v>43043</v>
      </c>
      <c r="B307" t="s">
        <v>24</v>
      </c>
      <c r="C307">
        <v>50</v>
      </c>
      <c r="L307" s="30">
        <v>43042</v>
      </c>
      <c r="M307" t="s">
        <v>26</v>
      </c>
      <c r="N307">
        <v>156</v>
      </c>
    </row>
    <row r="308" spans="1:14">
      <c r="A308" s="30">
        <v>43043</v>
      </c>
      <c r="B308" t="s">
        <v>26</v>
      </c>
      <c r="C308">
        <v>149</v>
      </c>
      <c r="L308" s="30">
        <v>43041</v>
      </c>
      <c r="M308" t="s">
        <v>36</v>
      </c>
      <c r="N308">
        <v>152</v>
      </c>
    </row>
    <row r="309" spans="1:14">
      <c r="A309" s="30">
        <v>43045</v>
      </c>
      <c r="B309" t="s">
        <v>36</v>
      </c>
      <c r="C309">
        <v>35</v>
      </c>
      <c r="L309" s="30">
        <v>43046</v>
      </c>
      <c r="M309" t="s">
        <v>36</v>
      </c>
      <c r="N309">
        <v>158</v>
      </c>
    </row>
    <row r="310" spans="1:14">
      <c r="A310" s="30">
        <v>43047</v>
      </c>
      <c r="B310" t="s">
        <v>26</v>
      </c>
      <c r="C310">
        <v>8</v>
      </c>
      <c r="L310" s="30">
        <v>43041</v>
      </c>
      <c r="M310" t="s">
        <v>37</v>
      </c>
      <c r="N310">
        <v>190</v>
      </c>
    </row>
    <row r="311" spans="1:14">
      <c r="A311" s="30">
        <v>43042</v>
      </c>
      <c r="B311" t="s">
        <v>37</v>
      </c>
      <c r="C311">
        <v>54</v>
      </c>
      <c r="L311" s="30">
        <v>43044</v>
      </c>
      <c r="M311" t="s">
        <v>24</v>
      </c>
      <c r="N311">
        <v>11</v>
      </c>
    </row>
    <row r="312" spans="1:14">
      <c r="A312" s="30">
        <v>43040</v>
      </c>
      <c r="B312" t="s">
        <v>37</v>
      </c>
      <c r="C312">
        <v>88</v>
      </c>
      <c r="L312" s="30">
        <v>43045</v>
      </c>
      <c r="M312" t="s">
        <v>26</v>
      </c>
      <c r="N312">
        <v>4</v>
      </c>
    </row>
    <row r="313" spans="1:14">
      <c r="A313" s="30">
        <v>43044</v>
      </c>
      <c r="B313" t="s">
        <v>37</v>
      </c>
      <c r="C313">
        <v>176</v>
      </c>
      <c r="L313" s="30">
        <v>43044</v>
      </c>
      <c r="M313" t="s">
        <v>36</v>
      </c>
      <c r="N313">
        <v>101</v>
      </c>
    </row>
    <row r="314" spans="1:14">
      <c r="A314" s="30">
        <v>43040</v>
      </c>
      <c r="B314" t="s">
        <v>37</v>
      </c>
      <c r="C314">
        <v>79</v>
      </c>
      <c r="L314" s="30">
        <v>43040</v>
      </c>
      <c r="M314" t="s">
        <v>26</v>
      </c>
      <c r="N314">
        <v>8</v>
      </c>
    </row>
    <row r="315" spans="1:14">
      <c r="A315" s="30">
        <v>43045</v>
      </c>
      <c r="B315" t="s">
        <v>24</v>
      </c>
      <c r="C315">
        <v>163</v>
      </c>
      <c r="L315" s="30">
        <v>43047</v>
      </c>
      <c r="M315" t="s">
        <v>26</v>
      </c>
      <c r="N315">
        <v>140</v>
      </c>
    </row>
    <row r="316" spans="1:14">
      <c r="A316" s="30">
        <v>43041</v>
      </c>
      <c r="B316" t="s">
        <v>36</v>
      </c>
      <c r="C316">
        <v>8</v>
      </c>
      <c r="L316" s="30">
        <v>43042</v>
      </c>
      <c r="M316" t="s">
        <v>37</v>
      </c>
      <c r="N316">
        <v>148</v>
      </c>
    </row>
    <row r="317" spans="1:14">
      <c r="A317" s="30">
        <v>43045</v>
      </c>
      <c r="B317" t="s">
        <v>26</v>
      </c>
      <c r="C317">
        <v>188</v>
      </c>
      <c r="L317" s="30">
        <v>43046</v>
      </c>
      <c r="M317" t="s">
        <v>26</v>
      </c>
      <c r="N317">
        <v>174</v>
      </c>
    </row>
    <row r="318" spans="1:14">
      <c r="A318" s="30">
        <v>43040</v>
      </c>
      <c r="B318" t="s">
        <v>37</v>
      </c>
      <c r="C318">
        <v>35</v>
      </c>
      <c r="L318" s="30">
        <v>43046</v>
      </c>
      <c r="M318" t="s">
        <v>37</v>
      </c>
      <c r="N318">
        <v>112</v>
      </c>
    </row>
    <row r="319" spans="1:14">
      <c r="A319" s="30">
        <v>43047</v>
      </c>
      <c r="B319" t="s">
        <v>36</v>
      </c>
      <c r="C319">
        <v>10</v>
      </c>
      <c r="L319" s="30">
        <v>43045</v>
      </c>
      <c r="M319" t="s">
        <v>37</v>
      </c>
      <c r="N319">
        <v>12</v>
      </c>
    </row>
    <row r="320" spans="1:14">
      <c r="A320" s="30">
        <v>43045</v>
      </c>
      <c r="B320" t="s">
        <v>37</v>
      </c>
      <c r="C320">
        <v>36</v>
      </c>
      <c r="L320" s="30">
        <v>43041</v>
      </c>
      <c r="M320" t="s">
        <v>26</v>
      </c>
      <c r="N320">
        <v>55</v>
      </c>
    </row>
    <row r="321" spans="1:14">
      <c r="A321" s="30">
        <v>43043</v>
      </c>
      <c r="B321" t="s">
        <v>26</v>
      </c>
      <c r="C321">
        <v>172</v>
      </c>
      <c r="L321" s="30">
        <v>43045</v>
      </c>
      <c r="M321" t="s">
        <v>24</v>
      </c>
      <c r="N321">
        <v>29</v>
      </c>
    </row>
    <row r="322" spans="1:14">
      <c r="A322" s="30">
        <v>43044</v>
      </c>
      <c r="B322" t="s">
        <v>24</v>
      </c>
      <c r="C322">
        <v>142</v>
      </c>
      <c r="L322" s="30">
        <v>43044</v>
      </c>
      <c r="M322" t="s">
        <v>24</v>
      </c>
      <c r="N322">
        <v>23</v>
      </c>
    </row>
    <row r="323" spans="1:14">
      <c r="A323" s="30">
        <v>43044</v>
      </c>
      <c r="B323" t="s">
        <v>36</v>
      </c>
      <c r="C323">
        <v>79</v>
      </c>
      <c r="L323" s="30">
        <v>43043</v>
      </c>
      <c r="M323" t="s">
        <v>24</v>
      </c>
      <c r="N323">
        <v>31</v>
      </c>
    </row>
    <row r="324" spans="1:14">
      <c r="A324" s="30">
        <v>43040</v>
      </c>
      <c r="B324" t="s">
        <v>26</v>
      </c>
      <c r="C324">
        <v>3</v>
      </c>
      <c r="L324" s="30">
        <v>43041</v>
      </c>
      <c r="M324" t="s">
        <v>26</v>
      </c>
      <c r="N324">
        <v>152</v>
      </c>
    </row>
    <row r="325" spans="1:14">
      <c r="A325" s="30">
        <v>43045</v>
      </c>
      <c r="B325" t="s">
        <v>37</v>
      </c>
      <c r="C325">
        <v>106</v>
      </c>
      <c r="L325" s="30">
        <v>43042</v>
      </c>
      <c r="M325" t="s">
        <v>36</v>
      </c>
      <c r="N325">
        <v>113</v>
      </c>
    </row>
    <row r="326" spans="1:3">
      <c r="A326" s="30">
        <v>43041</v>
      </c>
      <c r="B326" t="s">
        <v>36</v>
      </c>
      <c r="C326">
        <v>16</v>
      </c>
    </row>
    <row r="327" spans="1:3">
      <c r="A327" s="30">
        <v>43042</v>
      </c>
      <c r="B327" t="s">
        <v>36</v>
      </c>
      <c r="C327">
        <v>123</v>
      </c>
    </row>
    <row r="328" spans="1:3">
      <c r="A328" s="30">
        <v>43045</v>
      </c>
      <c r="B328" t="s">
        <v>36</v>
      </c>
      <c r="C328">
        <v>80</v>
      </c>
    </row>
    <row r="329" spans="1:3">
      <c r="A329" s="30">
        <v>43044</v>
      </c>
      <c r="B329" t="s">
        <v>26</v>
      </c>
      <c r="C329">
        <v>155</v>
      </c>
    </row>
    <row r="330" spans="1:3">
      <c r="A330" s="30">
        <v>43047</v>
      </c>
      <c r="B330" t="s">
        <v>26</v>
      </c>
      <c r="C330">
        <v>130</v>
      </c>
    </row>
    <row r="331" spans="1:3">
      <c r="A331" s="30">
        <v>43042</v>
      </c>
      <c r="B331" t="s">
        <v>36</v>
      </c>
      <c r="C331">
        <v>87</v>
      </c>
    </row>
    <row r="332" spans="1:3">
      <c r="A332" s="30">
        <v>43042</v>
      </c>
      <c r="B332" t="s">
        <v>24</v>
      </c>
      <c r="C332">
        <v>104</v>
      </c>
    </row>
    <row r="333" spans="1:3">
      <c r="A333" s="30">
        <v>43045</v>
      </c>
      <c r="B333" t="s">
        <v>36</v>
      </c>
      <c r="C333">
        <v>83</v>
      </c>
    </row>
    <row r="334" spans="1:3">
      <c r="A334" s="30">
        <v>43047</v>
      </c>
      <c r="B334" t="s">
        <v>37</v>
      </c>
      <c r="C334">
        <v>139</v>
      </c>
    </row>
    <row r="335" spans="1:3">
      <c r="A335" s="30">
        <v>43041</v>
      </c>
      <c r="B335" t="s">
        <v>24</v>
      </c>
      <c r="C335">
        <v>139</v>
      </c>
    </row>
    <row r="336" spans="1:3">
      <c r="A336" s="30">
        <v>43042</v>
      </c>
      <c r="B336" t="s">
        <v>24</v>
      </c>
      <c r="C336">
        <v>84</v>
      </c>
    </row>
    <row r="337" spans="1:3">
      <c r="A337" s="30">
        <v>43041</v>
      </c>
      <c r="B337" t="s">
        <v>36</v>
      </c>
      <c r="C337">
        <v>128</v>
      </c>
    </row>
    <row r="338" spans="1:3">
      <c r="A338" s="30">
        <v>43045</v>
      </c>
      <c r="B338" t="s">
        <v>37</v>
      </c>
      <c r="C338">
        <v>139</v>
      </c>
    </row>
    <row r="339" spans="1:3">
      <c r="A339" s="30">
        <v>43046</v>
      </c>
      <c r="B339" t="s">
        <v>37</v>
      </c>
      <c r="C339">
        <v>66</v>
      </c>
    </row>
    <row r="340" spans="1:3">
      <c r="A340" s="30">
        <v>43047</v>
      </c>
      <c r="B340" t="s">
        <v>26</v>
      </c>
      <c r="C340">
        <v>84</v>
      </c>
    </row>
    <row r="341" spans="1:3">
      <c r="A341" s="30">
        <v>43045</v>
      </c>
      <c r="B341" t="s">
        <v>26</v>
      </c>
      <c r="C341">
        <v>149</v>
      </c>
    </row>
    <row r="342" spans="1:3">
      <c r="A342" s="30">
        <v>43043</v>
      </c>
      <c r="B342" t="s">
        <v>37</v>
      </c>
      <c r="C342">
        <v>120</v>
      </c>
    </row>
    <row r="343" spans="1:3">
      <c r="A343" s="30">
        <v>43044</v>
      </c>
      <c r="B343" t="s">
        <v>36</v>
      </c>
      <c r="C343">
        <v>135</v>
      </c>
    </row>
    <row r="344" spans="1:3">
      <c r="A344" s="30">
        <v>43043</v>
      </c>
      <c r="B344" t="s">
        <v>36</v>
      </c>
      <c r="C344">
        <v>84</v>
      </c>
    </row>
    <row r="345" spans="1:3">
      <c r="A345" s="30">
        <v>43044</v>
      </c>
      <c r="B345" t="s">
        <v>37</v>
      </c>
      <c r="C345">
        <v>120</v>
      </c>
    </row>
    <row r="346" spans="1:3">
      <c r="A346" s="30">
        <v>43041</v>
      </c>
      <c r="B346" t="s">
        <v>36</v>
      </c>
      <c r="C346">
        <v>29</v>
      </c>
    </row>
    <row r="347" spans="1:3">
      <c r="A347" s="30">
        <v>43040</v>
      </c>
      <c r="B347" t="s">
        <v>37</v>
      </c>
      <c r="C347">
        <v>113</v>
      </c>
    </row>
    <row r="348" spans="1:3">
      <c r="A348" s="30">
        <v>43046</v>
      </c>
      <c r="B348" t="s">
        <v>26</v>
      </c>
      <c r="C348">
        <v>5</v>
      </c>
    </row>
    <row r="349" spans="1:3">
      <c r="A349" s="30">
        <v>43045</v>
      </c>
      <c r="B349" t="s">
        <v>36</v>
      </c>
      <c r="C349">
        <v>10</v>
      </c>
    </row>
    <row r="350" spans="1:3">
      <c r="A350" s="30">
        <v>43041</v>
      </c>
      <c r="B350" t="s">
        <v>36</v>
      </c>
      <c r="C350">
        <v>184</v>
      </c>
    </row>
    <row r="351" spans="1:3">
      <c r="A351" s="30">
        <v>43040</v>
      </c>
      <c r="B351" t="s">
        <v>36</v>
      </c>
      <c r="C351">
        <v>45</v>
      </c>
    </row>
    <row r="352" spans="1:3">
      <c r="A352" s="30">
        <v>43042</v>
      </c>
      <c r="B352" t="s">
        <v>24</v>
      </c>
      <c r="C352">
        <v>39</v>
      </c>
    </row>
    <row r="353" spans="1:3">
      <c r="A353" s="30">
        <v>43040</v>
      </c>
      <c r="B353" t="s">
        <v>37</v>
      </c>
      <c r="C353">
        <v>55</v>
      </c>
    </row>
    <row r="354" spans="1:3">
      <c r="A354" s="30">
        <v>43042</v>
      </c>
      <c r="B354" t="s">
        <v>24</v>
      </c>
      <c r="C354">
        <v>185</v>
      </c>
    </row>
    <row r="355" spans="1:3">
      <c r="A355" s="30">
        <v>43045</v>
      </c>
      <c r="B355" t="s">
        <v>37</v>
      </c>
      <c r="C355">
        <v>22</v>
      </c>
    </row>
    <row r="356" spans="1:3">
      <c r="A356" s="30">
        <v>43040</v>
      </c>
      <c r="B356" t="s">
        <v>26</v>
      </c>
      <c r="C356">
        <v>103</v>
      </c>
    </row>
    <row r="357" spans="1:3">
      <c r="A357" s="30">
        <v>43042</v>
      </c>
      <c r="B357" t="s">
        <v>37</v>
      </c>
      <c r="C357">
        <v>149</v>
      </c>
    </row>
    <row r="358" spans="1:3">
      <c r="A358" s="30">
        <v>43046</v>
      </c>
      <c r="B358" t="s">
        <v>36</v>
      </c>
      <c r="C358">
        <v>70</v>
      </c>
    </row>
    <row r="359" spans="1:3">
      <c r="A359" s="30">
        <v>43040</v>
      </c>
      <c r="B359" t="s">
        <v>24</v>
      </c>
      <c r="C359">
        <v>30</v>
      </c>
    </row>
    <row r="360" spans="1:3">
      <c r="A360" s="30">
        <v>43047</v>
      </c>
      <c r="B360" t="s">
        <v>36</v>
      </c>
      <c r="C360">
        <v>119</v>
      </c>
    </row>
    <row r="361" spans="1:3">
      <c r="A361" s="30">
        <v>43045</v>
      </c>
      <c r="B361" t="s">
        <v>24</v>
      </c>
      <c r="C361">
        <v>136</v>
      </c>
    </row>
    <row r="362" spans="1:3">
      <c r="A362" s="30">
        <v>43044</v>
      </c>
      <c r="B362" t="s">
        <v>24</v>
      </c>
      <c r="C362">
        <v>156</v>
      </c>
    </row>
    <row r="363" spans="1:3">
      <c r="A363" s="30">
        <v>43045</v>
      </c>
      <c r="B363" t="s">
        <v>26</v>
      </c>
      <c r="C363">
        <v>87</v>
      </c>
    </row>
    <row r="364" spans="1:3">
      <c r="A364" s="30">
        <v>43040</v>
      </c>
      <c r="B364" t="s">
        <v>37</v>
      </c>
      <c r="C364">
        <v>174</v>
      </c>
    </row>
    <row r="365" spans="1:3">
      <c r="A365" s="30">
        <v>43040</v>
      </c>
      <c r="B365" t="s">
        <v>26</v>
      </c>
      <c r="C365">
        <v>188</v>
      </c>
    </row>
    <row r="366" spans="1:3">
      <c r="A366" s="30">
        <v>43046</v>
      </c>
      <c r="B366" t="s">
        <v>36</v>
      </c>
      <c r="C366">
        <v>189</v>
      </c>
    </row>
    <row r="367" spans="1:3">
      <c r="A367" s="30">
        <v>43040</v>
      </c>
      <c r="B367" t="s">
        <v>24</v>
      </c>
      <c r="C367">
        <v>154</v>
      </c>
    </row>
    <row r="368" spans="1:3">
      <c r="A368" s="30">
        <v>43040</v>
      </c>
      <c r="B368" t="s">
        <v>36</v>
      </c>
      <c r="C368">
        <v>48</v>
      </c>
    </row>
    <row r="369" spans="1:3">
      <c r="A369" s="30">
        <v>43041</v>
      </c>
      <c r="B369" t="s">
        <v>26</v>
      </c>
      <c r="C369">
        <v>61</v>
      </c>
    </row>
    <row r="370" spans="1:3">
      <c r="A370" s="30">
        <v>43043</v>
      </c>
      <c r="B370" t="s">
        <v>26</v>
      </c>
      <c r="C370">
        <v>73</v>
      </c>
    </row>
    <row r="371" spans="1:3">
      <c r="A371" s="30">
        <v>43045</v>
      </c>
      <c r="B371" t="s">
        <v>37</v>
      </c>
      <c r="C371">
        <v>122</v>
      </c>
    </row>
    <row r="372" spans="1:3">
      <c r="A372" s="30">
        <v>43045</v>
      </c>
      <c r="B372" t="s">
        <v>26</v>
      </c>
      <c r="C372">
        <v>67</v>
      </c>
    </row>
    <row r="373" spans="1:3">
      <c r="A373" s="30">
        <v>43041</v>
      </c>
      <c r="B373" t="s">
        <v>26</v>
      </c>
      <c r="C373">
        <v>190</v>
      </c>
    </row>
    <row r="374" spans="1:3">
      <c r="A374" s="30">
        <v>43047</v>
      </c>
      <c r="B374" t="s">
        <v>36</v>
      </c>
      <c r="C374">
        <v>154</v>
      </c>
    </row>
    <row r="375" spans="1:3">
      <c r="A375" s="30">
        <v>43044</v>
      </c>
      <c r="B375" t="s">
        <v>24</v>
      </c>
      <c r="C375">
        <v>177</v>
      </c>
    </row>
    <row r="376" spans="1:3">
      <c r="A376" s="30">
        <v>43046</v>
      </c>
      <c r="B376" t="s">
        <v>24</v>
      </c>
      <c r="C376">
        <v>48</v>
      </c>
    </row>
    <row r="377" spans="1:3">
      <c r="A377" s="30">
        <v>43043</v>
      </c>
      <c r="B377" t="s">
        <v>26</v>
      </c>
      <c r="C377">
        <v>83</v>
      </c>
    </row>
    <row r="378" spans="1:3">
      <c r="A378" s="30">
        <v>43043</v>
      </c>
      <c r="B378" t="s">
        <v>36</v>
      </c>
      <c r="C378">
        <v>116</v>
      </c>
    </row>
    <row r="379" spans="1:3">
      <c r="A379" s="30">
        <v>43043</v>
      </c>
      <c r="B379" t="s">
        <v>37</v>
      </c>
      <c r="C379">
        <v>20</v>
      </c>
    </row>
    <row r="380" spans="1:3">
      <c r="A380" s="30">
        <v>43042</v>
      </c>
      <c r="B380" t="s">
        <v>37</v>
      </c>
      <c r="C380">
        <v>146</v>
      </c>
    </row>
    <row r="381" spans="1:3">
      <c r="A381" s="30">
        <v>43041</v>
      </c>
      <c r="B381" t="s">
        <v>37</v>
      </c>
      <c r="C381">
        <v>176</v>
      </c>
    </row>
    <row r="382" spans="1:3">
      <c r="A382" s="30">
        <v>43040</v>
      </c>
      <c r="B382" t="s">
        <v>26</v>
      </c>
      <c r="C382">
        <v>40</v>
      </c>
    </row>
    <row r="383" spans="1:3">
      <c r="A383" s="30">
        <v>43043</v>
      </c>
      <c r="B383" t="s">
        <v>36</v>
      </c>
      <c r="C383">
        <v>29</v>
      </c>
    </row>
    <row r="384" spans="1:3">
      <c r="A384" s="30">
        <v>43044</v>
      </c>
      <c r="B384" t="s">
        <v>26</v>
      </c>
      <c r="C384">
        <v>65</v>
      </c>
    </row>
    <row r="385" spans="1:3">
      <c r="A385" s="30">
        <v>43045</v>
      </c>
      <c r="B385" t="s">
        <v>37</v>
      </c>
      <c r="C385">
        <v>21</v>
      </c>
    </row>
    <row r="386" spans="1:3">
      <c r="A386" s="30">
        <v>43043</v>
      </c>
      <c r="B386" t="s">
        <v>37</v>
      </c>
      <c r="C386">
        <v>64</v>
      </c>
    </row>
    <row r="387" spans="1:3">
      <c r="A387" s="30">
        <v>43040</v>
      </c>
      <c r="B387" t="s">
        <v>36</v>
      </c>
      <c r="C387">
        <v>137</v>
      </c>
    </row>
    <row r="388" spans="1:3">
      <c r="A388" s="30">
        <v>43045</v>
      </c>
      <c r="B388" t="s">
        <v>36</v>
      </c>
      <c r="C388">
        <v>46</v>
      </c>
    </row>
    <row r="389" spans="1:3">
      <c r="A389" s="30">
        <v>43046</v>
      </c>
      <c r="B389" t="s">
        <v>37</v>
      </c>
      <c r="C389">
        <v>176</v>
      </c>
    </row>
    <row r="390" spans="1:3">
      <c r="A390" s="30">
        <v>43042</v>
      </c>
      <c r="B390" t="s">
        <v>24</v>
      </c>
      <c r="C390">
        <v>58</v>
      </c>
    </row>
    <row r="391" spans="1:3">
      <c r="A391" s="30">
        <v>43040</v>
      </c>
      <c r="B391" t="s">
        <v>24</v>
      </c>
      <c r="C391">
        <v>42</v>
      </c>
    </row>
    <row r="392" spans="1:3">
      <c r="A392" s="30">
        <v>43043</v>
      </c>
      <c r="B392" t="s">
        <v>24</v>
      </c>
      <c r="C392">
        <v>160</v>
      </c>
    </row>
    <row r="393" spans="1:3">
      <c r="A393" s="30">
        <v>43045</v>
      </c>
      <c r="B393" t="s">
        <v>36</v>
      </c>
      <c r="C393">
        <v>105</v>
      </c>
    </row>
    <row r="394" spans="1:3">
      <c r="A394" s="30">
        <v>43042</v>
      </c>
      <c r="B394" t="s">
        <v>37</v>
      </c>
      <c r="C394">
        <v>139</v>
      </c>
    </row>
    <row r="395" spans="1:3">
      <c r="A395" s="30">
        <v>43042</v>
      </c>
      <c r="B395" t="s">
        <v>36</v>
      </c>
      <c r="C395">
        <v>133</v>
      </c>
    </row>
    <row r="396" spans="1:3">
      <c r="A396" s="30">
        <v>43040</v>
      </c>
      <c r="B396" t="s">
        <v>36</v>
      </c>
      <c r="C396">
        <v>21</v>
      </c>
    </row>
    <row r="397" spans="1:3">
      <c r="A397" s="30">
        <v>43047</v>
      </c>
      <c r="B397" t="s">
        <v>36</v>
      </c>
      <c r="C397">
        <v>58</v>
      </c>
    </row>
    <row r="398" spans="1:3">
      <c r="A398" s="30">
        <v>43045</v>
      </c>
      <c r="B398" t="s">
        <v>24</v>
      </c>
      <c r="C398">
        <v>81</v>
      </c>
    </row>
    <row r="399" spans="1:3">
      <c r="A399" s="30">
        <v>43040</v>
      </c>
      <c r="B399" t="s">
        <v>24</v>
      </c>
      <c r="C399">
        <v>11</v>
      </c>
    </row>
    <row r="400" spans="1:3">
      <c r="A400" s="30">
        <v>43045</v>
      </c>
      <c r="B400" t="s">
        <v>37</v>
      </c>
      <c r="C400">
        <v>132</v>
      </c>
    </row>
    <row r="401" spans="1:3">
      <c r="A401" s="30">
        <v>43043</v>
      </c>
      <c r="B401" t="s">
        <v>24</v>
      </c>
      <c r="C401">
        <v>159</v>
      </c>
    </row>
    <row r="402" spans="1:3">
      <c r="A402" s="30">
        <v>43042</v>
      </c>
      <c r="B402" t="s">
        <v>24</v>
      </c>
      <c r="C402">
        <v>87</v>
      </c>
    </row>
    <row r="403" spans="1:3">
      <c r="A403" s="30">
        <v>43042</v>
      </c>
      <c r="B403" t="s">
        <v>37</v>
      </c>
      <c r="C403">
        <v>79</v>
      </c>
    </row>
    <row r="404" spans="1:3">
      <c r="A404" s="30">
        <v>43047</v>
      </c>
      <c r="B404" t="s">
        <v>26</v>
      </c>
      <c r="C404">
        <v>39</v>
      </c>
    </row>
    <row r="405" spans="1:3">
      <c r="A405" s="30">
        <v>43047</v>
      </c>
      <c r="B405" t="s">
        <v>37</v>
      </c>
      <c r="C405">
        <v>76</v>
      </c>
    </row>
    <row r="406" spans="1:3">
      <c r="A406" s="30">
        <v>43047</v>
      </c>
      <c r="B406" t="s">
        <v>36</v>
      </c>
      <c r="C406">
        <v>147</v>
      </c>
    </row>
    <row r="407" spans="1:3">
      <c r="A407" s="30">
        <v>43043</v>
      </c>
      <c r="B407" t="s">
        <v>37</v>
      </c>
      <c r="C407">
        <v>80</v>
      </c>
    </row>
    <row r="408" spans="1:3">
      <c r="A408" s="30">
        <v>43041</v>
      </c>
      <c r="B408" t="s">
        <v>37</v>
      </c>
      <c r="C408">
        <v>4</v>
      </c>
    </row>
    <row r="409" spans="1:3">
      <c r="A409" s="30">
        <v>43041</v>
      </c>
      <c r="B409" t="s">
        <v>37</v>
      </c>
      <c r="C409">
        <v>33</v>
      </c>
    </row>
    <row r="410" spans="1:3">
      <c r="A410" s="30">
        <v>43040</v>
      </c>
      <c r="B410" t="s">
        <v>26</v>
      </c>
      <c r="C410">
        <v>154</v>
      </c>
    </row>
    <row r="411" spans="1:3">
      <c r="A411" s="30">
        <v>43046</v>
      </c>
      <c r="B411" t="s">
        <v>37</v>
      </c>
      <c r="C411">
        <v>124</v>
      </c>
    </row>
    <row r="412" spans="1:3">
      <c r="A412" s="30">
        <v>43043</v>
      </c>
      <c r="B412" t="s">
        <v>36</v>
      </c>
      <c r="C412">
        <v>48</v>
      </c>
    </row>
    <row r="413" spans="1:3">
      <c r="A413" s="30">
        <v>43043</v>
      </c>
      <c r="B413" t="s">
        <v>37</v>
      </c>
      <c r="C413">
        <v>146</v>
      </c>
    </row>
    <row r="414" spans="1:3">
      <c r="A414" s="30">
        <v>43041</v>
      </c>
      <c r="B414" t="s">
        <v>37</v>
      </c>
      <c r="C414">
        <v>27</v>
      </c>
    </row>
    <row r="415" spans="1:3">
      <c r="A415" s="30">
        <v>43045</v>
      </c>
      <c r="B415" t="s">
        <v>36</v>
      </c>
      <c r="C415">
        <v>128</v>
      </c>
    </row>
    <row r="416" spans="1:3">
      <c r="A416" s="30">
        <v>43043</v>
      </c>
      <c r="B416" t="s">
        <v>24</v>
      </c>
      <c r="C416">
        <v>5</v>
      </c>
    </row>
    <row r="417" spans="1:3">
      <c r="A417" s="30">
        <v>43042</v>
      </c>
      <c r="B417" t="s">
        <v>26</v>
      </c>
      <c r="C417">
        <v>161</v>
      </c>
    </row>
    <row r="418" spans="1:3">
      <c r="A418" s="30">
        <v>43042</v>
      </c>
      <c r="B418" t="s">
        <v>26</v>
      </c>
      <c r="C418">
        <v>121</v>
      </c>
    </row>
    <row r="419" spans="1:3">
      <c r="A419" s="30">
        <v>43043</v>
      </c>
      <c r="B419" t="s">
        <v>37</v>
      </c>
      <c r="C419">
        <v>100</v>
      </c>
    </row>
    <row r="420" spans="1:3">
      <c r="A420" s="30">
        <v>43044</v>
      </c>
      <c r="B420" t="s">
        <v>37</v>
      </c>
      <c r="C420">
        <v>149</v>
      </c>
    </row>
    <row r="421" spans="1:3">
      <c r="A421" s="30">
        <v>43045</v>
      </c>
      <c r="B421" t="s">
        <v>36</v>
      </c>
      <c r="C421">
        <v>42</v>
      </c>
    </row>
    <row r="422" spans="1:3">
      <c r="A422" s="30">
        <v>43040</v>
      </c>
      <c r="B422" t="s">
        <v>36</v>
      </c>
      <c r="C422">
        <v>28</v>
      </c>
    </row>
    <row r="423" spans="1:3">
      <c r="A423" s="30">
        <v>43044</v>
      </c>
      <c r="B423" t="s">
        <v>36</v>
      </c>
      <c r="C423">
        <v>114</v>
      </c>
    </row>
    <row r="424" spans="1:3">
      <c r="A424" s="30">
        <v>43040</v>
      </c>
      <c r="B424" t="s">
        <v>24</v>
      </c>
      <c r="C424">
        <v>14</v>
      </c>
    </row>
    <row r="425" spans="1:3">
      <c r="A425" s="30">
        <v>43045</v>
      </c>
      <c r="B425" t="s">
        <v>24</v>
      </c>
      <c r="C425">
        <v>160</v>
      </c>
    </row>
    <row r="426" spans="1:3">
      <c r="A426" s="30">
        <v>43042</v>
      </c>
      <c r="B426" t="s">
        <v>37</v>
      </c>
      <c r="C426">
        <v>14</v>
      </c>
    </row>
    <row r="427" spans="1:3">
      <c r="A427" s="30">
        <v>43040</v>
      </c>
      <c r="B427" t="s">
        <v>24</v>
      </c>
      <c r="C427">
        <v>12</v>
      </c>
    </row>
    <row r="428" spans="1:3">
      <c r="A428" s="30">
        <v>43043</v>
      </c>
      <c r="B428" t="s">
        <v>36</v>
      </c>
      <c r="C428">
        <v>20</v>
      </c>
    </row>
    <row r="429" spans="1:3">
      <c r="A429" s="30">
        <v>43040</v>
      </c>
      <c r="B429" t="s">
        <v>36</v>
      </c>
      <c r="C429">
        <v>76</v>
      </c>
    </row>
    <row r="430" spans="1:3">
      <c r="A430" s="30">
        <v>43047</v>
      </c>
      <c r="B430" t="s">
        <v>24</v>
      </c>
      <c r="C430">
        <v>112</v>
      </c>
    </row>
    <row r="431" spans="1:3">
      <c r="A431" s="30">
        <v>43041</v>
      </c>
      <c r="B431" t="s">
        <v>37</v>
      </c>
      <c r="C431">
        <v>113</v>
      </c>
    </row>
    <row r="432" spans="1:3">
      <c r="A432" s="30">
        <v>43040</v>
      </c>
      <c r="B432" t="s">
        <v>37</v>
      </c>
      <c r="C432">
        <v>76</v>
      </c>
    </row>
    <row r="433" spans="1:3">
      <c r="A433" s="30">
        <v>43047</v>
      </c>
      <c r="B433" t="s">
        <v>26</v>
      </c>
      <c r="C433">
        <v>163</v>
      </c>
    </row>
    <row r="434" spans="1:3">
      <c r="A434" s="30">
        <v>43041</v>
      </c>
      <c r="B434" t="s">
        <v>26</v>
      </c>
      <c r="C434">
        <v>76</v>
      </c>
    </row>
    <row r="435" spans="1:3">
      <c r="A435" s="30">
        <v>43047</v>
      </c>
      <c r="B435" t="s">
        <v>26</v>
      </c>
      <c r="C435">
        <v>177</v>
      </c>
    </row>
    <row r="436" spans="1:3">
      <c r="A436" s="30">
        <v>43040</v>
      </c>
      <c r="B436" t="s">
        <v>36</v>
      </c>
      <c r="C436">
        <v>41</v>
      </c>
    </row>
    <row r="437" spans="1:3">
      <c r="A437" s="30">
        <v>43045</v>
      </c>
      <c r="B437" t="s">
        <v>37</v>
      </c>
      <c r="C437">
        <v>42</v>
      </c>
    </row>
    <row r="438" spans="1:3">
      <c r="A438" s="30">
        <v>43047</v>
      </c>
      <c r="B438" t="s">
        <v>26</v>
      </c>
      <c r="C438">
        <v>152</v>
      </c>
    </row>
    <row r="439" spans="1:3">
      <c r="A439" s="30">
        <v>43043</v>
      </c>
      <c r="B439" t="s">
        <v>36</v>
      </c>
      <c r="C439">
        <v>90</v>
      </c>
    </row>
    <row r="440" spans="1:3">
      <c r="A440" s="30">
        <v>43047</v>
      </c>
      <c r="B440" t="s">
        <v>24</v>
      </c>
      <c r="C440">
        <v>103</v>
      </c>
    </row>
    <row r="441" spans="1:3">
      <c r="A441" s="30">
        <v>43044</v>
      </c>
      <c r="B441" t="s">
        <v>26</v>
      </c>
      <c r="C441">
        <v>18</v>
      </c>
    </row>
    <row r="442" spans="1:3">
      <c r="A442" s="30">
        <v>43040</v>
      </c>
      <c r="B442" t="s">
        <v>37</v>
      </c>
      <c r="C442">
        <v>185</v>
      </c>
    </row>
    <row r="443" spans="1:3">
      <c r="A443" s="30">
        <v>43040</v>
      </c>
      <c r="B443" t="s">
        <v>24</v>
      </c>
      <c r="C443">
        <v>29</v>
      </c>
    </row>
    <row r="444" spans="1:3">
      <c r="A444" s="30">
        <v>43046</v>
      </c>
      <c r="B444" t="s">
        <v>37</v>
      </c>
      <c r="C444">
        <v>140</v>
      </c>
    </row>
    <row r="445" spans="1:3">
      <c r="A445" s="30">
        <v>43040</v>
      </c>
      <c r="B445" t="s">
        <v>26</v>
      </c>
      <c r="C445">
        <v>177</v>
      </c>
    </row>
    <row r="446" spans="1:3">
      <c r="A446" s="30">
        <v>43043</v>
      </c>
      <c r="B446" t="s">
        <v>24</v>
      </c>
      <c r="C446">
        <v>74</v>
      </c>
    </row>
    <row r="447" spans="1:3">
      <c r="A447" s="30">
        <v>43040</v>
      </c>
      <c r="B447" t="s">
        <v>37</v>
      </c>
      <c r="C447">
        <v>111</v>
      </c>
    </row>
    <row r="448" spans="1:3">
      <c r="A448" s="30">
        <v>43047</v>
      </c>
      <c r="B448" t="s">
        <v>37</v>
      </c>
      <c r="C448">
        <v>11</v>
      </c>
    </row>
    <row r="449" spans="1:3">
      <c r="A449" s="30">
        <v>43040</v>
      </c>
      <c r="B449" t="s">
        <v>24</v>
      </c>
      <c r="C449">
        <v>28</v>
      </c>
    </row>
    <row r="450" spans="1:3">
      <c r="A450" s="30">
        <v>43040</v>
      </c>
      <c r="B450" t="s">
        <v>26</v>
      </c>
      <c r="C450">
        <v>80</v>
      </c>
    </row>
    <row r="451" spans="1:3">
      <c r="A451" s="30">
        <v>43040</v>
      </c>
      <c r="B451" t="s">
        <v>37</v>
      </c>
      <c r="C451">
        <v>18</v>
      </c>
    </row>
    <row r="452" spans="1:3">
      <c r="A452" s="30">
        <v>43046</v>
      </c>
      <c r="B452" t="s">
        <v>26</v>
      </c>
      <c r="C452">
        <v>28</v>
      </c>
    </row>
    <row r="453" spans="1:3">
      <c r="A453" s="30">
        <v>43043</v>
      </c>
      <c r="B453" t="s">
        <v>36</v>
      </c>
      <c r="C453">
        <v>117</v>
      </c>
    </row>
    <row r="454" spans="1:3">
      <c r="A454" s="30">
        <v>43046</v>
      </c>
      <c r="B454" t="s">
        <v>37</v>
      </c>
      <c r="C454">
        <v>145</v>
      </c>
    </row>
    <row r="455" spans="1:3">
      <c r="A455" s="30">
        <v>43040</v>
      </c>
      <c r="B455" t="s">
        <v>37</v>
      </c>
      <c r="C455">
        <v>79</v>
      </c>
    </row>
    <row r="456" spans="1:3">
      <c r="A456" s="30">
        <v>43040</v>
      </c>
      <c r="B456" t="s">
        <v>37</v>
      </c>
      <c r="C456">
        <v>99</v>
      </c>
    </row>
    <row r="457" spans="1:3">
      <c r="A457" s="30">
        <v>43044</v>
      </c>
      <c r="B457" t="s">
        <v>36</v>
      </c>
      <c r="C457">
        <v>22</v>
      </c>
    </row>
    <row r="458" spans="1:3">
      <c r="A458" s="30">
        <v>43047</v>
      </c>
      <c r="B458" t="s">
        <v>36</v>
      </c>
      <c r="C458">
        <v>63</v>
      </c>
    </row>
    <row r="459" spans="1:3">
      <c r="A459" s="30">
        <v>43040</v>
      </c>
      <c r="B459" t="s">
        <v>24</v>
      </c>
      <c r="C459">
        <v>123</v>
      </c>
    </row>
    <row r="460" spans="1:3">
      <c r="A460" s="30">
        <v>43046</v>
      </c>
      <c r="B460" t="s">
        <v>24</v>
      </c>
      <c r="C460">
        <v>48</v>
      </c>
    </row>
    <row r="461" spans="1:3">
      <c r="A461" s="30">
        <v>43040</v>
      </c>
      <c r="B461" t="s">
        <v>37</v>
      </c>
      <c r="C461">
        <v>147</v>
      </c>
    </row>
    <row r="462" spans="1:3">
      <c r="A462" s="30">
        <v>43045</v>
      </c>
      <c r="B462" t="s">
        <v>26</v>
      </c>
      <c r="C462">
        <v>136</v>
      </c>
    </row>
    <row r="463" spans="1:3">
      <c r="A463" s="30">
        <v>43040</v>
      </c>
      <c r="B463" t="s">
        <v>24</v>
      </c>
      <c r="C463">
        <v>179</v>
      </c>
    </row>
    <row r="464" spans="1:3">
      <c r="A464" s="30">
        <v>43040</v>
      </c>
      <c r="B464" t="s">
        <v>37</v>
      </c>
      <c r="C464">
        <v>85</v>
      </c>
    </row>
    <row r="465" spans="1:3">
      <c r="A465" s="30">
        <v>43044</v>
      </c>
      <c r="B465" t="s">
        <v>26</v>
      </c>
      <c r="C465">
        <v>46</v>
      </c>
    </row>
    <row r="466" spans="1:3">
      <c r="A466" s="30">
        <v>43041</v>
      </c>
      <c r="B466" t="s">
        <v>26</v>
      </c>
      <c r="C466">
        <v>85</v>
      </c>
    </row>
    <row r="467" spans="1:3">
      <c r="A467" s="30">
        <v>43047</v>
      </c>
      <c r="B467" t="s">
        <v>26</v>
      </c>
      <c r="C467">
        <v>97</v>
      </c>
    </row>
    <row r="468" spans="1:3">
      <c r="A468" s="30">
        <v>43047</v>
      </c>
      <c r="B468" t="s">
        <v>37</v>
      </c>
      <c r="C468">
        <v>60</v>
      </c>
    </row>
    <row r="469" spans="1:3">
      <c r="A469" s="30">
        <v>43041</v>
      </c>
      <c r="B469" t="s">
        <v>24</v>
      </c>
      <c r="C469">
        <v>63</v>
      </c>
    </row>
    <row r="470" spans="1:3">
      <c r="A470" s="30">
        <v>43042</v>
      </c>
      <c r="B470" t="s">
        <v>24</v>
      </c>
      <c r="C470">
        <v>74</v>
      </c>
    </row>
    <row r="471" spans="1:3">
      <c r="A471" s="30">
        <v>43045</v>
      </c>
      <c r="B471" t="s">
        <v>37</v>
      </c>
      <c r="C471">
        <v>171</v>
      </c>
    </row>
    <row r="472" spans="1:3">
      <c r="A472" s="30">
        <v>43040</v>
      </c>
      <c r="B472" t="s">
        <v>37</v>
      </c>
      <c r="C472">
        <v>73</v>
      </c>
    </row>
    <row r="473" spans="1:3">
      <c r="A473" s="30">
        <v>43046</v>
      </c>
      <c r="B473" t="s">
        <v>24</v>
      </c>
      <c r="C473">
        <v>85</v>
      </c>
    </row>
    <row r="474" spans="1:3">
      <c r="A474" s="30">
        <v>43047</v>
      </c>
      <c r="B474" t="s">
        <v>24</v>
      </c>
      <c r="C474">
        <v>35</v>
      </c>
    </row>
    <row r="475" spans="1:3">
      <c r="A475" s="30">
        <v>43045</v>
      </c>
      <c r="B475" t="s">
        <v>36</v>
      </c>
      <c r="C475">
        <v>89</v>
      </c>
    </row>
    <row r="476" spans="1:3">
      <c r="A476" s="30">
        <v>43040</v>
      </c>
      <c r="B476" t="s">
        <v>36</v>
      </c>
      <c r="C476">
        <v>95</v>
      </c>
    </row>
    <row r="477" spans="1:3">
      <c r="A477" s="30">
        <v>43047</v>
      </c>
      <c r="B477" t="s">
        <v>26</v>
      </c>
      <c r="C477">
        <v>125</v>
      </c>
    </row>
    <row r="478" spans="1:3">
      <c r="A478" s="30">
        <v>43046</v>
      </c>
      <c r="B478" t="s">
        <v>37</v>
      </c>
      <c r="C478">
        <v>78</v>
      </c>
    </row>
    <row r="479" spans="1:3">
      <c r="A479" s="30">
        <v>43046</v>
      </c>
      <c r="B479" t="s">
        <v>37</v>
      </c>
      <c r="C479">
        <v>187</v>
      </c>
    </row>
    <row r="480" spans="1:3">
      <c r="A480" s="30">
        <v>43044</v>
      </c>
      <c r="B480" t="s">
        <v>26</v>
      </c>
      <c r="C480">
        <v>33</v>
      </c>
    </row>
    <row r="481" spans="1:3">
      <c r="A481" s="30">
        <v>43042</v>
      </c>
      <c r="B481" t="s">
        <v>26</v>
      </c>
      <c r="C481">
        <v>104</v>
      </c>
    </row>
    <row r="482" spans="1:3">
      <c r="A482" s="30">
        <v>43042</v>
      </c>
      <c r="B482" t="s">
        <v>26</v>
      </c>
      <c r="C482">
        <v>25</v>
      </c>
    </row>
    <row r="483" spans="1:3">
      <c r="A483" s="30">
        <v>43044</v>
      </c>
      <c r="B483" t="s">
        <v>37</v>
      </c>
      <c r="C483">
        <v>166</v>
      </c>
    </row>
    <row r="484" spans="1:3">
      <c r="A484" s="30">
        <v>43041</v>
      </c>
      <c r="B484" t="s">
        <v>26</v>
      </c>
      <c r="C484">
        <v>58</v>
      </c>
    </row>
    <row r="485" spans="1:3">
      <c r="A485" s="30">
        <v>43043</v>
      </c>
      <c r="B485" t="s">
        <v>37</v>
      </c>
      <c r="C485">
        <v>94</v>
      </c>
    </row>
    <row r="486" spans="1:3">
      <c r="A486" s="30">
        <v>43044</v>
      </c>
      <c r="B486" t="s">
        <v>26</v>
      </c>
      <c r="C486">
        <v>49</v>
      </c>
    </row>
    <row r="487" spans="1:3">
      <c r="A487" s="30">
        <v>43041</v>
      </c>
      <c r="B487" t="s">
        <v>26</v>
      </c>
      <c r="C487">
        <v>92</v>
      </c>
    </row>
    <row r="488" spans="1:3">
      <c r="A488" s="30">
        <v>43045</v>
      </c>
      <c r="B488" t="s">
        <v>37</v>
      </c>
      <c r="C488">
        <v>71</v>
      </c>
    </row>
    <row r="489" spans="1:3">
      <c r="A489" s="30">
        <v>43041</v>
      </c>
      <c r="B489" t="s">
        <v>24</v>
      </c>
      <c r="C489">
        <v>27</v>
      </c>
    </row>
    <row r="490" spans="1:3">
      <c r="A490" s="30">
        <v>43046</v>
      </c>
      <c r="B490" t="s">
        <v>37</v>
      </c>
      <c r="C490">
        <v>5</v>
      </c>
    </row>
    <row r="491" spans="1:3">
      <c r="A491" s="30">
        <v>43043</v>
      </c>
      <c r="B491" t="s">
        <v>26</v>
      </c>
      <c r="C491">
        <v>190</v>
      </c>
    </row>
    <row r="492" spans="1:3">
      <c r="A492" s="30">
        <v>43043</v>
      </c>
      <c r="B492" t="s">
        <v>37</v>
      </c>
      <c r="C492">
        <v>146</v>
      </c>
    </row>
    <row r="493" spans="1:3">
      <c r="A493" s="30">
        <v>43046</v>
      </c>
      <c r="B493" t="s">
        <v>36</v>
      </c>
      <c r="C493">
        <v>183</v>
      </c>
    </row>
    <row r="494" spans="1:3">
      <c r="A494" s="30">
        <v>43043</v>
      </c>
      <c r="B494" t="s">
        <v>37</v>
      </c>
      <c r="C494">
        <v>163</v>
      </c>
    </row>
    <row r="495" spans="1:3">
      <c r="A495" s="30">
        <v>43046</v>
      </c>
      <c r="B495" t="s">
        <v>36</v>
      </c>
      <c r="C495">
        <v>138</v>
      </c>
    </row>
    <row r="496" spans="1:3">
      <c r="A496" s="30">
        <v>43045</v>
      </c>
      <c r="B496" t="s">
        <v>36</v>
      </c>
      <c r="C496">
        <v>151</v>
      </c>
    </row>
    <row r="497" spans="1:3">
      <c r="A497" s="30">
        <v>43040</v>
      </c>
      <c r="B497" t="s">
        <v>24</v>
      </c>
      <c r="C497">
        <v>110</v>
      </c>
    </row>
    <row r="498" spans="1:3">
      <c r="A498" s="30">
        <v>43046</v>
      </c>
      <c r="B498" t="s">
        <v>26</v>
      </c>
      <c r="C498">
        <v>95</v>
      </c>
    </row>
    <row r="499" spans="1:3">
      <c r="A499" s="30">
        <v>43042</v>
      </c>
      <c r="B499" t="s">
        <v>36</v>
      </c>
      <c r="C499">
        <v>89</v>
      </c>
    </row>
    <row r="500" spans="1:3">
      <c r="A500" s="30">
        <v>43040</v>
      </c>
      <c r="B500" t="s">
        <v>37</v>
      </c>
      <c r="C500">
        <v>181</v>
      </c>
    </row>
    <row r="501" spans="1:3">
      <c r="A501" s="30">
        <v>43047</v>
      </c>
      <c r="B501" t="s">
        <v>26</v>
      </c>
      <c r="C501">
        <v>106</v>
      </c>
    </row>
    <row r="502" spans="1:3">
      <c r="A502" s="30">
        <v>43042</v>
      </c>
      <c r="B502" t="s">
        <v>36</v>
      </c>
      <c r="C502">
        <v>97</v>
      </c>
    </row>
    <row r="503" spans="1:3">
      <c r="A503" s="30">
        <v>43041</v>
      </c>
      <c r="B503" t="s">
        <v>37</v>
      </c>
      <c r="C503">
        <v>62</v>
      </c>
    </row>
    <row r="504" spans="1:3">
      <c r="A504" s="30">
        <v>43047</v>
      </c>
      <c r="B504" t="s">
        <v>26</v>
      </c>
      <c r="C504">
        <v>124</v>
      </c>
    </row>
    <row r="505" spans="1:3">
      <c r="A505" s="30">
        <v>43045</v>
      </c>
      <c r="B505" t="s">
        <v>36</v>
      </c>
      <c r="C505">
        <v>134</v>
      </c>
    </row>
    <row r="506" spans="1:3">
      <c r="A506" s="30">
        <v>43046</v>
      </c>
      <c r="B506" t="s">
        <v>37</v>
      </c>
      <c r="C506">
        <v>175</v>
      </c>
    </row>
    <row r="507" spans="1:3">
      <c r="A507" s="30">
        <v>43045</v>
      </c>
      <c r="B507" t="s">
        <v>36</v>
      </c>
      <c r="C507">
        <v>112</v>
      </c>
    </row>
    <row r="508" spans="1:3">
      <c r="A508" s="30">
        <v>43042</v>
      </c>
      <c r="B508" t="s">
        <v>37</v>
      </c>
      <c r="C508">
        <v>15</v>
      </c>
    </row>
    <row r="509" spans="1:3">
      <c r="A509" s="30">
        <v>43046</v>
      </c>
      <c r="B509" t="s">
        <v>36</v>
      </c>
      <c r="C509">
        <v>54</v>
      </c>
    </row>
    <row r="510" spans="1:3">
      <c r="A510" s="30">
        <v>43043</v>
      </c>
      <c r="B510" t="s">
        <v>36</v>
      </c>
      <c r="C510">
        <v>138</v>
      </c>
    </row>
    <row r="511" spans="1:3">
      <c r="A511" s="30">
        <v>43044</v>
      </c>
      <c r="B511" t="s">
        <v>36</v>
      </c>
      <c r="C511">
        <v>87</v>
      </c>
    </row>
    <row r="512" spans="1:3">
      <c r="A512" s="30">
        <v>43045</v>
      </c>
      <c r="B512" t="s">
        <v>24</v>
      </c>
      <c r="C512">
        <v>13</v>
      </c>
    </row>
    <row r="513" spans="1:3">
      <c r="A513" s="30">
        <v>43047</v>
      </c>
      <c r="B513" t="s">
        <v>37</v>
      </c>
      <c r="C513">
        <v>79</v>
      </c>
    </row>
    <row r="514" spans="1:3">
      <c r="A514" s="30">
        <v>43047</v>
      </c>
      <c r="B514" t="s">
        <v>24</v>
      </c>
      <c r="C514">
        <v>60</v>
      </c>
    </row>
    <row r="515" spans="1:3">
      <c r="A515" s="30">
        <v>43042</v>
      </c>
      <c r="B515" t="s">
        <v>24</v>
      </c>
      <c r="C515">
        <v>65</v>
      </c>
    </row>
    <row r="516" spans="1:3">
      <c r="A516" s="30">
        <v>43042</v>
      </c>
      <c r="B516" t="s">
        <v>26</v>
      </c>
      <c r="C516">
        <v>85</v>
      </c>
    </row>
    <row r="517" spans="1:3">
      <c r="A517" s="30">
        <v>43044</v>
      </c>
      <c r="B517" t="s">
        <v>24</v>
      </c>
      <c r="C517">
        <v>41</v>
      </c>
    </row>
    <row r="518" spans="1:3">
      <c r="A518" s="30">
        <v>43044</v>
      </c>
      <c r="B518" t="s">
        <v>26</v>
      </c>
      <c r="C518">
        <v>7</v>
      </c>
    </row>
    <row r="519" spans="1:3">
      <c r="A519" s="30">
        <v>43043</v>
      </c>
      <c r="B519" t="s">
        <v>24</v>
      </c>
      <c r="C519">
        <v>14</v>
      </c>
    </row>
    <row r="520" spans="1:3">
      <c r="A520" s="30">
        <v>43042</v>
      </c>
      <c r="B520" t="s">
        <v>37</v>
      </c>
      <c r="C520">
        <v>156</v>
      </c>
    </row>
    <row r="521" spans="1:3">
      <c r="A521" s="30">
        <v>43040</v>
      </c>
      <c r="B521" t="s">
        <v>24</v>
      </c>
      <c r="C521">
        <v>98</v>
      </c>
    </row>
    <row r="522" spans="1:3">
      <c r="A522" s="30">
        <v>43047</v>
      </c>
      <c r="B522" t="s">
        <v>26</v>
      </c>
      <c r="C522">
        <v>4</v>
      </c>
    </row>
    <row r="523" spans="1:3">
      <c r="A523" s="30">
        <v>43044</v>
      </c>
      <c r="B523" t="s">
        <v>36</v>
      </c>
      <c r="C523">
        <v>52</v>
      </c>
    </row>
    <row r="524" spans="1:3">
      <c r="A524" s="30">
        <v>43042</v>
      </c>
      <c r="B524" t="s">
        <v>24</v>
      </c>
      <c r="C524">
        <v>35</v>
      </c>
    </row>
    <row r="525" spans="1:3">
      <c r="A525" s="30">
        <v>43046</v>
      </c>
      <c r="B525" t="s">
        <v>36</v>
      </c>
      <c r="C525">
        <v>101</v>
      </c>
    </row>
    <row r="526" spans="1:3">
      <c r="A526" s="30">
        <v>43041</v>
      </c>
      <c r="B526" t="s">
        <v>24</v>
      </c>
      <c r="C526">
        <v>177</v>
      </c>
    </row>
    <row r="527" spans="1:3">
      <c r="A527" s="30">
        <v>43043</v>
      </c>
      <c r="B527" t="s">
        <v>24</v>
      </c>
      <c r="C527">
        <v>158</v>
      </c>
    </row>
    <row r="528" spans="1:3">
      <c r="A528" s="30">
        <v>43045</v>
      </c>
      <c r="B528" t="s">
        <v>36</v>
      </c>
      <c r="C528">
        <v>183</v>
      </c>
    </row>
    <row r="529" spans="1:3">
      <c r="A529" s="30">
        <v>43041</v>
      </c>
      <c r="B529" t="s">
        <v>24</v>
      </c>
      <c r="C529">
        <v>185</v>
      </c>
    </row>
    <row r="530" spans="1:3">
      <c r="A530" s="30">
        <v>43046</v>
      </c>
      <c r="B530" t="s">
        <v>26</v>
      </c>
      <c r="C530">
        <v>87</v>
      </c>
    </row>
    <row r="531" spans="1:3">
      <c r="A531" s="30">
        <v>43046</v>
      </c>
      <c r="B531" t="s">
        <v>24</v>
      </c>
      <c r="C531">
        <v>148</v>
      </c>
    </row>
    <row r="532" spans="1:3">
      <c r="A532" s="30">
        <v>43047</v>
      </c>
      <c r="B532" t="s">
        <v>36</v>
      </c>
      <c r="C532">
        <v>141</v>
      </c>
    </row>
    <row r="533" spans="1:3">
      <c r="A533" s="30">
        <v>43046</v>
      </c>
      <c r="B533" t="s">
        <v>24</v>
      </c>
      <c r="C533">
        <v>159</v>
      </c>
    </row>
    <row r="534" spans="1:3">
      <c r="A534" s="30">
        <v>43040</v>
      </c>
      <c r="B534" t="s">
        <v>37</v>
      </c>
      <c r="C534">
        <v>97</v>
      </c>
    </row>
    <row r="535" spans="1:3">
      <c r="A535" s="30">
        <v>43043</v>
      </c>
      <c r="B535" t="s">
        <v>24</v>
      </c>
      <c r="C535">
        <v>164</v>
      </c>
    </row>
    <row r="536" spans="1:3">
      <c r="A536" s="30">
        <v>43042</v>
      </c>
      <c r="B536" t="s">
        <v>36</v>
      </c>
      <c r="C536">
        <v>174</v>
      </c>
    </row>
    <row r="537" spans="1:3">
      <c r="A537" s="30">
        <v>43046</v>
      </c>
      <c r="B537" t="s">
        <v>24</v>
      </c>
      <c r="C537">
        <v>92</v>
      </c>
    </row>
    <row r="538" spans="1:3">
      <c r="A538" s="30">
        <v>43044</v>
      </c>
      <c r="B538" t="s">
        <v>26</v>
      </c>
      <c r="C538">
        <v>132</v>
      </c>
    </row>
    <row r="539" spans="1:3">
      <c r="A539" s="30">
        <v>43044</v>
      </c>
      <c r="B539" t="s">
        <v>26</v>
      </c>
      <c r="C539">
        <v>140</v>
      </c>
    </row>
    <row r="540" spans="1:3">
      <c r="A540" s="30">
        <v>43045</v>
      </c>
      <c r="B540" t="s">
        <v>26</v>
      </c>
      <c r="C540">
        <v>165</v>
      </c>
    </row>
    <row r="541" spans="1:3">
      <c r="A541" s="30">
        <v>43044</v>
      </c>
      <c r="B541" t="s">
        <v>24</v>
      </c>
      <c r="C541">
        <v>89</v>
      </c>
    </row>
    <row r="542" spans="1:3">
      <c r="A542" s="30">
        <v>43041</v>
      </c>
      <c r="B542" t="s">
        <v>37</v>
      </c>
      <c r="C542">
        <v>95</v>
      </c>
    </row>
    <row r="543" spans="1:3">
      <c r="A543" s="30">
        <v>43045</v>
      </c>
      <c r="B543" t="s">
        <v>24</v>
      </c>
      <c r="C543">
        <v>142</v>
      </c>
    </row>
    <row r="544" spans="1:3">
      <c r="A544" s="30">
        <v>43045</v>
      </c>
      <c r="B544" t="s">
        <v>36</v>
      </c>
      <c r="C544">
        <v>60</v>
      </c>
    </row>
    <row r="545" spans="1:3">
      <c r="A545" s="30">
        <v>43042</v>
      </c>
      <c r="B545" t="s">
        <v>36</v>
      </c>
      <c r="C545">
        <v>60</v>
      </c>
    </row>
    <row r="546" spans="1:3">
      <c r="A546" s="30">
        <v>43042</v>
      </c>
      <c r="B546" t="s">
        <v>24</v>
      </c>
      <c r="C546">
        <v>108</v>
      </c>
    </row>
    <row r="547" spans="1:3">
      <c r="A547" s="30">
        <v>43041</v>
      </c>
      <c r="B547" t="s">
        <v>26</v>
      </c>
      <c r="C547">
        <v>61</v>
      </c>
    </row>
    <row r="548" spans="1:3">
      <c r="A548" s="30">
        <v>43043</v>
      </c>
      <c r="B548" t="s">
        <v>37</v>
      </c>
      <c r="C548">
        <v>132</v>
      </c>
    </row>
    <row r="549" spans="1:3">
      <c r="A549" s="30">
        <v>43045</v>
      </c>
      <c r="B549" t="s">
        <v>26</v>
      </c>
      <c r="C549">
        <v>136</v>
      </c>
    </row>
    <row r="550" spans="1:3">
      <c r="A550" s="30">
        <v>43043</v>
      </c>
      <c r="B550" t="s">
        <v>36</v>
      </c>
      <c r="C550">
        <v>75</v>
      </c>
    </row>
    <row r="551" spans="1:3">
      <c r="A551" s="30">
        <v>43043</v>
      </c>
      <c r="B551" t="s">
        <v>26</v>
      </c>
      <c r="C551">
        <v>14</v>
      </c>
    </row>
    <row r="552" spans="1:3">
      <c r="A552" s="30">
        <v>43040</v>
      </c>
      <c r="B552" t="s">
        <v>36</v>
      </c>
      <c r="C552">
        <v>19</v>
      </c>
    </row>
    <row r="553" spans="1:3">
      <c r="A553" s="30">
        <v>43047</v>
      </c>
      <c r="B553" t="s">
        <v>24</v>
      </c>
      <c r="C553">
        <v>40</v>
      </c>
    </row>
    <row r="554" spans="1:3">
      <c r="A554" s="30">
        <v>43045</v>
      </c>
      <c r="B554" t="s">
        <v>24</v>
      </c>
      <c r="C554">
        <v>54</v>
      </c>
    </row>
    <row r="555" spans="1:3">
      <c r="A555" s="30">
        <v>43041</v>
      </c>
      <c r="B555" t="s">
        <v>24</v>
      </c>
      <c r="C555">
        <v>11</v>
      </c>
    </row>
    <row r="556" spans="1:3">
      <c r="A556" s="30">
        <v>43044</v>
      </c>
      <c r="B556" t="s">
        <v>37</v>
      </c>
      <c r="C556">
        <v>49</v>
      </c>
    </row>
    <row r="557" spans="1:3">
      <c r="A557" s="30">
        <v>43046</v>
      </c>
      <c r="B557" t="s">
        <v>36</v>
      </c>
      <c r="C557">
        <v>146</v>
      </c>
    </row>
    <row r="558" spans="1:3">
      <c r="A558" s="30">
        <v>43045</v>
      </c>
      <c r="B558" t="s">
        <v>24</v>
      </c>
      <c r="C558">
        <v>162</v>
      </c>
    </row>
    <row r="559" spans="1:3">
      <c r="A559" s="30">
        <v>43040</v>
      </c>
      <c r="B559" t="s">
        <v>24</v>
      </c>
      <c r="C559">
        <v>179</v>
      </c>
    </row>
    <row r="560" spans="1:3">
      <c r="A560" s="30">
        <v>43047</v>
      </c>
      <c r="B560" t="s">
        <v>36</v>
      </c>
      <c r="C560">
        <v>88</v>
      </c>
    </row>
    <row r="561" spans="1:3">
      <c r="A561" s="30">
        <v>43040</v>
      </c>
      <c r="B561" t="s">
        <v>36</v>
      </c>
      <c r="C561">
        <v>104</v>
      </c>
    </row>
    <row r="562" spans="1:3">
      <c r="A562" s="30">
        <v>43043</v>
      </c>
      <c r="B562" t="s">
        <v>24</v>
      </c>
      <c r="C562">
        <v>56</v>
      </c>
    </row>
    <row r="563" spans="1:3">
      <c r="A563" s="30">
        <v>43043</v>
      </c>
      <c r="B563" t="s">
        <v>36</v>
      </c>
      <c r="C563">
        <v>179</v>
      </c>
    </row>
    <row r="564" spans="1:3">
      <c r="A564" s="30">
        <v>43045</v>
      </c>
      <c r="B564" t="s">
        <v>24</v>
      </c>
      <c r="C564">
        <v>177</v>
      </c>
    </row>
    <row r="565" spans="1:3">
      <c r="A565" s="30">
        <v>43046</v>
      </c>
      <c r="B565" t="s">
        <v>36</v>
      </c>
      <c r="C565">
        <v>64</v>
      </c>
    </row>
    <row r="566" spans="1:3">
      <c r="A566" s="30">
        <v>43040</v>
      </c>
      <c r="B566" t="s">
        <v>26</v>
      </c>
      <c r="C566">
        <v>172</v>
      </c>
    </row>
    <row r="567" spans="1:3">
      <c r="A567" s="30">
        <v>43044</v>
      </c>
      <c r="B567" t="s">
        <v>24</v>
      </c>
      <c r="C567">
        <v>98</v>
      </c>
    </row>
    <row r="568" spans="1:3">
      <c r="A568" s="30">
        <v>43046</v>
      </c>
      <c r="B568" t="s">
        <v>36</v>
      </c>
      <c r="C568">
        <v>131</v>
      </c>
    </row>
    <row r="569" spans="1:3">
      <c r="A569" s="30">
        <v>43043</v>
      </c>
      <c r="B569" t="s">
        <v>36</v>
      </c>
      <c r="C569">
        <v>73</v>
      </c>
    </row>
    <row r="570" spans="1:3">
      <c r="A570" s="30">
        <v>43044</v>
      </c>
      <c r="B570" t="s">
        <v>26</v>
      </c>
      <c r="C570">
        <v>168</v>
      </c>
    </row>
    <row r="571" spans="1:3">
      <c r="A571" s="30">
        <v>43044</v>
      </c>
      <c r="B571" t="s">
        <v>24</v>
      </c>
      <c r="C571">
        <v>44</v>
      </c>
    </row>
    <row r="572" spans="1:3">
      <c r="A572" s="30">
        <v>43045</v>
      </c>
      <c r="B572" t="s">
        <v>24</v>
      </c>
      <c r="C572">
        <v>163</v>
      </c>
    </row>
    <row r="573" spans="1:3">
      <c r="A573" s="30">
        <v>43043</v>
      </c>
      <c r="B573" t="s">
        <v>24</v>
      </c>
      <c r="C573">
        <v>87</v>
      </c>
    </row>
    <row r="574" spans="1:3">
      <c r="A574" s="30">
        <v>43043</v>
      </c>
      <c r="B574" t="s">
        <v>36</v>
      </c>
      <c r="C574">
        <v>47</v>
      </c>
    </row>
    <row r="575" spans="1:3">
      <c r="A575" s="30">
        <v>43046</v>
      </c>
      <c r="B575" t="s">
        <v>24</v>
      </c>
      <c r="C575">
        <v>131</v>
      </c>
    </row>
    <row r="576" spans="1:3">
      <c r="A576" s="30">
        <v>43045</v>
      </c>
      <c r="B576" t="s">
        <v>24</v>
      </c>
      <c r="C576">
        <v>146</v>
      </c>
    </row>
    <row r="577" spans="1:3">
      <c r="A577" s="30">
        <v>43042</v>
      </c>
      <c r="B577" t="s">
        <v>26</v>
      </c>
      <c r="C577">
        <v>82</v>
      </c>
    </row>
    <row r="578" spans="1:3">
      <c r="A578" s="30">
        <v>43044</v>
      </c>
      <c r="B578" t="s">
        <v>36</v>
      </c>
      <c r="C578">
        <v>129</v>
      </c>
    </row>
    <row r="579" spans="1:3">
      <c r="A579" s="30">
        <v>43045</v>
      </c>
      <c r="B579" t="s">
        <v>37</v>
      </c>
      <c r="C579">
        <v>171</v>
      </c>
    </row>
    <row r="580" spans="1:3">
      <c r="A580" s="30">
        <v>43042</v>
      </c>
      <c r="B580" t="s">
        <v>24</v>
      </c>
      <c r="C580">
        <v>18</v>
      </c>
    </row>
    <row r="581" spans="1:3">
      <c r="A581" s="30">
        <v>43043</v>
      </c>
      <c r="B581" t="s">
        <v>24</v>
      </c>
      <c r="C581">
        <v>54</v>
      </c>
    </row>
    <row r="582" spans="1:3">
      <c r="A582" s="30">
        <v>43043</v>
      </c>
      <c r="B582" t="s">
        <v>36</v>
      </c>
      <c r="C582">
        <v>185</v>
      </c>
    </row>
    <row r="583" spans="1:3">
      <c r="A583" s="30">
        <v>43040</v>
      </c>
      <c r="B583" t="s">
        <v>37</v>
      </c>
      <c r="C583">
        <v>85</v>
      </c>
    </row>
    <row r="584" spans="1:3">
      <c r="A584" s="30">
        <v>43045</v>
      </c>
      <c r="B584" t="s">
        <v>37</v>
      </c>
      <c r="C584">
        <v>106</v>
      </c>
    </row>
    <row r="585" spans="1:3">
      <c r="A585" s="30">
        <v>43047</v>
      </c>
      <c r="B585" t="s">
        <v>26</v>
      </c>
      <c r="C585">
        <v>136</v>
      </c>
    </row>
    <row r="586" spans="1:3">
      <c r="A586" s="30">
        <v>43043</v>
      </c>
      <c r="B586" t="s">
        <v>26</v>
      </c>
      <c r="C586">
        <v>96</v>
      </c>
    </row>
    <row r="587" spans="1:3">
      <c r="A587" s="30">
        <v>43043</v>
      </c>
      <c r="B587" t="s">
        <v>37</v>
      </c>
      <c r="C587">
        <v>45</v>
      </c>
    </row>
    <row r="588" spans="1:3">
      <c r="A588" s="30">
        <v>43044</v>
      </c>
      <c r="B588" t="s">
        <v>24</v>
      </c>
      <c r="C588">
        <v>190</v>
      </c>
    </row>
    <row r="589" spans="1:3">
      <c r="A589" s="30">
        <v>43042</v>
      </c>
      <c r="B589" t="s">
        <v>36</v>
      </c>
      <c r="C589">
        <v>129</v>
      </c>
    </row>
    <row r="590" spans="1:3">
      <c r="A590" s="30">
        <v>43043</v>
      </c>
      <c r="B590" t="s">
        <v>37</v>
      </c>
      <c r="C590">
        <v>140</v>
      </c>
    </row>
    <row r="591" spans="1:3">
      <c r="A591" s="30">
        <v>43047</v>
      </c>
      <c r="B591" t="s">
        <v>36</v>
      </c>
      <c r="C591">
        <v>19</v>
      </c>
    </row>
    <row r="592" spans="1:3">
      <c r="A592" s="30">
        <v>43046</v>
      </c>
      <c r="B592" t="s">
        <v>37</v>
      </c>
      <c r="C592">
        <v>88</v>
      </c>
    </row>
    <row r="593" spans="1:3">
      <c r="A593" s="30">
        <v>43040</v>
      </c>
      <c r="B593" t="s">
        <v>36</v>
      </c>
      <c r="C593">
        <v>132</v>
      </c>
    </row>
    <row r="594" spans="1:3">
      <c r="A594" s="30">
        <v>43040</v>
      </c>
      <c r="B594" t="s">
        <v>26</v>
      </c>
      <c r="C594">
        <v>38</v>
      </c>
    </row>
    <row r="595" spans="1:3">
      <c r="A595" s="30">
        <v>43046</v>
      </c>
      <c r="B595" t="s">
        <v>36</v>
      </c>
      <c r="C595">
        <v>82</v>
      </c>
    </row>
    <row r="596" spans="1:3">
      <c r="A596" s="30">
        <v>43047</v>
      </c>
      <c r="B596" t="s">
        <v>26</v>
      </c>
      <c r="C596">
        <v>101</v>
      </c>
    </row>
    <row r="597" spans="1:3">
      <c r="A597" s="30">
        <v>43046</v>
      </c>
      <c r="B597" t="s">
        <v>24</v>
      </c>
      <c r="C597">
        <v>89</v>
      </c>
    </row>
    <row r="598" spans="1:3">
      <c r="A598" s="30">
        <v>43045</v>
      </c>
      <c r="B598" t="s">
        <v>24</v>
      </c>
      <c r="C598">
        <v>59</v>
      </c>
    </row>
    <row r="599" spans="1:3">
      <c r="A599" s="30">
        <v>43042</v>
      </c>
      <c r="B599" t="s">
        <v>36</v>
      </c>
      <c r="C599">
        <v>135</v>
      </c>
    </row>
    <row r="600" spans="1:3">
      <c r="A600" s="30">
        <v>43046</v>
      </c>
      <c r="B600" t="s">
        <v>26</v>
      </c>
      <c r="C600">
        <v>151</v>
      </c>
    </row>
    <row r="601" spans="1:3">
      <c r="A601" s="30">
        <v>43045</v>
      </c>
      <c r="B601" t="s">
        <v>26</v>
      </c>
      <c r="C601">
        <v>143</v>
      </c>
    </row>
    <row r="602" spans="1:3">
      <c r="A602" s="30">
        <v>43044</v>
      </c>
      <c r="B602" t="s">
        <v>24</v>
      </c>
      <c r="C602">
        <v>50</v>
      </c>
    </row>
    <row r="603" spans="1:3">
      <c r="A603" s="30">
        <v>43043</v>
      </c>
      <c r="B603" t="s">
        <v>26</v>
      </c>
      <c r="C603">
        <v>135</v>
      </c>
    </row>
    <row r="604" spans="1:3">
      <c r="A604" s="30">
        <v>43045</v>
      </c>
      <c r="B604" t="s">
        <v>37</v>
      </c>
      <c r="C604">
        <v>64</v>
      </c>
    </row>
    <row r="605" spans="1:3">
      <c r="A605" s="30">
        <v>43042</v>
      </c>
      <c r="B605" t="s">
        <v>24</v>
      </c>
      <c r="C605">
        <v>188</v>
      </c>
    </row>
    <row r="606" spans="1:3">
      <c r="A606" s="30">
        <v>43045</v>
      </c>
      <c r="B606" t="s">
        <v>37</v>
      </c>
      <c r="C606">
        <v>40</v>
      </c>
    </row>
    <row r="607" spans="1:3">
      <c r="A607" s="30">
        <v>43042</v>
      </c>
      <c r="B607" t="s">
        <v>36</v>
      </c>
      <c r="C607">
        <v>6</v>
      </c>
    </row>
    <row r="608" spans="1:3">
      <c r="A608" s="30">
        <v>43041</v>
      </c>
      <c r="B608" t="s">
        <v>24</v>
      </c>
      <c r="C608">
        <v>18</v>
      </c>
    </row>
    <row r="609" spans="1:3">
      <c r="A609" s="30">
        <v>43045</v>
      </c>
      <c r="B609" t="s">
        <v>37</v>
      </c>
      <c r="C609">
        <v>126</v>
      </c>
    </row>
    <row r="610" spans="1:3">
      <c r="A610" s="30">
        <v>43044</v>
      </c>
      <c r="B610" t="s">
        <v>37</v>
      </c>
      <c r="C610">
        <v>136</v>
      </c>
    </row>
    <row r="611" spans="1:3">
      <c r="A611" s="30">
        <v>43047</v>
      </c>
      <c r="B611" t="s">
        <v>36</v>
      </c>
      <c r="C611">
        <v>101</v>
      </c>
    </row>
    <row r="612" spans="1:3">
      <c r="A612" s="30">
        <v>43042</v>
      </c>
      <c r="B612" t="s">
        <v>37</v>
      </c>
      <c r="C612">
        <v>23</v>
      </c>
    </row>
    <row r="613" spans="1:3">
      <c r="A613" s="30">
        <v>43040</v>
      </c>
      <c r="B613" t="s">
        <v>26</v>
      </c>
      <c r="C613">
        <v>42</v>
      </c>
    </row>
    <row r="614" spans="1:3">
      <c r="A614" s="30">
        <v>43043</v>
      </c>
      <c r="B614" t="s">
        <v>26</v>
      </c>
      <c r="C614">
        <v>98</v>
      </c>
    </row>
    <row r="615" spans="1:3">
      <c r="A615" s="30">
        <v>43040</v>
      </c>
      <c r="B615" t="s">
        <v>37</v>
      </c>
      <c r="C615">
        <v>104</v>
      </c>
    </row>
    <row r="616" spans="1:3">
      <c r="A616" s="30">
        <v>43043</v>
      </c>
      <c r="B616" t="s">
        <v>37</v>
      </c>
      <c r="C616">
        <v>113</v>
      </c>
    </row>
    <row r="617" spans="1:3">
      <c r="A617" s="30">
        <v>43042</v>
      </c>
      <c r="B617" t="s">
        <v>36</v>
      </c>
      <c r="C617">
        <v>48</v>
      </c>
    </row>
    <row r="618" spans="1:3">
      <c r="A618" s="30">
        <v>43047</v>
      </c>
      <c r="B618" t="s">
        <v>24</v>
      </c>
      <c r="C618">
        <v>168</v>
      </c>
    </row>
    <row r="619" spans="1:3">
      <c r="A619" s="30">
        <v>43040</v>
      </c>
      <c r="B619" t="s">
        <v>36</v>
      </c>
      <c r="C619">
        <v>36</v>
      </c>
    </row>
    <row r="620" spans="1:3">
      <c r="A620" s="30">
        <v>43040</v>
      </c>
      <c r="B620" t="s">
        <v>37</v>
      </c>
      <c r="C620">
        <v>122</v>
      </c>
    </row>
    <row r="621" spans="1:3">
      <c r="A621" s="30">
        <v>43041</v>
      </c>
      <c r="B621" t="s">
        <v>37</v>
      </c>
      <c r="C621">
        <v>136</v>
      </c>
    </row>
    <row r="622" spans="1:3">
      <c r="A622" s="30">
        <v>43040</v>
      </c>
      <c r="B622" t="s">
        <v>26</v>
      </c>
      <c r="C622">
        <v>76</v>
      </c>
    </row>
    <row r="623" spans="1:3">
      <c r="A623" s="30">
        <v>43041</v>
      </c>
      <c r="B623" t="s">
        <v>24</v>
      </c>
      <c r="C623">
        <v>161</v>
      </c>
    </row>
    <row r="624" spans="1:3">
      <c r="A624" s="30">
        <v>43043</v>
      </c>
      <c r="B624" t="s">
        <v>26</v>
      </c>
      <c r="C624">
        <v>187</v>
      </c>
    </row>
    <row r="625" spans="1:3">
      <c r="A625" s="30">
        <v>43044</v>
      </c>
      <c r="B625" t="s">
        <v>26</v>
      </c>
      <c r="C625">
        <v>38</v>
      </c>
    </row>
    <row r="626" spans="1:3">
      <c r="A626" s="30">
        <v>43047</v>
      </c>
      <c r="B626" t="s">
        <v>37</v>
      </c>
      <c r="C626">
        <v>5</v>
      </c>
    </row>
    <row r="627" spans="1:3">
      <c r="A627" s="30">
        <v>43045</v>
      </c>
      <c r="B627" t="s">
        <v>24</v>
      </c>
      <c r="C627">
        <v>44</v>
      </c>
    </row>
    <row r="628" spans="1:3">
      <c r="A628" s="30">
        <v>43041</v>
      </c>
      <c r="B628" t="s">
        <v>24</v>
      </c>
      <c r="C628">
        <v>101</v>
      </c>
    </row>
    <row r="629" spans="1:3">
      <c r="A629" s="30">
        <v>43046</v>
      </c>
      <c r="B629" t="s">
        <v>36</v>
      </c>
      <c r="C629">
        <v>129</v>
      </c>
    </row>
    <row r="630" spans="1:3">
      <c r="A630" s="30">
        <v>43045</v>
      </c>
      <c r="B630" t="s">
        <v>26</v>
      </c>
      <c r="C630">
        <v>170</v>
      </c>
    </row>
    <row r="631" spans="1:3">
      <c r="A631" s="30">
        <v>43047</v>
      </c>
      <c r="B631" t="s">
        <v>26</v>
      </c>
      <c r="C631">
        <v>169</v>
      </c>
    </row>
    <row r="632" spans="1:3">
      <c r="A632" s="30">
        <v>43047</v>
      </c>
      <c r="B632" t="s">
        <v>24</v>
      </c>
      <c r="C632">
        <v>173</v>
      </c>
    </row>
    <row r="633" spans="1:3">
      <c r="A633" s="30">
        <v>43044</v>
      </c>
      <c r="B633" t="s">
        <v>26</v>
      </c>
      <c r="C633">
        <v>155</v>
      </c>
    </row>
    <row r="634" spans="1:3">
      <c r="A634" s="30">
        <v>43043</v>
      </c>
      <c r="B634" t="s">
        <v>37</v>
      </c>
      <c r="C634">
        <v>40</v>
      </c>
    </row>
    <row r="635" spans="1:3">
      <c r="A635" s="30">
        <v>43046</v>
      </c>
      <c r="B635" t="s">
        <v>26</v>
      </c>
      <c r="C635">
        <v>14</v>
      </c>
    </row>
    <row r="636" spans="1:3">
      <c r="A636" s="30">
        <v>43042</v>
      </c>
      <c r="B636" t="s">
        <v>36</v>
      </c>
      <c r="C636">
        <v>172</v>
      </c>
    </row>
    <row r="637" spans="1:3">
      <c r="A637" s="30">
        <v>43044</v>
      </c>
      <c r="B637" t="s">
        <v>37</v>
      </c>
      <c r="C637">
        <v>139</v>
      </c>
    </row>
    <row r="638" spans="1:3">
      <c r="A638" s="30">
        <v>43043</v>
      </c>
      <c r="B638" t="s">
        <v>26</v>
      </c>
      <c r="C638">
        <v>167</v>
      </c>
    </row>
    <row r="639" spans="1:3">
      <c r="A639" s="30">
        <v>43044</v>
      </c>
      <c r="B639" t="s">
        <v>37</v>
      </c>
      <c r="C639">
        <v>191</v>
      </c>
    </row>
    <row r="640" spans="1:3">
      <c r="A640" s="30">
        <v>43040</v>
      </c>
      <c r="B640" t="s">
        <v>24</v>
      </c>
      <c r="C640">
        <v>84</v>
      </c>
    </row>
    <row r="641" spans="1:3">
      <c r="A641" s="30">
        <v>43043</v>
      </c>
      <c r="B641" t="s">
        <v>24</v>
      </c>
      <c r="C641">
        <v>102</v>
      </c>
    </row>
    <row r="642" spans="1:3">
      <c r="A642" s="30">
        <v>43040</v>
      </c>
      <c r="B642" t="s">
        <v>26</v>
      </c>
      <c r="C642">
        <v>100</v>
      </c>
    </row>
    <row r="643" spans="1:3">
      <c r="A643" s="30">
        <v>43044</v>
      </c>
      <c r="B643" t="s">
        <v>24</v>
      </c>
      <c r="C643">
        <v>107</v>
      </c>
    </row>
    <row r="644" spans="1:3">
      <c r="A644" s="30">
        <v>43044</v>
      </c>
      <c r="B644" t="s">
        <v>24</v>
      </c>
      <c r="C644">
        <v>1</v>
      </c>
    </row>
    <row r="645" spans="1:3">
      <c r="A645" s="30">
        <v>43043</v>
      </c>
      <c r="B645" t="s">
        <v>37</v>
      </c>
      <c r="C645">
        <v>92</v>
      </c>
    </row>
    <row r="646" spans="1:3">
      <c r="A646" s="30">
        <v>43044</v>
      </c>
      <c r="B646" t="s">
        <v>37</v>
      </c>
      <c r="C646">
        <v>18</v>
      </c>
    </row>
    <row r="647" spans="1:3">
      <c r="A647" s="30">
        <v>43045</v>
      </c>
      <c r="B647" t="s">
        <v>37</v>
      </c>
      <c r="C647">
        <v>169</v>
      </c>
    </row>
    <row r="648" spans="1:3">
      <c r="A648" s="30">
        <v>43045</v>
      </c>
      <c r="B648" t="s">
        <v>24</v>
      </c>
      <c r="C648">
        <v>129</v>
      </c>
    </row>
    <row r="649" spans="1:3">
      <c r="A649" s="30">
        <v>43042</v>
      </c>
      <c r="B649" t="s">
        <v>24</v>
      </c>
      <c r="C649">
        <v>30</v>
      </c>
    </row>
    <row r="650" spans="1:3">
      <c r="A650" s="30">
        <v>43041</v>
      </c>
      <c r="B650" t="s">
        <v>37</v>
      </c>
      <c r="C650">
        <v>12</v>
      </c>
    </row>
    <row r="651" spans="1:3">
      <c r="A651" s="30">
        <v>43044</v>
      </c>
      <c r="B651" t="s">
        <v>37</v>
      </c>
      <c r="C651">
        <v>59</v>
      </c>
    </row>
    <row r="652" spans="1:3">
      <c r="A652" s="30">
        <v>43047</v>
      </c>
      <c r="B652" t="s">
        <v>26</v>
      </c>
      <c r="C652">
        <v>120</v>
      </c>
    </row>
    <row r="653" spans="1:3">
      <c r="A653" s="30">
        <v>43043</v>
      </c>
      <c r="B653" t="s">
        <v>26</v>
      </c>
      <c r="C653">
        <v>72</v>
      </c>
    </row>
    <row r="654" spans="1:3">
      <c r="A654" s="30">
        <v>43045</v>
      </c>
      <c r="B654" t="s">
        <v>24</v>
      </c>
      <c r="C654">
        <v>111</v>
      </c>
    </row>
    <row r="655" spans="1:3">
      <c r="A655" s="30">
        <v>43040</v>
      </c>
      <c r="B655" t="s">
        <v>24</v>
      </c>
      <c r="C655">
        <v>182</v>
      </c>
    </row>
    <row r="656" spans="1:3">
      <c r="A656" s="30">
        <v>43041</v>
      </c>
      <c r="B656" t="s">
        <v>26</v>
      </c>
      <c r="C656">
        <v>175</v>
      </c>
    </row>
    <row r="657" spans="1:3">
      <c r="A657" s="30">
        <v>43043</v>
      </c>
      <c r="B657" t="s">
        <v>37</v>
      </c>
      <c r="C657">
        <v>8</v>
      </c>
    </row>
    <row r="658" spans="1:3">
      <c r="A658" s="30">
        <v>43041</v>
      </c>
      <c r="B658" t="s">
        <v>24</v>
      </c>
      <c r="C658">
        <v>69</v>
      </c>
    </row>
    <row r="659" spans="1:3">
      <c r="A659" s="30">
        <v>43044</v>
      </c>
      <c r="B659" t="s">
        <v>37</v>
      </c>
      <c r="C659">
        <v>60</v>
      </c>
    </row>
    <row r="660" spans="1:3">
      <c r="A660" s="30">
        <v>43046</v>
      </c>
      <c r="B660" t="s">
        <v>37</v>
      </c>
      <c r="C660">
        <v>25</v>
      </c>
    </row>
    <row r="661" spans="1:3">
      <c r="A661" s="30">
        <v>43045</v>
      </c>
      <c r="B661" t="s">
        <v>36</v>
      </c>
      <c r="C661">
        <v>118</v>
      </c>
    </row>
    <row r="662" spans="1:3">
      <c r="A662" s="30">
        <v>43045</v>
      </c>
      <c r="B662" t="s">
        <v>26</v>
      </c>
      <c r="C662">
        <v>63</v>
      </c>
    </row>
    <row r="663" spans="1:3">
      <c r="A663" s="30">
        <v>43047</v>
      </c>
      <c r="B663" t="s">
        <v>26</v>
      </c>
      <c r="C663">
        <v>123</v>
      </c>
    </row>
    <row r="664" spans="1:3">
      <c r="A664" s="30">
        <v>43042</v>
      </c>
      <c r="B664" t="s">
        <v>36</v>
      </c>
      <c r="C664">
        <v>90</v>
      </c>
    </row>
    <row r="665" spans="1:3">
      <c r="A665" s="30">
        <v>43047</v>
      </c>
      <c r="B665" t="s">
        <v>36</v>
      </c>
      <c r="C665">
        <v>41</v>
      </c>
    </row>
    <row r="666" spans="1:3">
      <c r="A666" s="30">
        <v>43047</v>
      </c>
      <c r="B666" t="s">
        <v>26</v>
      </c>
      <c r="C666">
        <v>162</v>
      </c>
    </row>
    <row r="667" spans="1:3">
      <c r="A667" s="30">
        <v>43046</v>
      </c>
      <c r="B667" t="s">
        <v>37</v>
      </c>
      <c r="C667">
        <v>9</v>
      </c>
    </row>
    <row r="668" spans="1:3">
      <c r="A668" s="30">
        <v>43046</v>
      </c>
      <c r="B668" t="s">
        <v>37</v>
      </c>
      <c r="C668">
        <v>161</v>
      </c>
    </row>
    <row r="669" spans="1:3">
      <c r="A669" s="30">
        <v>43046</v>
      </c>
      <c r="B669" t="s">
        <v>24</v>
      </c>
      <c r="C669">
        <v>30</v>
      </c>
    </row>
    <row r="670" spans="1:3">
      <c r="A670" s="30">
        <v>43044</v>
      </c>
      <c r="B670" t="s">
        <v>37</v>
      </c>
      <c r="C670">
        <v>120</v>
      </c>
    </row>
    <row r="671" spans="1:3">
      <c r="A671" s="30">
        <v>43044</v>
      </c>
      <c r="B671" t="s">
        <v>36</v>
      </c>
      <c r="C671">
        <v>39</v>
      </c>
    </row>
    <row r="672" spans="1:3">
      <c r="A672" s="30">
        <v>43047</v>
      </c>
      <c r="B672" t="s">
        <v>37</v>
      </c>
      <c r="C672">
        <v>131</v>
      </c>
    </row>
    <row r="673" spans="1:3">
      <c r="A673" s="30">
        <v>43045</v>
      </c>
      <c r="B673" t="s">
        <v>24</v>
      </c>
      <c r="C673">
        <v>90</v>
      </c>
    </row>
    <row r="674" spans="1:3">
      <c r="A674" s="30">
        <v>43044</v>
      </c>
      <c r="B674" t="s">
        <v>26</v>
      </c>
      <c r="C674">
        <v>171</v>
      </c>
    </row>
    <row r="675" spans="1:3">
      <c r="A675" s="30">
        <v>43045</v>
      </c>
      <c r="B675" t="s">
        <v>26</v>
      </c>
      <c r="C675">
        <v>158</v>
      </c>
    </row>
    <row r="676" spans="1:3">
      <c r="A676" s="30">
        <v>43041</v>
      </c>
      <c r="B676" t="s">
        <v>26</v>
      </c>
      <c r="C676">
        <v>130</v>
      </c>
    </row>
    <row r="677" spans="1:3">
      <c r="A677" s="30">
        <v>43046</v>
      </c>
      <c r="B677" t="s">
        <v>24</v>
      </c>
      <c r="C677">
        <v>149</v>
      </c>
    </row>
    <row r="678" spans="1:3">
      <c r="A678" s="30">
        <v>43047</v>
      </c>
      <c r="B678" t="s">
        <v>37</v>
      </c>
      <c r="C678">
        <v>143</v>
      </c>
    </row>
    <row r="679" spans="1:3">
      <c r="A679" s="30">
        <v>43040</v>
      </c>
      <c r="B679" t="s">
        <v>24</v>
      </c>
      <c r="C679">
        <v>48</v>
      </c>
    </row>
    <row r="680" spans="1:3">
      <c r="A680" s="30">
        <v>43044</v>
      </c>
      <c r="B680" t="s">
        <v>36</v>
      </c>
      <c r="C680">
        <v>17</v>
      </c>
    </row>
    <row r="681" spans="1:3">
      <c r="A681" s="30">
        <v>43042</v>
      </c>
      <c r="B681" t="s">
        <v>26</v>
      </c>
      <c r="C681">
        <v>35</v>
      </c>
    </row>
    <row r="682" spans="1:3">
      <c r="A682" s="30">
        <v>43044</v>
      </c>
      <c r="B682" t="s">
        <v>37</v>
      </c>
      <c r="C682">
        <v>168</v>
      </c>
    </row>
    <row r="683" spans="1:3">
      <c r="A683" s="30">
        <v>43041</v>
      </c>
      <c r="B683" t="s">
        <v>37</v>
      </c>
      <c r="C683">
        <v>106</v>
      </c>
    </row>
    <row r="684" spans="1:3">
      <c r="A684" s="30">
        <v>43044</v>
      </c>
      <c r="B684" t="s">
        <v>36</v>
      </c>
      <c r="C684">
        <v>36</v>
      </c>
    </row>
    <row r="685" spans="1:3">
      <c r="A685" s="30">
        <v>43041</v>
      </c>
      <c r="B685" t="s">
        <v>36</v>
      </c>
      <c r="C685">
        <v>19</v>
      </c>
    </row>
    <row r="686" spans="1:3">
      <c r="A686" s="30">
        <v>43044</v>
      </c>
      <c r="B686" t="s">
        <v>36</v>
      </c>
      <c r="C686">
        <v>173</v>
      </c>
    </row>
    <row r="687" spans="1:3">
      <c r="A687" s="30">
        <v>43042</v>
      </c>
      <c r="B687" t="s">
        <v>26</v>
      </c>
      <c r="C687">
        <v>66</v>
      </c>
    </row>
    <row r="688" spans="1:3">
      <c r="A688" s="30">
        <v>43045</v>
      </c>
      <c r="B688" t="s">
        <v>36</v>
      </c>
      <c r="C688">
        <v>25</v>
      </c>
    </row>
    <row r="689" spans="1:3">
      <c r="A689" s="30">
        <v>43043</v>
      </c>
      <c r="B689" t="s">
        <v>37</v>
      </c>
      <c r="C689">
        <v>47</v>
      </c>
    </row>
    <row r="690" spans="1:3">
      <c r="A690" s="30">
        <v>43047</v>
      </c>
      <c r="B690" t="s">
        <v>37</v>
      </c>
      <c r="C690">
        <v>49</v>
      </c>
    </row>
    <row r="691" spans="1:3">
      <c r="A691" s="30">
        <v>43047</v>
      </c>
      <c r="B691" t="s">
        <v>26</v>
      </c>
      <c r="C691">
        <v>1</v>
      </c>
    </row>
    <row r="692" spans="1:3">
      <c r="A692" s="30">
        <v>43042</v>
      </c>
      <c r="B692" t="s">
        <v>24</v>
      </c>
      <c r="C692">
        <v>75</v>
      </c>
    </row>
    <row r="693" spans="1:3">
      <c r="A693" s="30">
        <v>43045</v>
      </c>
      <c r="B693" t="s">
        <v>37</v>
      </c>
      <c r="C693">
        <v>137</v>
      </c>
    </row>
    <row r="694" spans="1:3">
      <c r="A694" s="30">
        <v>43040</v>
      </c>
      <c r="B694" t="s">
        <v>24</v>
      </c>
      <c r="C694">
        <v>101</v>
      </c>
    </row>
    <row r="695" spans="1:3">
      <c r="A695" s="30">
        <v>43046</v>
      </c>
      <c r="B695" t="s">
        <v>26</v>
      </c>
      <c r="C695">
        <v>11</v>
      </c>
    </row>
    <row r="696" spans="1:3">
      <c r="A696" s="30">
        <v>43042</v>
      </c>
      <c r="B696" t="s">
        <v>36</v>
      </c>
      <c r="C696">
        <v>42</v>
      </c>
    </row>
    <row r="697" spans="1:3">
      <c r="A697" s="30">
        <v>43040</v>
      </c>
      <c r="B697" t="s">
        <v>37</v>
      </c>
      <c r="C697">
        <v>185</v>
      </c>
    </row>
    <row r="698" spans="1:3">
      <c r="A698" s="30">
        <v>43043</v>
      </c>
      <c r="B698" t="s">
        <v>37</v>
      </c>
      <c r="C698">
        <v>160</v>
      </c>
    </row>
    <row r="699" spans="1:3">
      <c r="A699" s="30">
        <v>43043</v>
      </c>
      <c r="B699" t="s">
        <v>37</v>
      </c>
      <c r="C699">
        <v>7</v>
      </c>
    </row>
    <row r="700" spans="1:3">
      <c r="A700" s="30">
        <v>43044</v>
      </c>
      <c r="B700" t="s">
        <v>24</v>
      </c>
      <c r="C700">
        <v>1</v>
      </c>
    </row>
    <row r="701" spans="1:3">
      <c r="A701" s="30">
        <v>43045</v>
      </c>
      <c r="B701" t="s">
        <v>37</v>
      </c>
      <c r="C701">
        <v>80</v>
      </c>
    </row>
    <row r="702" spans="1:3">
      <c r="A702" s="30">
        <v>43047</v>
      </c>
      <c r="B702" t="s">
        <v>26</v>
      </c>
      <c r="C702">
        <v>117</v>
      </c>
    </row>
    <row r="703" spans="1:3">
      <c r="A703" s="30">
        <v>43041</v>
      </c>
      <c r="B703" t="s">
        <v>36</v>
      </c>
      <c r="C703">
        <v>37</v>
      </c>
    </row>
    <row r="704" spans="1:3">
      <c r="A704" s="30">
        <v>43040</v>
      </c>
      <c r="B704" t="s">
        <v>37</v>
      </c>
      <c r="C704">
        <v>179</v>
      </c>
    </row>
    <row r="705" spans="1:3">
      <c r="A705" s="30">
        <v>43046</v>
      </c>
      <c r="B705" t="s">
        <v>26</v>
      </c>
      <c r="C705">
        <v>60</v>
      </c>
    </row>
    <row r="706" spans="1:3">
      <c r="A706" s="30">
        <v>43043</v>
      </c>
      <c r="B706" t="s">
        <v>36</v>
      </c>
      <c r="C706">
        <v>60</v>
      </c>
    </row>
    <row r="707" spans="1:3">
      <c r="A707" s="30">
        <v>43044</v>
      </c>
      <c r="B707" t="s">
        <v>26</v>
      </c>
      <c r="C707">
        <v>79</v>
      </c>
    </row>
    <row r="708" spans="1:3">
      <c r="A708" s="30">
        <v>43047</v>
      </c>
      <c r="B708" t="s">
        <v>26</v>
      </c>
      <c r="C708">
        <v>63</v>
      </c>
    </row>
    <row r="709" spans="1:3">
      <c r="A709" s="30">
        <v>43040</v>
      </c>
      <c r="B709" t="s">
        <v>37</v>
      </c>
      <c r="C709">
        <v>145</v>
      </c>
    </row>
    <row r="710" spans="1:3">
      <c r="A710" s="30">
        <v>43045</v>
      </c>
      <c r="B710" t="s">
        <v>24</v>
      </c>
      <c r="C710">
        <v>39</v>
      </c>
    </row>
    <row r="711" spans="1:3">
      <c r="A711" s="30">
        <v>43043</v>
      </c>
      <c r="B711" t="s">
        <v>26</v>
      </c>
      <c r="C711">
        <v>117</v>
      </c>
    </row>
    <row r="712" spans="1:3">
      <c r="A712" s="30">
        <v>43044</v>
      </c>
      <c r="B712" t="s">
        <v>36</v>
      </c>
      <c r="C712">
        <v>127</v>
      </c>
    </row>
    <row r="713" spans="1:3">
      <c r="A713" s="30">
        <v>43047</v>
      </c>
      <c r="B713" t="s">
        <v>26</v>
      </c>
      <c r="C713">
        <v>13</v>
      </c>
    </row>
    <row r="714" spans="1:3">
      <c r="A714" s="30">
        <v>43044</v>
      </c>
      <c r="B714" t="s">
        <v>26</v>
      </c>
      <c r="C714">
        <v>92</v>
      </c>
    </row>
    <row r="715" spans="1:3">
      <c r="A715" s="30">
        <v>43047</v>
      </c>
      <c r="B715" t="s">
        <v>26</v>
      </c>
      <c r="C715">
        <v>147</v>
      </c>
    </row>
    <row r="716" spans="1:3">
      <c r="A716" s="30">
        <v>43041</v>
      </c>
      <c r="B716" t="s">
        <v>37</v>
      </c>
      <c r="C716">
        <v>175</v>
      </c>
    </row>
    <row r="717" spans="1:3">
      <c r="A717" s="30">
        <v>43041</v>
      </c>
      <c r="B717" t="s">
        <v>26</v>
      </c>
      <c r="C717">
        <v>165</v>
      </c>
    </row>
    <row r="718" spans="1:3">
      <c r="A718" s="30">
        <v>43041</v>
      </c>
      <c r="B718" t="s">
        <v>37</v>
      </c>
      <c r="C718">
        <v>10</v>
      </c>
    </row>
    <row r="719" spans="1:3">
      <c r="A719" s="30">
        <v>43042</v>
      </c>
      <c r="B719" t="s">
        <v>36</v>
      </c>
      <c r="C719">
        <v>110</v>
      </c>
    </row>
    <row r="720" spans="1:3">
      <c r="A720" s="30">
        <v>43040</v>
      </c>
      <c r="B720" t="s">
        <v>26</v>
      </c>
      <c r="C720">
        <v>133</v>
      </c>
    </row>
    <row r="721" spans="1:3">
      <c r="A721" s="30">
        <v>43041</v>
      </c>
      <c r="B721" t="s">
        <v>37</v>
      </c>
      <c r="C721">
        <v>191</v>
      </c>
    </row>
    <row r="722" spans="1:3">
      <c r="A722" s="30">
        <v>43043</v>
      </c>
      <c r="B722" t="s">
        <v>26</v>
      </c>
      <c r="C722">
        <v>123</v>
      </c>
    </row>
    <row r="723" spans="1:3">
      <c r="A723" s="30">
        <v>43046</v>
      </c>
      <c r="B723" t="s">
        <v>36</v>
      </c>
      <c r="C723">
        <v>26</v>
      </c>
    </row>
    <row r="724" spans="1:3">
      <c r="A724" s="30">
        <v>43047</v>
      </c>
      <c r="B724" t="s">
        <v>26</v>
      </c>
      <c r="C724">
        <v>88</v>
      </c>
    </row>
    <row r="725" spans="1:3">
      <c r="A725" s="30">
        <v>43046</v>
      </c>
      <c r="B725" t="s">
        <v>36</v>
      </c>
      <c r="C725">
        <v>119</v>
      </c>
    </row>
    <row r="726" spans="1:3">
      <c r="A726" s="30">
        <v>43043</v>
      </c>
      <c r="B726" t="s">
        <v>26</v>
      </c>
      <c r="C726">
        <v>78</v>
      </c>
    </row>
    <row r="727" spans="1:3">
      <c r="A727" s="30">
        <v>43040</v>
      </c>
      <c r="B727" t="s">
        <v>24</v>
      </c>
      <c r="C727">
        <v>141</v>
      </c>
    </row>
    <row r="728" spans="1:3">
      <c r="A728" s="30">
        <v>43040</v>
      </c>
      <c r="B728" t="s">
        <v>37</v>
      </c>
      <c r="C728">
        <v>187</v>
      </c>
    </row>
    <row r="729" spans="1:3">
      <c r="A729" s="30">
        <v>43043</v>
      </c>
      <c r="B729" t="s">
        <v>26</v>
      </c>
      <c r="C729">
        <v>2</v>
      </c>
    </row>
    <row r="730" spans="1:3">
      <c r="A730" s="30">
        <v>43044</v>
      </c>
      <c r="B730" t="s">
        <v>37</v>
      </c>
      <c r="C730">
        <v>163</v>
      </c>
    </row>
    <row r="731" spans="1:3">
      <c r="A731" s="30">
        <v>43045</v>
      </c>
      <c r="B731" t="s">
        <v>26</v>
      </c>
      <c r="C731">
        <v>106</v>
      </c>
    </row>
    <row r="732" spans="1:3">
      <c r="A732" s="30">
        <v>43044</v>
      </c>
      <c r="B732" t="s">
        <v>24</v>
      </c>
      <c r="C732">
        <v>9</v>
      </c>
    </row>
    <row r="733" spans="1:3">
      <c r="A733" s="30">
        <v>43040</v>
      </c>
      <c r="B733" t="s">
        <v>26</v>
      </c>
      <c r="C733">
        <v>70</v>
      </c>
    </row>
    <row r="734" spans="1:3">
      <c r="A734" s="30">
        <v>43044</v>
      </c>
      <c r="B734" t="s">
        <v>37</v>
      </c>
      <c r="C734">
        <v>88</v>
      </c>
    </row>
    <row r="735" spans="1:3">
      <c r="A735" s="30">
        <v>43040</v>
      </c>
      <c r="B735" t="s">
        <v>26</v>
      </c>
      <c r="C735">
        <v>129</v>
      </c>
    </row>
    <row r="736" spans="1:3">
      <c r="A736" s="30">
        <v>43040</v>
      </c>
      <c r="B736" t="s">
        <v>26</v>
      </c>
      <c r="C736">
        <v>50</v>
      </c>
    </row>
    <row r="737" spans="1:3">
      <c r="A737" s="30">
        <v>43041</v>
      </c>
      <c r="B737" t="s">
        <v>26</v>
      </c>
      <c r="C737">
        <v>158</v>
      </c>
    </row>
    <row r="738" spans="1:3">
      <c r="A738" s="30">
        <v>43046</v>
      </c>
      <c r="B738" t="s">
        <v>37</v>
      </c>
      <c r="C738">
        <v>166</v>
      </c>
    </row>
    <row r="739" spans="1:3">
      <c r="A739" s="30">
        <v>43047</v>
      </c>
      <c r="B739" t="s">
        <v>24</v>
      </c>
      <c r="C739">
        <v>151</v>
      </c>
    </row>
    <row r="740" spans="1:3">
      <c r="A740" s="30">
        <v>43042</v>
      </c>
      <c r="B740" t="s">
        <v>24</v>
      </c>
      <c r="C740">
        <v>110</v>
      </c>
    </row>
    <row r="741" spans="1:3">
      <c r="A741" s="30">
        <v>43040</v>
      </c>
      <c r="B741" t="s">
        <v>37</v>
      </c>
      <c r="C741">
        <v>13</v>
      </c>
    </row>
    <row r="742" spans="1:3">
      <c r="A742" s="30">
        <v>43040</v>
      </c>
      <c r="B742" t="s">
        <v>26</v>
      </c>
      <c r="C742">
        <v>85</v>
      </c>
    </row>
    <row r="743" spans="1:3">
      <c r="A743" s="30">
        <v>43046</v>
      </c>
      <c r="B743" t="s">
        <v>24</v>
      </c>
      <c r="C743">
        <v>74</v>
      </c>
    </row>
    <row r="744" spans="1:3">
      <c r="A744" s="30">
        <v>43044</v>
      </c>
      <c r="B744" t="s">
        <v>26</v>
      </c>
      <c r="C744">
        <v>169</v>
      </c>
    </row>
    <row r="745" spans="1:3">
      <c r="A745" s="30">
        <v>43044</v>
      </c>
      <c r="B745" t="s">
        <v>24</v>
      </c>
      <c r="C745">
        <v>89</v>
      </c>
    </row>
    <row r="746" spans="1:3">
      <c r="A746" s="30">
        <v>43042</v>
      </c>
      <c r="B746" t="s">
        <v>37</v>
      </c>
      <c r="C746">
        <v>189</v>
      </c>
    </row>
    <row r="747" spans="1:3">
      <c r="A747" s="30">
        <v>43042</v>
      </c>
      <c r="B747" t="s">
        <v>24</v>
      </c>
      <c r="C747">
        <v>138</v>
      </c>
    </row>
    <row r="748" spans="1:3">
      <c r="A748" s="30">
        <v>43047</v>
      </c>
      <c r="B748" t="s">
        <v>36</v>
      </c>
      <c r="C748">
        <v>6</v>
      </c>
    </row>
    <row r="749" spans="1:3">
      <c r="A749" s="30">
        <v>43042</v>
      </c>
      <c r="B749" t="s">
        <v>24</v>
      </c>
      <c r="C749">
        <v>133</v>
      </c>
    </row>
    <row r="750" spans="1:3">
      <c r="A750" s="30">
        <v>43046</v>
      </c>
      <c r="B750" t="s">
        <v>24</v>
      </c>
      <c r="C750">
        <v>95</v>
      </c>
    </row>
    <row r="751" spans="1:3">
      <c r="A751" s="30">
        <v>43045</v>
      </c>
      <c r="B751" t="s">
        <v>36</v>
      </c>
      <c r="C751">
        <v>133</v>
      </c>
    </row>
    <row r="752" spans="1:3">
      <c r="A752" s="30">
        <v>43047</v>
      </c>
      <c r="B752" t="s">
        <v>26</v>
      </c>
      <c r="C752">
        <v>164</v>
      </c>
    </row>
    <row r="753" spans="1:3">
      <c r="A753" s="30">
        <v>43046</v>
      </c>
      <c r="B753" t="s">
        <v>37</v>
      </c>
      <c r="C753">
        <v>30</v>
      </c>
    </row>
    <row r="754" spans="1:3">
      <c r="A754" s="30">
        <v>43046</v>
      </c>
      <c r="B754" t="s">
        <v>36</v>
      </c>
      <c r="C754">
        <v>113</v>
      </c>
    </row>
    <row r="755" spans="1:3">
      <c r="A755" s="30">
        <v>43043</v>
      </c>
      <c r="B755" t="s">
        <v>26</v>
      </c>
      <c r="C755">
        <v>3</v>
      </c>
    </row>
    <row r="756" spans="1:3">
      <c r="A756" s="30">
        <v>43046</v>
      </c>
      <c r="B756" t="s">
        <v>24</v>
      </c>
      <c r="C756">
        <v>167</v>
      </c>
    </row>
    <row r="757" spans="1:3">
      <c r="A757" s="30">
        <v>43046</v>
      </c>
      <c r="B757" t="s">
        <v>26</v>
      </c>
      <c r="C757">
        <v>148</v>
      </c>
    </row>
    <row r="758" spans="1:3">
      <c r="A758" s="30">
        <v>43042</v>
      </c>
      <c r="B758" t="s">
        <v>24</v>
      </c>
      <c r="C758">
        <v>167</v>
      </c>
    </row>
    <row r="759" spans="1:3">
      <c r="A759" s="30">
        <v>43047</v>
      </c>
      <c r="B759" t="s">
        <v>36</v>
      </c>
      <c r="C759">
        <v>25</v>
      </c>
    </row>
    <row r="760" spans="1:3">
      <c r="A760" s="30">
        <v>43043</v>
      </c>
      <c r="B760" t="s">
        <v>37</v>
      </c>
      <c r="C760">
        <v>130</v>
      </c>
    </row>
    <row r="761" spans="1:3">
      <c r="A761" s="30">
        <v>43043</v>
      </c>
      <c r="B761" t="s">
        <v>24</v>
      </c>
      <c r="C761">
        <v>19</v>
      </c>
    </row>
    <row r="762" spans="1:3">
      <c r="A762" s="30">
        <v>43040</v>
      </c>
      <c r="B762" t="s">
        <v>37</v>
      </c>
      <c r="C762">
        <v>33</v>
      </c>
    </row>
    <row r="763" spans="1:3">
      <c r="A763" s="30">
        <v>43046</v>
      </c>
      <c r="B763" t="s">
        <v>26</v>
      </c>
      <c r="C763">
        <v>86</v>
      </c>
    </row>
    <row r="764" spans="1:3">
      <c r="A764" s="30">
        <v>43047</v>
      </c>
      <c r="B764" t="s">
        <v>24</v>
      </c>
      <c r="C764">
        <v>50</v>
      </c>
    </row>
    <row r="765" spans="1:3">
      <c r="A765" s="30">
        <v>43044</v>
      </c>
      <c r="B765" t="s">
        <v>37</v>
      </c>
      <c r="C765">
        <v>68</v>
      </c>
    </row>
    <row r="766" spans="1:3">
      <c r="A766" s="30">
        <v>43041</v>
      </c>
      <c r="B766" t="s">
        <v>24</v>
      </c>
      <c r="C766">
        <v>77</v>
      </c>
    </row>
    <row r="767" spans="1:3">
      <c r="A767" s="30">
        <v>43042</v>
      </c>
      <c r="B767" t="s">
        <v>26</v>
      </c>
      <c r="C767">
        <v>20</v>
      </c>
    </row>
    <row r="768" spans="1:3">
      <c r="A768" s="30">
        <v>43040</v>
      </c>
      <c r="B768" t="s">
        <v>24</v>
      </c>
      <c r="C768">
        <v>132</v>
      </c>
    </row>
    <row r="769" spans="1:3">
      <c r="A769" s="30">
        <v>43047</v>
      </c>
      <c r="B769" t="s">
        <v>37</v>
      </c>
      <c r="C769">
        <v>4</v>
      </c>
    </row>
    <row r="770" spans="1:3">
      <c r="A770" s="30">
        <v>43045</v>
      </c>
      <c r="B770" t="s">
        <v>37</v>
      </c>
      <c r="C770">
        <v>153</v>
      </c>
    </row>
    <row r="771" spans="1:3">
      <c r="A771" s="30">
        <v>43047</v>
      </c>
      <c r="B771" t="s">
        <v>26</v>
      </c>
      <c r="C771">
        <v>29</v>
      </c>
    </row>
    <row r="772" spans="1:3">
      <c r="A772" s="30">
        <v>43042</v>
      </c>
      <c r="B772" t="s">
        <v>24</v>
      </c>
      <c r="C772">
        <v>98</v>
      </c>
    </row>
    <row r="773" spans="1:3">
      <c r="A773" s="30">
        <v>43046</v>
      </c>
      <c r="B773" t="s">
        <v>36</v>
      </c>
      <c r="C773">
        <v>89</v>
      </c>
    </row>
    <row r="774" spans="1:3">
      <c r="A774" s="30">
        <v>43042</v>
      </c>
      <c r="B774" t="s">
        <v>36</v>
      </c>
      <c r="C774">
        <v>129</v>
      </c>
    </row>
    <row r="775" spans="1:3">
      <c r="A775" s="30">
        <v>43046</v>
      </c>
      <c r="B775" t="s">
        <v>36</v>
      </c>
      <c r="C775">
        <v>165</v>
      </c>
    </row>
    <row r="776" spans="1:3">
      <c r="A776" s="30">
        <v>43043</v>
      </c>
      <c r="B776" t="s">
        <v>24</v>
      </c>
      <c r="C776">
        <v>169</v>
      </c>
    </row>
    <row r="777" spans="1:3">
      <c r="A777" s="30">
        <v>43040</v>
      </c>
      <c r="B777" t="s">
        <v>37</v>
      </c>
      <c r="C777">
        <v>191</v>
      </c>
    </row>
    <row r="778" spans="1:3">
      <c r="A778" s="30">
        <v>43047</v>
      </c>
      <c r="B778" t="s">
        <v>36</v>
      </c>
      <c r="C778">
        <v>120</v>
      </c>
    </row>
    <row r="779" spans="1:3">
      <c r="A779" s="30">
        <v>43046</v>
      </c>
      <c r="B779" t="s">
        <v>24</v>
      </c>
      <c r="C779">
        <v>188</v>
      </c>
    </row>
    <row r="780" spans="1:3">
      <c r="A780" s="30">
        <v>43045</v>
      </c>
      <c r="B780" t="s">
        <v>37</v>
      </c>
      <c r="C780">
        <v>101</v>
      </c>
    </row>
    <row r="781" spans="1:3">
      <c r="A781" s="30">
        <v>43044</v>
      </c>
      <c r="B781" t="s">
        <v>26</v>
      </c>
      <c r="C781">
        <v>73</v>
      </c>
    </row>
    <row r="782" spans="1:3">
      <c r="A782" s="30">
        <v>43046</v>
      </c>
      <c r="B782" t="s">
        <v>37</v>
      </c>
      <c r="C782">
        <v>139</v>
      </c>
    </row>
    <row r="783" spans="1:3">
      <c r="A783" s="30">
        <v>43042</v>
      </c>
      <c r="B783" t="s">
        <v>37</v>
      </c>
      <c r="C783">
        <v>168</v>
      </c>
    </row>
    <row r="784" spans="1:3">
      <c r="A784" s="30">
        <v>43046</v>
      </c>
      <c r="B784" t="s">
        <v>24</v>
      </c>
      <c r="C784">
        <v>150</v>
      </c>
    </row>
    <row r="785" spans="1:3">
      <c r="A785" s="30">
        <v>43046</v>
      </c>
      <c r="B785" t="s">
        <v>26</v>
      </c>
      <c r="C785">
        <v>24</v>
      </c>
    </row>
    <row r="786" spans="1:3">
      <c r="A786" s="30">
        <v>43045</v>
      </c>
      <c r="B786" t="s">
        <v>37</v>
      </c>
      <c r="C786">
        <v>94</v>
      </c>
    </row>
    <row r="787" spans="1:3">
      <c r="A787" s="30">
        <v>43040</v>
      </c>
      <c r="B787" t="s">
        <v>36</v>
      </c>
      <c r="C787">
        <v>171</v>
      </c>
    </row>
    <row r="788" spans="1:3">
      <c r="A788" s="30">
        <v>43044</v>
      </c>
      <c r="B788" t="s">
        <v>24</v>
      </c>
      <c r="C788">
        <v>119</v>
      </c>
    </row>
    <row r="789" spans="1:3">
      <c r="A789" s="30">
        <v>43047</v>
      </c>
      <c r="B789" t="s">
        <v>37</v>
      </c>
      <c r="C789">
        <v>157</v>
      </c>
    </row>
    <row r="790" spans="1:3">
      <c r="A790" s="30">
        <v>43045</v>
      </c>
      <c r="B790" t="s">
        <v>24</v>
      </c>
      <c r="C790">
        <v>46</v>
      </c>
    </row>
    <row r="791" spans="1:3">
      <c r="A791" s="30">
        <v>43047</v>
      </c>
      <c r="B791" t="s">
        <v>24</v>
      </c>
      <c r="C791">
        <v>191</v>
      </c>
    </row>
    <row r="792" spans="1:3">
      <c r="A792" s="30">
        <v>43040</v>
      </c>
      <c r="B792" t="s">
        <v>37</v>
      </c>
      <c r="C792">
        <v>83</v>
      </c>
    </row>
    <row r="793" spans="1:3">
      <c r="A793" s="30">
        <v>43042</v>
      </c>
      <c r="B793" t="s">
        <v>24</v>
      </c>
      <c r="C793">
        <v>106</v>
      </c>
    </row>
    <row r="794" spans="1:3">
      <c r="A794" s="30">
        <v>43046</v>
      </c>
      <c r="B794" t="s">
        <v>37</v>
      </c>
      <c r="C794">
        <v>53</v>
      </c>
    </row>
    <row r="795" spans="1:3">
      <c r="A795" s="30">
        <v>43046</v>
      </c>
      <c r="B795" t="s">
        <v>36</v>
      </c>
      <c r="C795">
        <v>178</v>
      </c>
    </row>
    <row r="796" spans="1:3">
      <c r="A796" s="30">
        <v>43044</v>
      </c>
      <c r="B796" t="s">
        <v>24</v>
      </c>
      <c r="C796">
        <v>134</v>
      </c>
    </row>
    <row r="797" spans="1:3">
      <c r="A797" s="30">
        <v>43045</v>
      </c>
      <c r="B797" t="s">
        <v>36</v>
      </c>
      <c r="C797">
        <v>74</v>
      </c>
    </row>
    <row r="798" spans="1:3">
      <c r="A798" s="30">
        <v>43040</v>
      </c>
      <c r="B798" t="s">
        <v>36</v>
      </c>
      <c r="C798">
        <v>38</v>
      </c>
    </row>
    <row r="799" spans="1:3">
      <c r="A799" s="30">
        <v>43043</v>
      </c>
      <c r="B799" t="s">
        <v>37</v>
      </c>
      <c r="C799">
        <v>185</v>
      </c>
    </row>
    <row r="800" spans="1:3">
      <c r="A800" s="30">
        <v>43042</v>
      </c>
      <c r="B800" t="s">
        <v>24</v>
      </c>
      <c r="C800">
        <v>145</v>
      </c>
    </row>
    <row r="801" spans="1:3">
      <c r="A801" s="30">
        <v>43046</v>
      </c>
      <c r="B801" t="s">
        <v>36</v>
      </c>
      <c r="C801">
        <v>119</v>
      </c>
    </row>
    <row r="802" spans="1:3">
      <c r="A802" s="30">
        <v>43045</v>
      </c>
      <c r="B802" t="s">
        <v>36</v>
      </c>
      <c r="C802">
        <v>178</v>
      </c>
    </row>
    <row r="803" spans="1:3">
      <c r="A803" s="30">
        <v>43041</v>
      </c>
      <c r="B803" t="s">
        <v>24</v>
      </c>
      <c r="C803">
        <v>171</v>
      </c>
    </row>
    <row r="804" spans="1:3">
      <c r="A804" s="30">
        <v>43040</v>
      </c>
      <c r="B804" t="s">
        <v>24</v>
      </c>
      <c r="C804">
        <v>33</v>
      </c>
    </row>
    <row r="805" spans="1:3">
      <c r="A805" s="30">
        <v>43044</v>
      </c>
      <c r="B805" t="s">
        <v>26</v>
      </c>
      <c r="C805">
        <v>32</v>
      </c>
    </row>
    <row r="806" spans="1:3">
      <c r="A806" s="30">
        <v>43045</v>
      </c>
      <c r="B806" t="s">
        <v>37</v>
      </c>
      <c r="C806">
        <v>24</v>
      </c>
    </row>
    <row r="807" spans="1:3">
      <c r="A807" s="30">
        <v>43043</v>
      </c>
      <c r="B807" t="s">
        <v>37</v>
      </c>
      <c r="C807">
        <v>166</v>
      </c>
    </row>
    <row r="808" spans="1:3">
      <c r="A808" s="30">
        <v>43043</v>
      </c>
      <c r="B808" t="s">
        <v>26</v>
      </c>
      <c r="C808">
        <v>107</v>
      </c>
    </row>
    <row r="809" spans="1:3">
      <c r="A809" s="30">
        <v>43040</v>
      </c>
      <c r="B809" t="s">
        <v>26</v>
      </c>
      <c r="C809">
        <v>179</v>
      </c>
    </row>
    <row r="810" spans="1:3">
      <c r="A810" s="30">
        <v>43043</v>
      </c>
      <c r="B810" t="s">
        <v>26</v>
      </c>
      <c r="C810">
        <v>164</v>
      </c>
    </row>
    <row r="811" spans="1:3">
      <c r="A811" s="30">
        <v>43045</v>
      </c>
      <c r="B811" t="s">
        <v>36</v>
      </c>
      <c r="C811">
        <v>175</v>
      </c>
    </row>
    <row r="812" spans="1:3">
      <c r="A812" s="30">
        <v>43043</v>
      </c>
      <c r="B812" t="s">
        <v>37</v>
      </c>
      <c r="C812">
        <v>55</v>
      </c>
    </row>
    <row r="813" spans="1:3">
      <c r="A813" s="30">
        <v>43046</v>
      </c>
      <c r="B813" t="s">
        <v>36</v>
      </c>
      <c r="C813">
        <v>165</v>
      </c>
    </row>
    <row r="814" spans="1:3">
      <c r="A814" s="30">
        <v>43047</v>
      </c>
      <c r="B814" t="s">
        <v>37</v>
      </c>
      <c r="C814">
        <v>142</v>
      </c>
    </row>
    <row r="815" spans="1:3">
      <c r="A815" s="30">
        <v>43041</v>
      </c>
      <c r="B815" t="s">
        <v>36</v>
      </c>
      <c r="C815">
        <v>67</v>
      </c>
    </row>
    <row r="816" spans="1:3">
      <c r="A816" s="30">
        <v>43046</v>
      </c>
      <c r="B816" t="s">
        <v>36</v>
      </c>
      <c r="C816">
        <v>73</v>
      </c>
    </row>
    <row r="817" spans="1:3">
      <c r="A817" s="30">
        <v>43044</v>
      </c>
      <c r="B817" t="s">
        <v>24</v>
      </c>
      <c r="C817">
        <v>21</v>
      </c>
    </row>
    <row r="818" spans="1:3">
      <c r="A818" s="30">
        <v>43047</v>
      </c>
      <c r="B818" t="s">
        <v>36</v>
      </c>
      <c r="C818">
        <v>40</v>
      </c>
    </row>
    <row r="819" spans="1:3">
      <c r="A819" s="30">
        <v>43042</v>
      </c>
      <c r="B819" t="s">
        <v>24</v>
      </c>
      <c r="C819">
        <v>175</v>
      </c>
    </row>
    <row r="820" spans="1:3">
      <c r="A820" s="30">
        <v>43040</v>
      </c>
      <c r="B820" t="s">
        <v>37</v>
      </c>
      <c r="C820">
        <v>187</v>
      </c>
    </row>
    <row r="821" spans="1:3">
      <c r="A821" s="30">
        <v>43045</v>
      </c>
      <c r="B821" t="s">
        <v>24</v>
      </c>
      <c r="C821">
        <v>167</v>
      </c>
    </row>
    <row r="822" spans="1:3">
      <c r="A822" s="30">
        <v>43046</v>
      </c>
      <c r="B822" t="s">
        <v>37</v>
      </c>
      <c r="C822">
        <v>70</v>
      </c>
    </row>
    <row r="823" spans="1:3">
      <c r="A823" s="30">
        <v>43043</v>
      </c>
      <c r="B823" t="s">
        <v>37</v>
      </c>
      <c r="C823">
        <v>72</v>
      </c>
    </row>
    <row r="824" spans="1:3">
      <c r="A824" s="30">
        <v>43047</v>
      </c>
      <c r="B824" t="s">
        <v>36</v>
      </c>
      <c r="C824">
        <v>103</v>
      </c>
    </row>
    <row r="825" spans="1:3">
      <c r="A825" s="30">
        <v>43044</v>
      </c>
      <c r="B825" t="s">
        <v>37</v>
      </c>
      <c r="C825">
        <v>88</v>
      </c>
    </row>
    <row r="826" spans="1:3">
      <c r="A826" s="30">
        <v>43043</v>
      </c>
      <c r="B826" t="s">
        <v>37</v>
      </c>
      <c r="C826">
        <v>134</v>
      </c>
    </row>
    <row r="827" spans="1:3">
      <c r="A827" s="30">
        <v>43045</v>
      </c>
      <c r="B827" t="s">
        <v>36</v>
      </c>
      <c r="C827">
        <v>40</v>
      </c>
    </row>
    <row r="828" spans="1:3">
      <c r="A828" s="30">
        <v>43041</v>
      </c>
      <c r="B828" t="s">
        <v>24</v>
      </c>
      <c r="C828">
        <v>19</v>
      </c>
    </row>
    <row r="829" spans="1:3">
      <c r="A829" s="30">
        <v>43043</v>
      </c>
      <c r="B829" t="s">
        <v>36</v>
      </c>
      <c r="C829">
        <v>6</v>
      </c>
    </row>
    <row r="830" spans="1:3">
      <c r="A830" s="30">
        <v>43044</v>
      </c>
      <c r="B830" t="s">
        <v>36</v>
      </c>
      <c r="C830">
        <v>93</v>
      </c>
    </row>
    <row r="831" spans="1:3">
      <c r="A831" s="30">
        <v>43045</v>
      </c>
      <c r="B831" t="s">
        <v>36</v>
      </c>
      <c r="C831">
        <v>147</v>
      </c>
    </row>
    <row r="832" spans="1:3">
      <c r="A832" s="30">
        <v>43046</v>
      </c>
      <c r="B832" t="s">
        <v>24</v>
      </c>
      <c r="C832">
        <v>37</v>
      </c>
    </row>
    <row r="833" spans="1:3">
      <c r="A833" s="30">
        <v>43045</v>
      </c>
      <c r="B833" t="s">
        <v>24</v>
      </c>
      <c r="C833">
        <v>8</v>
      </c>
    </row>
    <row r="834" spans="1:3">
      <c r="A834" s="30">
        <v>43044</v>
      </c>
      <c r="B834" t="s">
        <v>26</v>
      </c>
      <c r="C834">
        <v>137</v>
      </c>
    </row>
    <row r="835" spans="1:3">
      <c r="A835" s="30">
        <v>43041</v>
      </c>
      <c r="B835" t="s">
        <v>24</v>
      </c>
      <c r="C835">
        <v>100</v>
      </c>
    </row>
    <row r="836" spans="1:3">
      <c r="A836" s="30">
        <v>43045</v>
      </c>
      <c r="B836" t="s">
        <v>37</v>
      </c>
      <c r="C836">
        <v>143</v>
      </c>
    </row>
    <row r="837" spans="1:3">
      <c r="A837" s="30">
        <v>43046</v>
      </c>
      <c r="B837" t="s">
        <v>24</v>
      </c>
      <c r="C837">
        <v>99</v>
      </c>
    </row>
    <row r="838" spans="1:3">
      <c r="A838" s="30">
        <v>43046</v>
      </c>
      <c r="B838" t="s">
        <v>26</v>
      </c>
      <c r="C838">
        <v>171</v>
      </c>
    </row>
    <row r="839" spans="1:3">
      <c r="A839" s="30">
        <v>43047</v>
      </c>
      <c r="B839" t="s">
        <v>24</v>
      </c>
      <c r="C839">
        <v>30</v>
      </c>
    </row>
    <row r="840" spans="1:3">
      <c r="A840" s="30">
        <v>43046</v>
      </c>
      <c r="B840" t="s">
        <v>24</v>
      </c>
      <c r="C840">
        <v>145</v>
      </c>
    </row>
    <row r="841" spans="1:3">
      <c r="A841" s="30">
        <v>43041</v>
      </c>
      <c r="B841" t="s">
        <v>36</v>
      </c>
      <c r="C841">
        <v>125</v>
      </c>
    </row>
    <row r="842" spans="1:3">
      <c r="A842" s="30">
        <v>43042</v>
      </c>
      <c r="B842" t="s">
        <v>24</v>
      </c>
      <c r="C842">
        <v>25</v>
      </c>
    </row>
    <row r="843" spans="1:3">
      <c r="A843" s="30">
        <v>43045</v>
      </c>
      <c r="B843" t="s">
        <v>37</v>
      </c>
      <c r="C843">
        <v>126</v>
      </c>
    </row>
    <row r="844" spans="1:3">
      <c r="A844" s="30">
        <v>43045</v>
      </c>
      <c r="B844" t="s">
        <v>24</v>
      </c>
      <c r="C844">
        <v>18</v>
      </c>
    </row>
    <row r="845" spans="1:3">
      <c r="A845" s="30">
        <v>43044</v>
      </c>
      <c r="B845" t="s">
        <v>37</v>
      </c>
      <c r="C845">
        <v>161</v>
      </c>
    </row>
    <row r="846" spans="1:3">
      <c r="A846" s="30">
        <v>43043</v>
      </c>
      <c r="B846" t="s">
        <v>24</v>
      </c>
      <c r="C846">
        <v>166</v>
      </c>
    </row>
    <row r="847" spans="1:3">
      <c r="A847" s="30">
        <v>43042</v>
      </c>
      <c r="B847" t="s">
        <v>37</v>
      </c>
      <c r="C847">
        <v>29</v>
      </c>
    </row>
    <row r="848" spans="1:3">
      <c r="A848" s="30">
        <v>43041</v>
      </c>
      <c r="B848" t="s">
        <v>26</v>
      </c>
      <c r="C848">
        <v>63</v>
      </c>
    </row>
    <row r="849" spans="1:3">
      <c r="A849" s="30">
        <v>43043</v>
      </c>
      <c r="B849" t="s">
        <v>26</v>
      </c>
      <c r="C849">
        <v>11</v>
      </c>
    </row>
    <row r="850" spans="1:3">
      <c r="A850" s="30">
        <v>43044</v>
      </c>
      <c r="B850" t="s">
        <v>36</v>
      </c>
      <c r="C850">
        <v>157</v>
      </c>
    </row>
    <row r="851" spans="1:3">
      <c r="A851" s="30">
        <v>43042</v>
      </c>
      <c r="B851" t="s">
        <v>24</v>
      </c>
      <c r="C851">
        <v>12</v>
      </c>
    </row>
    <row r="852" spans="1:3">
      <c r="A852" s="30">
        <v>43045</v>
      </c>
      <c r="B852" t="s">
        <v>36</v>
      </c>
      <c r="C852">
        <v>71</v>
      </c>
    </row>
    <row r="853" spans="1:3">
      <c r="A853" s="30">
        <v>43043</v>
      </c>
      <c r="B853" t="s">
        <v>37</v>
      </c>
      <c r="C853">
        <v>153</v>
      </c>
    </row>
    <row r="854" spans="1:3">
      <c r="A854" s="30">
        <v>43044</v>
      </c>
      <c r="B854" t="s">
        <v>26</v>
      </c>
      <c r="C854">
        <v>95</v>
      </c>
    </row>
    <row r="855" spans="1:3">
      <c r="A855" s="30">
        <v>43044</v>
      </c>
      <c r="B855" t="s">
        <v>26</v>
      </c>
      <c r="C855">
        <v>31</v>
      </c>
    </row>
    <row r="856" spans="1:3">
      <c r="A856" s="30">
        <v>43044</v>
      </c>
      <c r="B856" t="s">
        <v>37</v>
      </c>
      <c r="C856">
        <v>47</v>
      </c>
    </row>
    <row r="857" spans="1:3">
      <c r="A857" s="30">
        <v>43044</v>
      </c>
      <c r="B857" t="s">
        <v>37</v>
      </c>
      <c r="C857">
        <v>147</v>
      </c>
    </row>
    <row r="858" spans="1:3">
      <c r="A858" s="30">
        <v>43047</v>
      </c>
      <c r="B858" t="s">
        <v>24</v>
      </c>
      <c r="C858">
        <v>135</v>
      </c>
    </row>
    <row r="859" spans="1:3">
      <c r="A859" s="30">
        <v>43040</v>
      </c>
      <c r="B859" t="s">
        <v>24</v>
      </c>
      <c r="C859">
        <v>78</v>
      </c>
    </row>
    <row r="860" spans="1:3">
      <c r="A860" s="30">
        <v>43046</v>
      </c>
      <c r="B860" t="s">
        <v>24</v>
      </c>
      <c r="C860">
        <v>94</v>
      </c>
    </row>
    <row r="861" spans="1:3">
      <c r="A861" s="30">
        <v>43040</v>
      </c>
      <c r="B861" t="s">
        <v>36</v>
      </c>
      <c r="C861">
        <v>97</v>
      </c>
    </row>
    <row r="862" spans="1:3">
      <c r="A862" s="30">
        <v>43045</v>
      </c>
      <c r="B862" t="s">
        <v>26</v>
      </c>
      <c r="C862">
        <v>170</v>
      </c>
    </row>
    <row r="863" spans="1:3">
      <c r="A863" s="30">
        <v>43046</v>
      </c>
      <c r="B863" t="s">
        <v>26</v>
      </c>
      <c r="C863">
        <v>100</v>
      </c>
    </row>
    <row r="864" spans="1:3">
      <c r="A864" s="30">
        <v>43041</v>
      </c>
      <c r="B864" t="s">
        <v>24</v>
      </c>
      <c r="C864">
        <v>57</v>
      </c>
    </row>
    <row r="865" spans="1:3">
      <c r="A865" s="30">
        <v>43044</v>
      </c>
      <c r="B865" t="s">
        <v>37</v>
      </c>
      <c r="C865">
        <v>133</v>
      </c>
    </row>
    <row r="866" spans="1:3">
      <c r="A866" s="30">
        <v>43045</v>
      </c>
      <c r="B866" t="s">
        <v>36</v>
      </c>
      <c r="C866">
        <v>176</v>
      </c>
    </row>
    <row r="867" spans="1:3">
      <c r="A867" s="30">
        <v>43041</v>
      </c>
      <c r="B867" t="s">
        <v>24</v>
      </c>
      <c r="C867">
        <v>165</v>
      </c>
    </row>
    <row r="868" spans="1:3">
      <c r="A868" s="30">
        <v>43040</v>
      </c>
      <c r="B868" t="s">
        <v>36</v>
      </c>
      <c r="C868">
        <v>182</v>
      </c>
    </row>
    <row r="869" spans="1:3">
      <c r="A869" s="30">
        <v>43043</v>
      </c>
      <c r="B869" t="s">
        <v>26</v>
      </c>
      <c r="C869">
        <v>72</v>
      </c>
    </row>
    <row r="870" spans="1:3">
      <c r="A870" s="30">
        <v>43045</v>
      </c>
      <c r="B870" t="s">
        <v>26</v>
      </c>
      <c r="C870">
        <v>45</v>
      </c>
    </row>
    <row r="871" spans="1:3">
      <c r="A871" s="30">
        <v>43047</v>
      </c>
      <c r="B871" t="s">
        <v>37</v>
      </c>
      <c r="C871">
        <v>52</v>
      </c>
    </row>
    <row r="872" spans="1:3">
      <c r="A872" s="30">
        <v>43047</v>
      </c>
      <c r="B872" t="s">
        <v>36</v>
      </c>
      <c r="C872">
        <v>10</v>
      </c>
    </row>
    <row r="873" spans="1:3">
      <c r="A873" s="30">
        <v>43046</v>
      </c>
      <c r="B873" t="s">
        <v>24</v>
      </c>
      <c r="C873">
        <v>167</v>
      </c>
    </row>
    <row r="874" spans="1:3">
      <c r="A874" s="30">
        <v>43041</v>
      </c>
      <c r="B874" t="s">
        <v>24</v>
      </c>
      <c r="C874">
        <v>49</v>
      </c>
    </row>
    <row r="875" spans="1:3">
      <c r="A875" s="30">
        <v>43044</v>
      </c>
      <c r="B875" t="s">
        <v>36</v>
      </c>
      <c r="C875">
        <v>51</v>
      </c>
    </row>
    <row r="876" spans="1:3">
      <c r="A876" s="30">
        <v>43044</v>
      </c>
      <c r="B876" t="s">
        <v>36</v>
      </c>
      <c r="C876">
        <v>146</v>
      </c>
    </row>
    <row r="877" spans="1:3">
      <c r="A877" s="30">
        <v>43043</v>
      </c>
      <c r="B877" t="s">
        <v>26</v>
      </c>
      <c r="C877">
        <v>138</v>
      </c>
    </row>
    <row r="878" spans="1:3">
      <c r="A878" s="30">
        <v>43047</v>
      </c>
      <c r="B878" t="s">
        <v>26</v>
      </c>
      <c r="C878">
        <v>162</v>
      </c>
    </row>
    <row r="879" spans="1:3">
      <c r="A879" s="30">
        <v>43046</v>
      </c>
      <c r="B879" t="s">
        <v>36</v>
      </c>
      <c r="C879">
        <v>134</v>
      </c>
    </row>
    <row r="880" spans="1:3">
      <c r="A880" s="30">
        <v>43046</v>
      </c>
      <c r="B880" t="s">
        <v>26</v>
      </c>
      <c r="C880">
        <v>177</v>
      </c>
    </row>
    <row r="881" spans="1:3">
      <c r="A881" s="30">
        <v>43046</v>
      </c>
      <c r="B881" t="s">
        <v>24</v>
      </c>
      <c r="C881">
        <v>131</v>
      </c>
    </row>
    <row r="882" spans="1:3">
      <c r="A882" s="30">
        <v>43045</v>
      </c>
      <c r="B882" t="s">
        <v>24</v>
      </c>
      <c r="C882">
        <v>97</v>
      </c>
    </row>
    <row r="883" spans="1:3">
      <c r="A883" s="30">
        <v>43040</v>
      </c>
      <c r="B883" t="s">
        <v>36</v>
      </c>
      <c r="C883">
        <v>67</v>
      </c>
    </row>
    <row r="884" spans="1:3">
      <c r="A884" s="30">
        <v>43047</v>
      </c>
      <c r="B884" t="s">
        <v>36</v>
      </c>
      <c r="C884">
        <v>91</v>
      </c>
    </row>
    <row r="885" spans="1:3">
      <c r="A885" s="30">
        <v>43045</v>
      </c>
      <c r="B885" t="s">
        <v>26</v>
      </c>
      <c r="C885">
        <v>24</v>
      </c>
    </row>
    <row r="886" spans="1:3">
      <c r="A886" s="30">
        <v>43047</v>
      </c>
      <c r="B886" t="s">
        <v>36</v>
      </c>
      <c r="C886">
        <v>84</v>
      </c>
    </row>
    <row r="887" spans="1:3">
      <c r="A887" s="30">
        <v>43042</v>
      </c>
      <c r="B887" t="s">
        <v>26</v>
      </c>
      <c r="C887">
        <v>137</v>
      </c>
    </row>
    <row r="888" spans="1:3">
      <c r="A888" s="30">
        <v>43045</v>
      </c>
      <c r="B888" t="s">
        <v>36</v>
      </c>
      <c r="C888">
        <v>176</v>
      </c>
    </row>
    <row r="889" spans="1:3">
      <c r="A889" s="30">
        <v>43045</v>
      </c>
      <c r="B889" t="s">
        <v>24</v>
      </c>
      <c r="C889">
        <v>30</v>
      </c>
    </row>
    <row r="890" spans="1:3">
      <c r="A890" s="30">
        <v>43042</v>
      </c>
      <c r="B890" t="s">
        <v>26</v>
      </c>
      <c r="C890">
        <v>7</v>
      </c>
    </row>
    <row r="891" spans="1:3">
      <c r="A891" s="30">
        <v>43046</v>
      </c>
      <c r="B891" t="s">
        <v>36</v>
      </c>
      <c r="C891">
        <v>168</v>
      </c>
    </row>
    <row r="892" spans="1:3">
      <c r="A892" s="30">
        <v>43045</v>
      </c>
      <c r="B892" t="s">
        <v>37</v>
      </c>
      <c r="C892">
        <v>23</v>
      </c>
    </row>
    <row r="893" spans="1:3">
      <c r="A893" s="30">
        <v>43040</v>
      </c>
      <c r="B893" t="s">
        <v>24</v>
      </c>
      <c r="C893">
        <v>109</v>
      </c>
    </row>
    <row r="894" spans="1:3">
      <c r="A894" s="30">
        <v>43043</v>
      </c>
      <c r="B894" t="s">
        <v>36</v>
      </c>
      <c r="C894">
        <v>45</v>
      </c>
    </row>
    <row r="895" spans="1:3">
      <c r="A895" s="30">
        <v>43040</v>
      </c>
      <c r="B895" t="s">
        <v>37</v>
      </c>
      <c r="C895">
        <v>86</v>
      </c>
    </row>
    <row r="896" spans="1:3">
      <c r="A896" s="30">
        <v>43043</v>
      </c>
      <c r="B896" t="s">
        <v>36</v>
      </c>
      <c r="C896">
        <v>130</v>
      </c>
    </row>
    <row r="897" spans="1:3">
      <c r="A897" s="30">
        <v>43041</v>
      </c>
      <c r="B897" t="s">
        <v>36</v>
      </c>
      <c r="C897">
        <v>61</v>
      </c>
    </row>
    <row r="898" spans="1:3">
      <c r="A898" s="30">
        <v>43044</v>
      </c>
      <c r="B898" t="s">
        <v>36</v>
      </c>
      <c r="C898">
        <v>134</v>
      </c>
    </row>
    <row r="899" spans="1:3">
      <c r="A899" s="30">
        <v>43047</v>
      </c>
      <c r="B899" t="s">
        <v>37</v>
      </c>
      <c r="C899">
        <v>62</v>
      </c>
    </row>
    <row r="900" spans="1:3">
      <c r="A900" s="30">
        <v>43044</v>
      </c>
      <c r="B900" t="s">
        <v>26</v>
      </c>
      <c r="C900">
        <v>85</v>
      </c>
    </row>
    <row r="901" spans="1:3">
      <c r="A901" s="30">
        <v>43042</v>
      </c>
      <c r="B901" t="s">
        <v>24</v>
      </c>
      <c r="C901">
        <v>22</v>
      </c>
    </row>
    <row r="902" spans="1:3">
      <c r="A902" s="30">
        <v>43040</v>
      </c>
      <c r="B902" t="s">
        <v>26</v>
      </c>
      <c r="C902">
        <v>2</v>
      </c>
    </row>
    <row r="903" spans="1:3">
      <c r="A903" s="30">
        <v>43047</v>
      </c>
      <c r="B903" t="s">
        <v>37</v>
      </c>
      <c r="C903">
        <v>89</v>
      </c>
    </row>
    <row r="904" spans="1:3">
      <c r="A904" s="30">
        <v>43044</v>
      </c>
      <c r="B904" t="s">
        <v>37</v>
      </c>
      <c r="C904">
        <v>142</v>
      </c>
    </row>
    <row r="905" spans="1:3">
      <c r="A905" s="30">
        <v>43040</v>
      </c>
      <c r="B905" t="s">
        <v>24</v>
      </c>
      <c r="C905">
        <v>182</v>
      </c>
    </row>
    <row r="906" spans="1:3">
      <c r="A906" s="30">
        <v>43043</v>
      </c>
      <c r="B906" t="s">
        <v>37</v>
      </c>
      <c r="C906">
        <v>165</v>
      </c>
    </row>
    <row r="907" spans="1:3">
      <c r="A907" s="30">
        <v>43040</v>
      </c>
      <c r="B907" t="s">
        <v>37</v>
      </c>
      <c r="C907">
        <v>128</v>
      </c>
    </row>
    <row r="908" spans="1:3">
      <c r="A908" s="30">
        <v>43042</v>
      </c>
      <c r="B908" t="s">
        <v>26</v>
      </c>
      <c r="C908">
        <v>180</v>
      </c>
    </row>
    <row r="909" spans="1:3">
      <c r="A909" s="30">
        <v>43040</v>
      </c>
      <c r="B909" t="s">
        <v>36</v>
      </c>
      <c r="C909">
        <v>89</v>
      </c>
    </row>
    <row r="910" spans="1:3">
      <c r="A910" s="30">
        <v>43045</v>
      </c>
      <c r="B910" t="s">
        <v>37</v>
      </c>
      <c r="C910">
        <v>134</v>
      </c>
    </row>
    <row r="911" spans="1:3">
      <c r="A911" s="30">
        <v>43043</v>
      </c>
      <c r="B911" t="s">
        <v>26</v>
      </c>
      <c r="C911">
        <v>191</v>
      </c>
    </row>
    <row r="912" spans="1:3">
      <c r="A912" s="30">
        <v>43041</v>
      </c>
      <c r="B912" t="s">
        <v>24</v>
      </c>
      <c r="C912">
        <v>191</v>
      </c>
    </row>
    <row r="913" spans="1:3">
      <c r="A913" s="30">
        <v>43046</v>
      </c>
      <c r="B913" t="s">
        <v>24</v>
      </c>
      <c r="C913">
        <v>81</v>
      </c>
    </row>
    <row r="914" spans="1:3">
      <c r="A914" s="30">
        <v>43044</v>
      </c>
      <c r="B914" t="s">
        <v>36</v>
      </c>
      <c r="C914">
        <v>164</v>
      </c>
    </row>
    <row r="915" spans="1:3">
      <c r="A915" s="30">
        <v>43043</v>
      </c>
      <c r="B915" t="s">
        <v>26</v>
      </c>
      <c r="C915">
        <v>65</v>
      </c>
    </row>
    <row r="916" spans="1:3">
      <c r="A916" s="30">
        <v>43043</v>
      </c>
      <c r="B916" t="s">
        <v>26</v>
      </c>
      <c r="C916">
        <v>183</v>
      </c>
    </row>
    <row r="917" spans="1:3">
      <c r="A917" s="30">
        <v>43040</v>
      </c>
      <c r="B917" t="s">
        <v>37</v>
      </c>
      <c r="C917">
        <v>82</v>
      </c>
    </row>
    <row r="918" spans="1:3">
      <c r="A918" s="30">
        <v>43041</v>
      </c>
      <c r="B918" t="s">
        <v>26</v>
      </c>
      <c r="C918">
        <v>75</v>
      </c>
    </row>
    <row r="919" spans="1:3">
      <c r="A919" s="30">
        <v>43041</v>
      </c>
      <c r="B919" t="s">
        <v>37</v>
      </c>
      <c r="C919">
        <v>88</v>
      </c>
    </row>
    <row r="920" spans="1:3">
      <c r="A920" s="30">
        <v>43047</v>
      </c>
      <c r="B920" t="s">
        <v>37</v>
      </c>
      <c r="C920">
        <v>14</v>
      </c>
    </row>
    <row r="921" spans="1:3">
      <c r="A921" s="30">
        <v>43044</v>
      </c>
      <c r="B921" t="s">
        <v>37</v>
      </c>
      <c r="C921">
        <v>124</v>
      </c>
    </row>
    <row r="922" spans="1:3">
      <c r="A922" s="30">
        <v>43043</v>
      </c>
      <c r="B922" t="s">
        <v>26</v>
      </c>
      <c r="C922">
        <v>153</v>
      </c>
    </row>
    <row r="923" spans="1:3">
      <c r="A923" s="30">
        <v>43043</v>
      </c>
      <c r="B923" t="s">
        <v>24</v>
      </c>
      <c r="C923">
        <v>113</v>
      </c>
    </row>
    <row r="924" spans="1:3">
      <c r="A924" s="30">
        <v>43047</v>
      </c>
      <c r="B924" t="s">
        <v>37</v>
      </c>
      <c r="C924">
        <v>94</v>
      </c>
    </row>
    <row r="925" spans="1:3">
      <c r="A925" s="30">
        <v>43042</v>
      </c>
      <c r="B925" t="s">
        <v>26</v>
      </c>
      <c r="C925">
        <v>16</v>
      </c>
    </row>
    <row r="926" spans="1:3">
      <c r="A926" s="30">
        <v>43046</v>
      </c>
      <c r="B926" t="s">
        <v>24</v>
      </c>
      <c r="C926">
        <v>156</v>
      </c>
    </row>
    <row r="927" spans="1:3">
      <c r="A927" s="30">
        <v>43042</v>
      </c>
      <c r="B927" t="s">
        <v>24</v>
      </c>
      <c r="C927">
        <v>16</v>
      </c>
    </row>
    <row r="928" spans="1:3">
      <c r="A928" s="30">
        <v>43041</v>
      </c>
      <c r="B928" t="s">
        <v>24</v>
      </c>
      <c r="C928">
        <v>165</v>
      </c>
    </row>
    <row r="929" spans="1:3">
      <c r="A929" s="30">
        <v>43042</v>
      </c>
      <c r="B929" t="s">
        <v>37</v>
      </c>
      <c r="C929">
        <v>108</v>
      </c>
    </row>
    <row r="930" spans="1:3">
      <c r="A930" s="30">
        <v>43045</v>
      </c>
      <c r="B930" t="s">
        <v>26</v>
      </c>
      <c r="C930">
        <v>158</v>
      </c>
    </row>
    <row r="931" spans="1:3">
      <c r="A931" s="30">
        <v>43046</v>
      </c>
      <c r="B931" t="s">
        <v>24</v>
      </c>
      <c r="C931">
        <v>107</v>
      </c>
    </row>
    <row r="932" spans="1:3">
      <c r="A932" s="30">
        <v>43043</v>
      </c>
      <c r="B932" t="s">
        <v>36</v>
      </c>
      <c r="C932">
        <v>127</v>
      </c>
    </row>
    <row r="933" spans="1:3">
      <c r="A933" s="30">
        <v>43047</v>
      </c>
      <c r="B933" t="s">
        <v>24</v>
      </c>
      <c r="C933">
        <v>120</v>
      </c>
    </row>
    <row r="934" spans="1:3">
      <c r="A934" s="30">
        <v>43045</v>
      </c>
      <c r="B934" t="s">
        <v>26</v>
      </c>
      <c r="C934">
        <v>69</v>
      </c>
    </row>
    <row r="935" spans="1:3">
      <c r="A935" s="30">
        <v>43047</v>
      </c>
      <c r="B935" t="s">
        <v>26</v>
      </c>
      <c r="C935">
        <v>186</v>
      </c>
    </row>
    <row r="936" spans="1:3">
      <c r="A936" s="30">
        <v>43044</v>
      </c>
      <c r="B936" t="s">
        <v>26</v>
      </c>
      <c r="C936">
        <v>171</v>
      </c>
    </row>
    <row r="937" spans="1:3">
      <c r="A937" s="30">
        <v>43044</v>
      </c>
      <c r="B937" t="s">
        <v>37</v>
      </c>
      <c r="C937">
        <v>99</v>
      </c>
    </row>
    <row r="938" spans="1:3">
      <c r="A938" s="30">
        <v>43044</v>
      </c>
      <c r="B938" t="s">
        <v>36</v>
      </c>
      <c r="C938">
        <v>164</v>
      </c>
    </row>
    <row r="939" spans="1:3">
      <c r="A939" s="30">
        <v>43041</v>
      </c>
      <c r="B939" t="s">
        <v>37</v>
      </c>
      <c r="C939">
        <v>158</v>
      </c>
    </row>
    <row r="940" spans="1:3">
      <c r="A940" s="30">
        <v>43042</v>
      </c>
      <c r="B940" t="s">
        <v>26</v>
      </c>
      <c r="C940">
        <v>156</v>
      </c>
    </row>
    <row r="941" spans="1:3">
      <c r="A941" s="30">
        <v>43041</v>
      </c>
      <c r="B941" t="s">
        <v>36</v>
      </c>
      <c r="C941">
        <v>152</v>
      </c>
    </row>
    <row r="942" spans="1:3">
      <c r="A942" s="30">
        <v>43046</v>
      </c>
      <c r="B942" t="s">
        <v>36</v>
      </c>
      <c r="C942">
        <v>158</v>
      </c>
    </row>
    <row r="943" spans="1:3">
      <c r="A943" s="30">
        <v>43041</v>
      </c>
      <c r="B943" t="s">
        <v>37</v>
      </c>
      <c r="C943">
        <v>190</v>
      </c>
    </row>
    <row r="944" spans="1:3">
      <c r="A944" s="30">
        <v>43044</v>
      </c>
      <c r="B944" t="s">
        <v>24</v>
      </c>
      <c r="C944">
        <v>11</v>
      </c>
    </row>
    <row r="945" spans="1:3">
      <c r="A945" s="30">
        <v>43045</v>
      </c>
      <c r="B945" t="s">
        <v>26</v>
      </c>
      <c r="C945">
        <v>4</v>
      </c>
    </row>
    <row r="946" spans="1:3">
      <c r="A946" s="30">
        <v>43044</v>
      </c>
      <c r="B946" t="s">
        <v>36</v>
      </c>
      <c r="C946">
        <v>101</v>
      </c>
    </row>
    <row r="947" spans="1:3">
      <c r="A947" s="30">
        <v>43040</v>
      </c>
      <c r="B947" t="s">
        <v>26</v>
      </c>
      <c r="C947">
        <v>8</v>
      </c>
    </row>
    <row r="948" spans="1:3">
      <c r="A948" s="30">
        <v>43047</v>
      </c>
      <c r="B948" t="s">
        <v>26</v>
      </c>
      <c r="C948">
        <v>140</v>
      </c>
    </row>
    <row r="949" spans="1:3">
      <c r="A949" s="30">
        <v>43042</v>
      </c>
      <c r="B949" t="s">
        <v>37</v>
      </c>
      <c r="C949">
        <v>148</v>
      </c>
    </row>
    <row r="950" spans="1:3">
      <c r="A950" s="30">
        <v>43046</v>
      </c>
      <c r="B950" t="s">
        <v>26</v>
      </c>
      <c r="C950">
        <v>174</v>
      </c>
    </row>
    <row r="951" spans="1:3">
      <c r="A951" s="30">
        <v>43046</v>
      </c>
      <c r="B951" t="s">
        <v>37</v>
      </c>
      <c r="C951">
        <v>112</v>
      </c>
    </row>
    <row r="952" spans="1:3">
      <c r="A952" s="30">
        <v>43045</v>
      </c>
      <c r="B952" t="s">
        <v>37</v>
      </c>
      <c r="C952">
        <v>12</v>
      </c>
    </row>
    <row r="953" spans="1:3">
      <c r="A953" s="30">
        <v>43041</v>
      </c>
      <c r="B953" t="s">
        <v>26</v>
      </c>
      <c r="C953">
        <v>55</v>
      </c>
    </row>
    <row r="954" spans="1:3">
      <c r="A954" s="30">
        <v>43045</v>
      </c>
      <c r="B954" t="s">
        <v>24</v>
      </c>
      <c r="C954">
        <v>29</v>
      </c>
    </row>
    <row r="955" spans="1:3">
      <c r="A955" s="30">
        <v>43044</v>
      </c>
      <c r="B955" t="s">
        <v>24</v>
      </c>
      <c r="C955">
        <v>23</v>
      </c>
    </row>
    <row r="956" spans="1:3">
      <c r="A956" s="30">
        <v>43043</v>
      </c>
      <c r="B956" t="s">
        <v>24</v>
      </c>
      <c r="C956">
        <v>31</v>
      </c>
    </row>
    <row r="957" spans="1:3">
      <c r="A957" s="30">
        <v>43041</v>
      </c>
      <c r="B957" t="s">
        <v>26</v>
      </c>
      <c r="C957">
        <v>152</v>
      </c>
    </row>
    <row r="958" spans="1:3">
      <c r="A958" s="30">
        <v>43042</v>
      </c>
      <c r="B958" t="s">
        <v>36</v>
      </c>
      <c r="C958">
        <v>113</v>
      </c>
    </row>
  </sheetData>
  <pageMargins left="0.7" right="0.7" top="0.75" bottom="0.75" header="0.3" footer="0.3"/>
  <headerFooter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R958"/>
  <sheetViews>
    <sheetView zoomScale="160" zoomScaleNormal="160" workbookViewId="0">
      <selection activeCell="F4" sqref="F4"/>
    </sheetView>
  </sheetViews>
  <sheetFormatPr defaultColWidth="9" defaultRowHeight="15"/>
  <cols>
    <col min="1" max="1" width="15.1428571428571" customWidth="1"/>
    <col min="2" max="3" width="17.1428571428571" customWidth="1"/>
    <col min="4" max="4" width="12.5714285714286" customWidth="1"/>
    <col min="5" max="5" width="4.71428571428571" customWidth="1"/>
    <col min="6" max="6" width="10.8571428571429" customWidth="1"/>
    <col min="7" max="7" width="15" customWidth="1"/>
    <col min="16" max="16" width="10" customWidth="1"/>
  </cols>
  <sheetData>
    <row r="1" spans="1:16">
      <c r="A1" s="1" t="s">
        <v>40</v>
      </c>
      <c r="P1" t="s">
        <v>34</v>
      </c>
    </row>
    <row r="3" spans="1:7">
      <c r="A3" s="1" t="s">
        <v>31</v>
      </c>
      <c r="B3" s="1" t="s">
        <v>16</v>
      </c>
      <c r="C3" s="1" t="s">
        <v>35</v>
      </c>
      <c r="F3" s="39" t="s">
        <v>41</v>
      </c>
      <c r="G3" s="39" t="s">
        <v>42</v>
      </c>
    </row>
    <row r="4" spans="1:18">
      <c r="A4" s="30">
        <v>43045</v>
      </c>
      <c r="B4" t="s">
        <v>37</v>
      </c>
      <c r="C4">
        <v>190</v>
      </c>
      <c r="F4" s="40">
        <f>SUM(ProductUnitsTableAnswer[Units Sold])</f>
        <v>93046</v>
      </c>
      <c r="G4" s="4">
        <f>MAX(ProductUnitsTableAnswer[Units Sold])</f>
        <v>191</v>
      </c>
      <c r="P4" s="30">
        <v>43044</v>
      </c>
      <c r="Q4" t="s">
        <v>37</v>
      </c>
      <c r="R4">
        <v>139</v>
      </c>
    </row>
    <row r="5" spans="1:18">
      <c r="A5" s="30">
        <v>43040</v>
      </c>
      <c r="B5" t="s">
        <v>37</v>
      </c>
      <c r="C5">
        <v>138</v>
      </c>
      <c r="P5" s="30">
        <v>43043</v>
      </c>
      <c r="Q5" t="s">
        <v>26</v>
      </c>
      <c r="R5">
        <v>167</v>
      </c>
    </row>
    <row r="6" spans="1:18">
      <c r="A6" s="30">
        <v>43043</v>
      </c>
      <c r="B6" t="s">
        <v>26</v>
      </c>
      <c r="C6">
        <v>12</v>
      </c>
      <c r="P6" s="30">
        <v>43044</v>
      </c>
      <c r="Q6" t="s">
        <v>37</v>
      </c>
      <c r="R6">
        <v>191</v>
      </c>
    </row>
    <row r="7" spans="1:18">
      <c r="A7" s="30">
        <v>43041</v>
      </c>
      <c r="B7" t="s">
        <v>24</v>
      </c>
      <c r="C7">
        <v>45</v>
      </c>
      <c r="P7" s="30">
        <v>43040</v>
      </c>
      <c r="Q7" t="s">
        <v>24</v>
      </c>
      <c r="R7">
        <v>84</v>
      </c>
    </row>
    <row r="8" spans="1:18">
      <c r="A8" s="30">
        <v>43043</v>
      </c>
      <c r="B8" t="s">
        <v>37</v>
      </c>
      <c r="C8">
        <v>187</v>
      </c>
      <c r="P8" s="30">
        <v>43043</v>
      </c>
      <c r="Q8" t="s">
        <v>24</v>
      </c>
      <c r="R8">
        <v>102</v>
      </c>
    </row>
    <row r="9" spans="1:18">
      <c r="A9" s="30">
        <v>43042</v>
      </c>
      <c r="B9" t="s">
        <v>24</v>
      </c>
      <c r="C9">
        <v>29</v>
      </c>
      <c r="P9" s="30">
        <v>43040</v>
      </c>
      <c r="Q9" t="s">
        <v>26</v>
      </c>
      <c r="R9">
        <v>100</v>
      </c>
    </row>
    <row r="10" spans="1:18">
      <c r="A10" s="30">
        <v>43046</v>
      </c>
      <c r="B10" t="s">
        <v>24</v>
      </c>
      <c r="C10">
        <v>106</v>
      </c>
      <c r="P10" s="30">
        <v>43044</v>
      </c>
      <c r="Q10" t="s">
        <v>24</v>
      </c>
      <c r="R10">
        <v>107</v>
      </c>
    </row>
    <row r="11" spans="1:18">
      <c r="A11" s="30">
        <v>43041</v>
      </c>
      <c r="B11" t="s">
        <v>37</v>
      </c>
      <c r="C11">
        <v>147</v>
      </c>
      <c r="P11" s="30">
        <v>43044</v>
      </c>
      <c r="Q11" t="s">
        <v>24</v>
      </c>
      <c r="R11">
        <v>1</v>
      </c>
    </row>
    <row r="12" spans="1:18">
      <c r="A12" s="30">
        <v>43043</v>
      </c>
      <c r="B12" t="s">
        <v>26</v>
      </c>
      <c r="C12">
        <v>143</v>
      </c>
      <c r="P12" s="30">
        <v>43043</v>
      </c>
      <c r="Q12" t="s">
        <v>37</v>
      </c>
      <c r="R12">
        <v>92</v>
      </c>
    </row>
    <row r="13" spans="1:18">
      <c r="A13" s="30">
        <v>43044</v>
      </c>
      <c r="B13" t="s">
        <v>36</v>
      </c>
      <c r="C13">
        <v>33</v>
      </c>
      <c r="P13" s="30">
        <v>43044</v>
      </c>
      <c r="Q13" t="s">
        <v>37</v>
      </c>
      <c r="R13">
        <v>18</v>
      </c>
    </row>
    <row r="14" spans="1:18">
      <c r="A14" s="30">
        <v>43045</v>
      </c>
      <c r="B14" t="s">
        <v>36</v>
      </c>
      <c r="C14">
        <v>99</v>
      </c>
      <c r="P14" s="30">
        <v>43045</v>
      </c>
      <c r="Q14" t="s">
        <v>37</v>
      </c>
      <c r="R14">
        <v>169</v>
      </c>
    </row>
    <row r="15" spans="1:18">
      <c r="A15" s="30">
        <v>43047</v>
      </c>
      <c r="B15" t="s">
        <v>37</v>
      </c>
      <c r="C15">
        <v>35</v>
      </c>
      <c r="P15" s="30">
        <v>43045</v>
      </c>
      <c r="Q15" t="s">
        <v>24</v>
      </c>
      <c r="R15">
        <v>129</v>
      </c>
    </row>
    <row r="16" spans="1:18">
      <c r="A16" s="30">
        <v>43045</v>
      </c>
      <c r="B16" t="s">
        <v>36</v>
      </c>
      <c r="C16">
        <v>21</v>
      </c>
      <c r="P16" s="30">
        <v>43042</v>
      </c>
      <c r="Q16" t="s">
        <v>24</v>
      </c>
      <c r="R16">
        <v>30</v>
      </c>
    </row>
    <row r="17" spans="1:18">
      <c r="A17" s="30">
        <v>43047</v>
      </c>
      <c r="B17" t="s">
        <v>26</v>
      </c>
      <c r="C17">
        <v>60</v>
      </c>
      <c r="P17" s="30">
        <v>43041</v>
      </c>
      <c r="Q17" t="s">
        <v>37</v>
      </c>
      <c r="R17">
        <v>12</v>
      </c>
    </row>
    <row r="18" spans="1:18">
      <c r="A18" s="30">
        <v>43045</v>
      </c>
      <c r="B18" t="s">
        <v>37</v>
      </c>
      <c r="C18">
        <v>132</v>
      </c>
      <c r="P18" s="30">
        <v>43044</v>
      </c>
      <c r="Q18" t="s">
        <v>37</v>
      </c>
      <c r="R18">
        <v>59</v>
      </c>
    </row>
    <row r="19" spans="1:18">
      <c r="A19" s="30">
        <v>43047</v>
      </c>
      <c r="B19" t="s">
        <v>24</v>
      </c>
      <c r="C19">
        <v>156</v>
      </c>
      <c r="P19" s="30">
        <v>43047</v>
      </c>
      <c r="Q19" t="s">
        <v>26</v>
      </c>
      <c r="R19">
        <v>120</v>
      </c>
    </row>
    <row r="20" spans="1:18">
      <c r="A20" s="30">
        <v>43045</v>
      </c>
      <c r="B20" t="s">
        <v>24</v>
      </c>
      <c r="C20">
        <v>120</v>
      </c>
      <c r="P20" s="30">
        <v>43043</v>
      </c>
      <c r="Q20" t="s">
        <v>26</v>
      </c>
      <c r="R20">
        <v>72</v>
      </c>
    </row>
    <row r="21" spans="1:18">
      <c r="A21" s="30">
        <v>43043</v>
      </c>
      <c r="B21" t="s">
        <v>36</v>
      </c>
      <c r="C21">
        <v>55</v>
      </c>
      <c r="P21" s="30">
        <v>43045</v>
      </c>
      <c r="Q21" t="s">
        <v>24</v>
      </c>
      <c r="R21">
        <v>111</v>
      </c>
    </row>
    <row r="22" spans="1:18">
      <c r="A22" s="30">
        <v>43042</v>
      </c>
      <c r="B22" t="s">
        <v>36</v>
      </c>
      <c r="C22">
        <v>165</v>
      </c>
      <c r="P22" s="30">
        <v>43040</v>
      </c>
      <c r="Q22" t="s">
        <v>24</v>
      </c>
      <c r="R22">
        <v>182</v>
      </c>
    </row>
    <row r="23" spans="1:18">
      <c r="A23" s="30">
        <v>43046</v>
      </c>
      <c r="B23" t="s">
        <v>36</v>
      </c>
      <c r="C23">
        <v>124</v>
      </c>
      <c r="P23" s="30">
        <v>43041</v>
      </c>
      <c r="Q23" t="s">
        <v>26</v>
      </c>
      <c r="R23">
        <v>175</v>
      </c>
    </row>
    <row r="24" spans="1:18">
      <c r="A24" s="30">
        <v>43046</v>
      </c>
      <c r="B24" t="s">
        <v>24</v>
      </c>
      <c r="C24">
        <v>155</v>
      </c>
      <c r="P24" s="30">
        <v>43043</v>
      </c>
      <c r="Q24" t="s">
        <v>37</v>
      </c>
      <c r="R24">
        <v>8</v>
      </c>
    </row>
    <row r="25" spans="1:18">
      <c r="A25" s="30">
        <v>43045</v>
      </c>
      <c r="B25" t="s">
        <v>37</v>
      </c>
      <c r="C25">
        <v>33</v>
      </c>
      <c r="P25" s="30">
        <v>43041</v>
      </c>
      <c r="Q25" t="s">
        <v>24</v>
      </c>
      <c r="R25">
        <v>69</v>
      </c>
    </row>
    <row r="26" spans="1:18">
      <c r="A26" s="30">
        <v>43047</v>
      </c>
      <c r="B26" t="s">
        <v>36</v>
      </c>
      <c r="C26">
        <v>76</v>
      </c>
      <c r="P26" s="30">
        <v>43044</v>
      </c>
      <c r="Q26" t="s">
        <v>37</v>
      </c>
      <c r="R26">
        <v>60</v>
      </c>
    </row>
    <row r="27" spans="1:18">
      <c r="A27" s="30">
        <v>43044</v>
      </c>
      <c r="B27" t="s">
        <v>36</v>
      </c>
      <c r="C27">
        <v>49</v>
      </c>
      <c r="P27" s="30">
        <v>43046</v>
      </c>
      <c r="Q27" t="s">
        <v>37</v>
      </c>
      <c r="R27">
        <v>25</v>
      </c>
    </row>
    <row r="28" spans="1:18">
      <c r="A28" s="30">
        <v>43042</v>
      </c>
      <c r="B28" t="s">
        <v>24</v>
      </c>
      <c r="C28">
        <v>26</v>
      </c>
      <c r="P28" s="30">
        <v>43045</v>
      </c>
      <c r="Q28" t="s">
        <v>36</v>
      </c>
      <c r="R28">
        <v>118</v>
      </c>
    </row>
    <row r="29" spans="1:18">
      <c r="A29" s="30">
        <v>43041</v>
      </c>
      <c r="B29" t="s">
        <v>36</v>
      </c>
      <c r="C29">
        <v>30</v>
      </c>
      <c r="P29" s="30">
        <v>43045</v>
      </c>
      <c r="Q29" t="s">
        <v>26</v>
      </c>
      <c r="R29">
        <v>63</v>
      </c>
    </row>
    <row r="30" spans="1:18">
      <c r="A30" s="30">
        <v>43042</v>
      </c>
      <c r="B30" t="s">
        <v>26</v>
      </c>
      <c r="C30">
        <v>116</v>
      </c>
      <c r="P30" s="30">
        <v>43047</v>
      </c>
      <c r="Q30" t="s">
        <v>26</v>
      </c>
      <c r="R30">
        <v>123</v>
      </c>
    </row>
    <row r="31" spans="1:18">
      <c r="A31" s="30">
        <v>43041</v>
      </c>
      <c r="B31" t="s">
        <v>37</v>
      </c>
      <c r="C31">
        <v>45</v>
      </c>
      <c r="P31" s="30">
        <v>43042</v>
      </c>
      <c r="Q31" t="s">
        <v>36</v>
      </c>
      <c r="R31">
        <v>90</v>
      </c>
    </row>
    <row r="32" spans="1:18">
      <c r="A32" s="30">
        <v>43041</v>
      </c>
      <c r="B32" t="s">
        <v>24</v>
      </c>
      <c r="C32">
        <v>47</v>
      </c>
      <c r="P32" s="30">
        <v>43047</v>
      </c>
      <c r="Q32" t="s">
        <v>36</v>
      </c>
      <c r="R32">
        <v>41</v>
      </c>
    </row>
    <row r="33" spans="1:18">
      <c r="A33" s="30">
        <v>43044</v>
      </c>
      <c r="B33" t="s">
        <v>26</v>
      </c>
      <c r="C33">
        <v>113</v>
      </c>
      <c r="P33" s="30">
        <v>43047</v>
      </c>
      <c r="Q33" t="s">
        <v>26</v>
      </c>
      <c r="R33">
        <v>162</v>
      </c>
    </row>
    <row r="34" spans="1:18">
      <c r="A34" s="30">
        <v>43043</v>
      </c>
      <c r="B34" t="s">
        <v>26</v>
      </c>
      <c r="C34">
        <v>70</v>
      </c>
      <c r="P34" s="30">
        <v>43046</v>
      </c>
      <c r="Q34" t="s">
        <v>37</v>
      </c>
      <c r="R34">
        <v>9</v>
      </c>
    </row>
    <row r="35" spans="1:18">
      <c r="A35" s="30">
        <v>43043</v>
      </c>
      <c r="B35" t="s">
        <v>26</v>
      </c>
      <c r="C35">
        <v>173</v>
      </c>
      <c r="P35" s="30">
        <v>43046</v>
      </c>
      <c r="Q35" t="s">
        <v>37</v>
      </c>
      <c r="R35">
        <v>161</v>
      </c>
    </row>
    <row r="36" spans="1:18">
      <c r="A36" s="30">
        <v>43044</v>
      </c>
      <c r="B36" t="s">
        <v>37</v>
      </c>
      <c r="C36">
        <v>54</v>
      </c>
      <c r="P36" s="30">
        <v>43046</v>
      </c>
      <c r="Q36" t="s">
        <v>24</v>
      </c>
      <c r="R36">
        <v>30</v>
      </c>
    </row>
    <row r="37" spans="1:18">
      <c r="A37" s="30">
        <v>43041</v>
      </c>
      <c r="B37" t="s">
        <v>37</v>
      </c>
      <c r="C37">
        <v>122</v>
      </c>
      <c r="P37" s="30">
        <v>43044</v>
      </c>
      <c r="Q37" t="s">
        <v>37</v>
      </c>
      <c r="R37">
        <v>120</v>
      </c>
    </row>
    <row r="38" spans="1:18">
      <c r="A38" s="30">
        <v>43040</v>
      </c>
      <c r="B38" t="s">
        <v>24</v>
      </c>
      <c r="C38">
        <v>3</v>
      </c>
      <c r="P38" s="30">
        <v>43044</v>
      </c>
      <c r="Q38" t="s">
        <v>36</v>
      </c>
      <c r="R38">
        <v>39</v>
      </c>
    </row>
    <row r="39" spans="1:18">
      <c r="A39" s="30">
        <v>43042</v>
      </c>
      <c r="B39" t="s">
        <v>36</v>
      </c>
      <c r="C39">
        <v>122</v>
      </c>
      <c r="P39" s="30">
        <v>43047</v>
      </c>
      <c r="Q39" t="s">
        <v>37</v>
      </c>
      <c r="R39">
        <v>131</v>
      </c>
    </row>
    <row r="40" spans="1:18">
      <c r="A40" s="30">
        <v>43041</v>
      </c>
      <c r="B40" t="s">
        <v>36</v>
      </c>
      <c r="C40">
        <v>81</v>
      </c>
      <c r="P40" s="30">
        <v>43045</v>
      </c>
      <c r="Q40" t="s">
        <v>24</v>
      </c>
      <c r="R40">
        <v>90</v>
      </c>
    </row>
    <row r="41" spans="1:18">
      <c r="A41" s="30">
        <v>43045</v>
      </c>
      <c r="B41" t="s">
        <v>36</v>
      </c>
      <c r="C41">
        <v>21</v>
      </c>
      <c r="P41" s="30">
        <v>43044</v>
      </c>
      <c r="Q41" t="s">
        <v>26</v>
      </c>
      <c r="R41">
        <v>171</v>
      </c>
    </row>
    <row r="42" spans="1:18">
      <c r="A42" s="30">
        <v>43042</v>
      </c>
      <c r="B42" t="s">
        <v>37</v>
      </c>
      <c r="C42">
        <v>144</v>
      </c>
      <c r="P42" s="30">
        <v>43045</v>
      </c>
      <c r="Q42" t="s">
        <v>26</v>
      </c>
      <c r="R42">
        <v>158</v>
      </c>
    </row>
    <row r="43" spans="1:18">
      <c r="A43" s="30">
        <v>43046</v>
      </c>
      <c r="B43" t="s">
        <v>24</v>
      </c>
      <c r="C43">
        <v>139</v>
      </c>
      <c r="P43" s="30">
        <v>43041</v>
      </c>
      <c r="Q43" t="s">
        <v>26</v>
      </c>
      <c r="R43">
        <v>130</v>
      </c>
    </row>
    <row r="44" spans="1:18">
      <c r="A44" s="30">
        <v>43042</v>
      </c>
      <c r="B44" t="s">
        <v>24</v>
      </c>
      <c r="C44">
        <v>105</v>
      </c>
      <c r="P44" s="30">
        <v>43046</v>
      </c>
      <c r="Q44" t="s">
        <v>24</v>
      </c>
      <c r="R44">
        <v>149</v>
      </c>
    </row>
    <row r="45" spans="1:18">
      <c r="A45" s="30">
        <v>43043</v>
      </c>
      <c r="B45" t="s">
        <v>37</v>
      </c>
      <c r="C45">
        <v>14</v>
      </c>
      <c r="P45" s="30">
        <v>43047</v>
      </c>
      <c r="Q45" t="s">
        <v>37</v>
      </c>
      <c r="R45">
        <v>143</v>
      </c>
    </row>
    <row r="46" spans="1:18">
      <c r="A46" s="30">
        <v>43043</v>
      </c>
      <c r="B46" t="s">
        <v>37</v>
      </c>
      <c r="C46">
        <v>95</v>
      </c>
      <c r="P46" s="30">
        <v>43040</v>
      </c>
      <c r="Q46" t="s">
        <v>24</v>
      </c>
      <c r="R46">
        <v>48</v>
      </c>
    </row>
    <row r="47" spans="1:18">
      <c r="A47" s="30">
        <v>43042</v>
      </c>
      <c r="B47" t="s">
        <v>26</v>
      </c>
      <c r="C47">
        <v>142</v>
      </c>
      <c r="P47" s="30">
        <v>43044</v>
      </c>
      <c r="Q47" t="s">
        <v>36</v>
      </c>
      <c r="R47">
        <v>17</v>
      </c>
    </row>
    <row r="48" spans="1:18">
      <c r="A48" s="30">
        <v>43040</v>
      </c>
      <c r="B48" t="s">
        <v>24</v>
      </c>
      <c r="C48">
        <v>150</v>
      </c>
      <c r="P48" s="30">
        <v>43042</v>
      </c>
      <c r="Q48" t="s">
        <v>26</v>
      </c>
      <c r="R48">
        <v>35</v>
      </c>
    </row>
    <row r="49" spans="1:18">
      <c r="A49" s="30">
        <v>43045</v>
      </c>
      <c r="B49" t="s">
        <v>36</v>
      </c>
      <c r="C49">
        <v>79</v>
      </c>
      <c r="P49" s="30">
        <v>43044</v>
      </c>
      <c r="Q49" t="s">
        <v>37</v>
      </c>
      <c r="R49">
        <v>168</v>
      </c>
    </row>
    <row r="50" spans="1:18">
      <c r="A50" s="30">
        <v>43040</v>
      </c>
      <c r="B50" t="s">
        <v>24</v>
      </c>
      <c r="C50">
        <v>57</v>
      </c>
      <c r="P50" s="30">
        <v>43041</v>
      </c>
      <c r="Q50" t="s">
        <v>37</v>
      </c>
      <c r="R50">
        <v>106</v>
      </c>
    </row>
    <row r="51" spans="1:18">
      <c r="A51" s="30">
        <v>43043</v>
      </c>
      <c r="B51" t="s">
        <v>24</v>
      </c>
      <c r="C51">
        <v>62</v>
      </c>
      <c r="P51" s="30">
        <v>43044</v>
      </c>
      <c r="Q51" t="s">
        <v>36</v>
      </c>
      <c r="R51">
        <v>36</v>
      </c>
    </row>
    <row r="52" spans="1:18">
      <c r="A52" s="30">
        <v>43041</v>
      </c>
      <c r="B52" t="s">
        <v>24</v>
      </c>
      <c r="C52">
        <v>177</v>
      </c>
      <c r="P52" s="30">
        <v>43041</v>
      </c>
      <c r="Q52" t="s">
        <v>36</v>
      </c>
      <c r="R52">
        <v>19</v>
      </c>
    </row>
    <row r="53" spans="1:18">
      <c r="A53" s="30">
        <v>43044</v>
      </c>
      <c r="B53" t="s">
        <v>37</v>
      </c>
      <c r="C53">
        <v>165</v>
      </c>
      <c r="P53" s="30">
        <v>43044</v>
      </c>
      <c r="Q53" t="s">
        <v>36</v>
      </c>
      <c r="R53">
        <v>173</v>
      </c>
    </row>
    <row r="54" spans="1:18">
      <c r="A54" s="30">
        <v>43041</v>
      </c>
      <c r="B54" t="s">
        <v>36</v>
      </c>
      <c r="C54">
        <v>37</v>
      </c>
      <c r="P54" s="30">
        <v>43042</v>
      </c>
      <c r="Q54" t="s">
        <v>26</v>
      </c>
      <c r="R54">
        <v>66</v>
      </c>
    </row>
    <row r="55" spans="1:18">
      <c r="A55" s="30">
        <v>43044</v>
      </c>
      <c r="B55" t="s">
        <v>36</v>
      </c>
      <c r="C55">
        <v>181</v>
      </c>
      <c r="P55" s="30">
        <v>43045</v>
      </c>
      <c r="Q55" t="s">
        <v>36</v>
      </c>
      <c r="R55">
        <v>25</v>
      </c>
    </row>
    <row r="56" spans="1:18">
      <c r="A56" s="30">
        <v>43043</v>
      </c>
      <c r="B56" t="s">
        <v>36</v>
      </c>
      <c r="C56">
        <v>148</v>
      </c>
      <c r="P56" s="30">
        <v>43043</v>
      </c>
      <c r="Q56" t="s">
        <v>37</v>
      </c>
      <c r="R56">
        <v>47</v>
      </c>
    </row>
    <row r="57" spans="1:18">
      <c r="A57" s="30">
        <v>43047</v>
      </c>
      <c r="B57" t="s">
        <v>37</v>
      </c>
      <c r="C57">
        <v>132</v>
      </c>
      <c r="P57" s="30">
        <v>43047</v>
      </c>
      <c r="Q57" t="s">
        <v>37</v>
      </c>
      <c r="R57">
        <v>49</v>
      </c>
    </row>
    <row r="58" spans="1:18">
      <c r="A58" s="30">
        <v>43045</v>
      </c>
      <c r="B58" t="s">
        <v>24</v>
      </c>
      <c r="C58">
        <v>3</v>
      </c>
      <c r="P58" s="30">
        <v>43047</v>
      </c>
      <c r="Q58" t="s">
        <v>26</v>
      </c>
      <c r="R58">
        <v>1</v>
      </c>
    </row>
    <row r="59" spans="1:18">
      <c r="A59" s="30">
        <v>43040</v>
      </c>
      <c r="B59" t="s">
        <v>24</v>
      </c>
      <c r="C59">
        <v>121</v>
      </c>
      <c r="P59" s="30">
        <v>43042</v>
      </c>
      <c r="Q59" t="s">
        <v>24</v>
      </c>
      <c r="R59">
        <v>75</v>
      </c>
    </row>
    <row r="60" spans="1:18">
      <c r="A60" s="30">
        <v>43047</v>
      </c>
      <c r="B60" t="s">
        <v>36</v>
      </c>
      <c r="C60">
        <v>104</v>
      </c>
      <c r="P60" s="30">
        <v>43045</v>
      </c>
      <c r="Q60" t="s">
        <v>37</v>
      </c>
      <c r="R60">
        <v>137</v>
      </c>
    </row>
    <row r="61" spans="1:18">
      <c r="A61" s="30">
        <v>43047</v>
      </c>
      <c r="B61" t="s">
        <v>36</v>
      </c>
      <c r="C61">
        <v>155</v>
      </c>
      <c r="P61" s="30">
        <v>43040</v>
      </c>
      <c r="Q61" t="s">
        <v>24</v>
      </c>
      <c r="R61">
        <v>101</v>
      </c>
    </row>
    <row r="62" spans="1:18">
      <c r="A62" s="30">
        <v>43045</v>
      </c>
      <c r="B62" t="s">
        <v>24</v>
      </c>
      <c r="C62">
        <v>129</v>
      </c>
      <c r="P62" s="30">
        <v>43046</v>
      </c>
      <c r="Q62" t="s">
        <v>26</v>
      </c>
      <c r="R62">
        <v>11</v>
      </c>
    </row>
    <row r="63" spans="1:18">
      <c r="A63" s="30">
        <v>43040</v>
      </c>
      <c r="B63" t="s">
        <v>24</v>
      </c>
      <c r="C63">
        <v>72</v>
      </c>
      <c r="P63" s="30">
        <v>43042</v>
      </c>
      <c r="Q63" t="s">
        <v>36</v>
      </c>
      <c r="R63">
        <v>42</v>
      </c>
    </row>
    <row r="64" spans="1:18">
      <c r="A64" s="30">
        <v>43044</v>
      </c>
      <c r="B64" t="s">
        <v>26</v>
      </c>
      <c r="C64">
        <v>164</v>
      </c>
      <c r="P64" s="30">
        <v>43040</v>
      </c>
      <c r="Q64" t="s">
        <v>37</v>
      </c>
      <c r="R64">
        <v>185</v>
      </c>
    </row>
    <row r="65" spans="1:18">
      <c r="A65" s="30">
        <v>43042</v>
      </c>
      <c r="B65" t="s">
        <v>24</v>
      </c>
      <c r="C65">
        <v>6</v>
      </c>
      <c r="P65" s="30">
        <v>43043</v>
      </c>
      <c r="Q65" t="s">
        <v>37</v>
      </c>
      <c r="R65">
        <v>160</v>
      </c>
    </row>
    <row r="66" spans="1:18">
      <c r="A66" s="30">
        <v>43040</v>
      </c>
      <c r="B66" t="s">
        <v>36</v>
      </c>
      <c r="C66">
        <v>46</v>
      </c>
      <c r="P66" s="30">
        <v>43043</v>
      </c>
      <c r="Q66" t="s">
        <v>37</v>
      </c>
      <c r="R66">
        <v>7</v>
      </c>
    </row>
    <row r="67" spans="1:18">
      <c r="A67" s="30">
        <v>43047</v>
      </c>
      <c r="B67" t="s">
        <v>24</v>
      </c>
      <c r="C67">
        <v>182</v>
      </c>
      <c r="P67" s="30">
        <v>43044</v>
      </c>
      <c r="Q67" t="s">
        <v>24</v>
      </c>
      <c r="R67">
        <v>1</v>
      </c>
    </row>
    <row r="68" spans="1:18">
      <c r="A68" s="30">
        <v>43041</v>
      </c>
      <c r="B68" t="s">
        <v>24</v>
      </c>
      <c r="C68">
        <v>11</v>
      </c>
      <c r="P68" s="30">
        <v>43045</v>
      </c>
      <c r="Q68" t="s">
        <v>37</v>
      </c>
      <c r="R68">
        <v>80</v>
      </c>
    </row>
    <row r="69" spans="1:18">
      <c r="A69" s="30">
        <v>43047</v>
      </c>
      <c r="B69" t="s">
        <v>26</v>
      </c>
      <c r="C69">
        <v>18</v>
      </c>
      <c r="P69" s="30">
        <v>43047</v>
      </c>
      <c r="Q69" t="s">
        <v>26</v>
      </c>
      <c r="R69">
        <v>117</v>
      </c>
    </row>
    <row r="70" spans="1:18">
      <c r="A70" s="30">
        <v>43045</v>
      </c>
      <c r="B70" t="s">
        <v>24</v>
      </c>
      <c r="C70">
        <v>152</v>
      </c>
      <c r="P70" s="30">
        <v>43041</v>
      </c>
      <c r="Q70" t="s">
        <v>36</v>
      </c>
      <c r="R70">
        <v>37</v>
      </c>
    </row>
    <row r="71" spans="1:18">
      <c r="A71" s="30">
        <v>43040</v>
      </c>
      <c r="B71" t="s">
        <v>36</v>
      </c>
      <c r="C71">
        <v>41</v>
      </c>
      <c r="P71" s="30">
        <v>43040</v>
      </c>
      <c r="Q71" t="s">
        <v>37</v>
      </c>
      <c r="R71">
        <v>179</v>
      </c>
    </row>
    <row r="72" spans="1:18">
      <c r="A72" s="30">
        <v>43045</v>
      </c>
      <c r="B72" t="s">
        <v>24</v>
      </c>
      <c r="C72">
        <v>11</v>
      </c>
      <c r="P72" s="30">
        <v>43046</v>
      </c>
      <c r="Q72" t="s">
        <v>26</v>
      </c>
      <c r="R72">
        <v>60</v>
      </c>
    </row>
    <row r="73" spans="1:18">
      <c r="A73" s="30">
        <v>43047</v>
      </c>
      <c r="B73" t="s">
        <v>24</v>
      </c>
      <c r="C73">
        <v>148</v>
      </c>
      <c r="P73" s="30">
        <v>43043</v>
      </c>
      <c r="Q73" t="s">
        <v>36</v>
      </c>
      <c r="R73">
        <v>60</v>
      </c>
    </row>
    <row r="74" spans="1:18">
      <c r="A74" s="30">
        <v>43044</v>
      </c>
      <c r="B74" t="s">
        <v>24</v>
      </c>
      <c r="C74">
        <v>154</v>
      </c>
      <c r="P74" s="30">
        <v>43044</v>
      </c>
      <c r="Q74" t="s">
        <v>26</v>
      </c>
      <c r="R74">
        <v>79</v>
      </c>
    </row>
    <row r="75" spans="1:18">
      <c r="A75" s="30">
        <v>43041</v>
      </c>
      <c r="B75" t="s">
        <v>36</v>
      </c>
      <c r="C75">
        <v>115</v>
      </c>
      <c r="P75" s="30">
        <v>43047</v>
      </c>
      <c r="Q75" t="s">
        <v>26</v>
      </c>
      <c r="R75">
        <v>63</v>
      </c>
    </row>
    <row r="76" spans="1:18">
      <c r="A76" s="30">
        <v>43046</v>
      </c>
      <c r="B76" t="s">
        <v>26</v>
      </c>
      <c r="C76">
        <v>122</v>
      </c>
      <c r="P76" s="30">
        <v>43040</v>
      </c>
      <c r="Q76" t="s">
        <v>37</v>
      </c>
      <c r="R76">
        <v>145</v>
      </c>
    </row>
    <row r="77" spans="1:18">
      <c r="A77" s="30">
        <v>43047</v>
      </c>
      <c r="B77" t="s">
        <v>24</v>
      </c>
      <c r="C77">
        <v>3</v>
      </c>
      <c r="P77" s="30">
        <v>43045</v>
      </c>
      <c r="Q77" t="s">
        <v>24</v>
      </c>
      <c r="R77">
        <v>39</v>
      </c>
    </row>
    <row r="78" spans="1:18">
      <c r="A78" s="30">
        <v>43046</v>
      </c>
      <c r="B78" t="s">
        <v>26</v>
      </c>
      <c r="C78">
        <v>26</v>
      </c>
      <c r="P78" s="30">
        <v>43043</v>
      </c>
      <c r="Q78" t="s">
        <v>26</v>
      </c>
      <c r="R78">
        <v>117</v>
      </c>
    </row>
    <row r="79" spans="1:18">
      <c r="A79" s="30">
        <v>43043</v>
      </c>
      <c r="B79" t="s">
        <v>37</v>
      </c>
      <c r="C79">
        <v>162</v>
      </c>
      <c r="P79" s="30">
        <v>43044</v>
      </c>
      <c r="Q79" t="s">
        <v>36</v>
      </c>
      <c r="R79">
        <v>127</v>
      </c>
    </row>
    <row r="80" spans="1:18">
      <c r="A80" s="30">
        <v>43046</v>
      </c>
      <c r="B80" t="s">
        <v>26</v>
      </c>
      <c r="C80">
        <v>21</v>
      </c>
      <c r="P80" s="30">
        <v>43047</v>
      </c>
      <c r="Q80" t="s">
        <v>26</v>
      </c>
      <c r="R80">
        <v>13</v>
      </c>
    </row>
    <row r="81" spans="1:18">
      <c r="A81" s="30">
        <v>43042</v>
      </c>
      <c r="B81" t="s">
        <v>26</v>
      </c>
      <c r="C81">
        <v>42</v>
      </c>
      <c r="P81" s="30">
        <v>43044</v>
      </c>
      <c r="Q81" t="s">
        <v>26</v>
      </c>
      <c r="R81">
        <v>92</v>
      </c>
    </row>
    <row r="82" spans="1:18">
      <c r="A82" s="30">
        <v>43044</v>
      </c>
      <c r="B82" t="s">
        <v>37</v>
      </c>
      <c r="C82">
        <v>82</v>
      </c>
      <c r="P82" s="30">
        <v>43047</v>
      </c>
      <c r="Q82" t="s">
        <v>26</v>
      </c>
      <c r="R82">
        <v>147</v>
      </c>
    </row>
    <row r="83" spans="1:18">
      <c r="A83" s="30">
        <v>43046</v>
      </c>
      <c r="B83" t="s">
        <v>24</v>
      </c>
      <c r="C83">
        <v>78</v>
      </c>
      <c r="P83" s="30">
        <v>43041</v>
      </c>
      <c r="Q83" t="s">
        <v>37</v>
      </c>
      <c r="R83">
        <v>175</v>
      </c>
    </row>
    <row r="84" spans="1:18">
      <c r="A84" s="30">
        <v>43047</v>
      </c>
      <c r="B84" t="s">
        <v>36</v>
      </c>
      <c r="C84">
        <v>127</v>
      </c>
      <c r="P84" s="30">
        <v>43041</v>
      </c>
      <c r="Q84" t="s">
        <v>26</v>
      </c>
      <c r="R84">
        <v>165</v>
      </c>
    </row>
    <row r="85" spans="1:18">
      <c r="A85" s="30">
        <v>43040</v>
      </c>
      <c r="B85" t="s">
        <v>26</v>
      </c>
      <c r="C85">
        <v>64</v>
      </c>
      <c r="P85" s="30">
        <v>43041</v>
      </c>
      <c r="Q85" t="s">
        <v>37</v>
      </c>
      <c r="R85">
        <v>10</v>
      </c>
    </row>
    <row r="86" spans="1:18">
      <c r="A86" s="30">
        <v>43044</v>
      </c>
      <c r="B86" t="s">
        <v>26</v>
      </c>
      <c r="C86">
        <v>152</v>
      </c>
      <c r="P86" s="30">
        <v>43042</v>
      </c>
      <c r="Q86" t="s">
        <v>36</v>
      </c>
      <c r="R86">
        <v>110</v>
      </c>
    </row>
    <row r="87" spans="1:18">
      <c r="A87" s="30">
        <v>43042</v>
      </c>
      <c r="B87" t="s">
        <v>24</v>
      </c>
      <c r="C87">
        <v>53</v>
      </c>
      <c r="P87" s="30">
        <v>43040</v>
      </c>
      <c r="Q87" t="s">
        <v>26</v>
      </c>
      <c r="R87">
        <v>133</v>
      </c>
    </row>
    <row r="88" spans="1:18">
      <c r="A88" s="30">
        <v>43044</v>
      </c>
      <c r="B88" t="s">
        <v>26</v>
      </c>
      <c r="C88">
        <v>11</v>
      </c>
      <c r="P88" s="30">
        <v>43041</v>
      </c>
      <c r="Q88" t="s">
        <v>37</v>
      </c>
      <c r="R88">
        <v>191</v>
      </c>
    </row>
    <row r="89" spans="1:18">
      <c r="A89" s="30">
        <v>43043</v>
      </c>
      <c r="B89" t="s">
        <v>37</v>
      </c>
      <c r="C89">
        <v>170</v>
      </c>
      <c r="P89" s="30">
        <v>43043</v>
      </c>
      <c r="Q89" t="s">
        <v>26</v>
      </c>
      <c r="R89">
        <v>123</v>
      </c>
    </row>
    <row r="90" spans="1:18">
      <c r="A90" s="30">
        <v>43041</v>
      </c>
      <c r="B90" t="s">
        <v>24</v>
      </c>
      <c r="C90">
        <v>170</v>
      </c>
      <c r="P90" s="30">
        <v>43046</v>
      </c>
      <c r="Q90" t="s">
        <v>36</v>
      </c>
      <c r="R90">
        <v>26</v>
      </c>
    </row>
    <row r="91" spans="1:18">
      <c r="A91" s="30">
        <v>43047</v>
      </c>
      <c r="B91" t="s">
        <v>36</v>
      </c>
      <c r="C91">
        <v>31</v>
      </c>
      <c r="P91" s="30">
        <v>43047</v>
      </c>
      <c r="Q91" t="s">
        <v>26</v>
      </c>
      <c r="R91">
        <v>88</v>
      </c>
    </row>
    <row r="92" spans="1:18">
      <c r="A92" s="30">
        <v>43041</v>
      </c>
      <c r="B92" t="s">
        <v>26</v>
      </c>
      <c r="C92">
        <v>7</v>
      </c>
      <c r="P92" s="30">
        <v>43046</v>
      </c>
      <c r="Q92" t="s">
        <v>36</v>
      </c>
      <c r="R92">
        <v>119</v>
      </c>
    </row>
    <row r="93" spans="1:18">
      <c r="A93" s="30">
        <v>43046</v>
      </c>
      <c r="B93" t="s">
        <v>26</v>
      </c>
      <c r="C93">
        <v>175</v>
      </c>
      <c r="P93" s="30">
        <v>43043</v>
      </c>
      <c r="Q93" t="s">
        <v>26</v>
      </c>
      <c r="R93">
        <v>78</v>
      </c>
    </row>
    <row r="94" spans="1:18">
      <c r="A94" s="30">
        <v>43047</v>
      </c>
      <c r="B94" t="s">
        <v>36</v>
      </c>
      <c r="C94">
        <v>107</v>
      </c>
      <c r="P94" s="30">
        <v>43040</v>
      </c>
      <c r="Q94" t="s">
        <v>24</v>
      </c>
      <c r="R94">
        <v>141</v>
      </c>
    </row>
    <row r="95" spans="1:18">
      <c r="A95" s="30">
        <v>43046</v>
      </c>
      <c r="B95" t="s">
        <v>24</v>
      </c>
      <c r="C95">
        <v>123</v>
      </c>
      <c r="P95" s="30">
        <v>43040</v>
      </c>
      <c r="Q95" t="s">
        <v>37</v>
      </c>
      <c r="R95">
        <v>187</v>
      </c>
    </row>
    <row r="96" spans="1:18">
      <c r="A96" s="30">
        <v>43045</v>
      </c>
      <c r="B96" t="s">
        <v>24</v>
      </c>
      <c r="C96">
        <v>21</v>
      </c>
      <c r="P96" s="30">
        <v>43043</v>
      </c>
      <c r="Q96" t="s">
        <v>26</v>
      </c>
      <c r="R96">
        <v>2</v>
      </c>
    </row>
    <row r="97" spans="1:18">
      <c r="A97" s="30">
        <v>43040</v>
      </c>
      <c r="B97" t="s">
        <v>36</v>
      </c>
      <c r="C97">
        <v>8</v>
      </c>
      <c r="P97" s="30">
        <v>43044</v>
      </c>
      <c r="Q97" t="s">
        <v>37</v>
      </c>
      <c r="R97">
        <v>163</v>
      </c>
    </row>
    <row r="98" spans="1:18">
      <c r="A98" s="30">
        <v>43042</v>
      </c>
      <c r="B98" t="s">
        <v>37</v>
      </c>
      <c r="C98">
        <v>115</v>
      </c>
      <c r="P98" s="30">
        <v>43045</v>
      </c>
      <c r="Q98" t="s">
        <v>26</v>
      </c>
      <c r="R98">
        <v>106</v>
      </c>
    </row>
    <row r="99" spans="1:18">
      <c r="A99" s="30">
        <v>43043</v>
      </c>
      <c r="B99" t="s">
        <v>24</v>
      </c>
      <c r="C99">
        <v>50</v>
      </c>
      <c r="P99" s="30">
        <v>43044</v>
      </c>
      <c r="Q99" t="s">
        <v>24</v>
      </c>
      <c r="R99">
        <v>9</v>
      </c>
    </row>
    <row r="100" spans="1:18">
      <c r="A100" s="30">
        <v>43047</v>
      </c>
      <c r="B100" t="s">
        <v>24</v>
      </c>
      <c r="C100">
        <v>121</v>
      </c>
      <c r="P100" s="30">
        <v>43040</v>
      </c>
      <c r="Q100" t="s">
        <v>26</v>
      </c>
      <c r="R100">
        <v>70</v>
      </c>
    </row>
    <row r="101" spans="1:18">
      <c r="A101" s="30">
        <v>43041</v>
      </c>
      <c r="B101" t="s">
        <v>24</v>
      </c>
      <c r="C101">
        <v>35</v>
      </c>
      <c r="P101" s="30">
        <v>43044</v>
      </c>
      <c r="Q101" t="s">
        <v>37</v>
      </c>
      <c r="R101">
        <v>88</v>
      </c>
    </row>
    <row r="102" spans="1:18">
      <c r="A102" s="30">
        <v>43044</v>
      </c>
      <c r="B102" t="s">
        <v>37</v>
      </c>
      <c r="C102">
        <v>106</v>
      </c>
      <c r="P102" s="30">
        <v>43040</v>
      </c>
      <c r="Q102" t="s">
        <v>26</v>
      </c>
      <c r="R102">
        <v>129</v>
      </c>
    </row>
    <row r="103" spans="1:18">
      <c r="A103" s="30">
        <v>43041</v>
      </c>
      <c r="B103" t="s">
        <v>24</v>
      </c>
      <c r="C103">
        <v>125</v>
      </c>
      <c r="P103" s="30">
        <v>43040</v>
      </c>
      <c r="Q103" t="s">
        <v>26</v>
      </c>
      <c r="R103">
        <v>50</v>
      </c>
    </row>
    <row r="104" spans="1:18">
      <c r="A104" s="30">
        <v>43040</v>
      </c>
      <c r="B104" t="s">
        <v>24</v>
      </c>
      <c r="C104">
        <v>182</v>
      </c>
      <c r="P104" s="30">
        <v>43041</v>
      </c>
      <c r="Q104" t="s">
        <v>26</v>
      </c>
      <c r="R104">
        <v>158</v>
      </c>
    </row>
    <row r="105" spans="1:18">
      <c r="A105" s="30">
        <v>43046</v>
      </c>
      <c r="B105" t="s">
        <v>26</v>
      </c>
      <c r="C105">
        <v>98</v>
      </c>
      <c r="P105" s="30">
        <v>43046</v>
      </c>
      <c r="Q105" t="s">
        <v>37</v>
      </c>
      <c r="R105">
        <v>166</v>
      </c>
    </row>
    <row r="106" spans="1:18">
      <c r="A106" s="30">
        <v>43042</v>
      </c>
      <c r="B106" t="s">
        <v>24</v>
      </c>
      <c r="C106">
        <v>80</v>
      </c>
      <c r="P106" s="30">
        <v>43047</v>
      </c>
      <c r="Q106" t="s">
        <v>24</v>
      </c>
      <c r="R106">
        <v>151</v>
      </c>
    </row>
    <row r="107" spans="1:18">
      <c r="A107" s="30">
        <v>43044</v>
      </c>
      <c r="B107" t="s">
        <v>36</v>
      </c>
      <c r="C107">
        <v>18</v>
      </c>
      <c r="P107" s="30">
        <v>43042</v>
      </c>
      <c r="Q107" t="s">
        <v>24</v>
      </c>
      <c r="R107">
        <v>110</v>
      </c>
    </row>
    <row r="108" spans="1:18">
      <c r="A108" s="30">
        <v>43043</v>
      </c>
      <c r="B108" t="s">
        <v>24</v>
      </c>
      <c r="C108">
        <v>80</v>
      </c>
      <c r="P108" s="30">
        <v>43040</v>
      </c>
      <c r="Q108" t="s">
        <v>37</v>
      </c>
      <c r="R108">
        <v>13</v>
      </c>
    </row>
    <row r="109" spans="1:18">
      <c r="A109" s="30">
        <v>43041</v>
      </c>
      <c r="B109" t="s">
        <v>37</v>
      </c>
      <c r="C109">
        <v>52</v>
      </c>
      <c r="P109" s="30">
        <v>43040</v>
      </c>
      <c r="Q109" t="s">
        <v>26</v>
      </c>
      <c r="R109">
        <v>85</v>
      </c>
    </row>
    <row r="110" spans="1:18">
      <c r="A110" s="30">
        <v>43042</v>
      </c>
      <c r="B110" t="s">
        <v>26</v>
      </c>
      <c r="C110">
        <v>52</v>
      </c>
      <c r="P110" s="30">
        <v>43046</v>
      </c>
      <c r="Q110" t="s">
        <v>24</v>
      </c>
      <c r="R110">
        <v>74</v>
      </c>
    </row>
    <row r="111" spans="1:18">
      <c r="A111" s="30">
        <v>43045</v>
      </c>
      <c r="B111" t="s">
        <v>37</v>
      </c>
      <c r="C111">
        <v>119</v>
      </c>
      <c r="P111" s="30">
        <v>43044</v>
      </c>
      <c r="Q111" t="s">
        <v>26</v>
      </c>
      <c r="R111">
        <v>169</v>
      </c>
    </row>
    <row r="112" spans="1:18">
      <c r="A112" s="30">
        <v>43047</v>
      </c>
      <c r="B112" t="s">
        <v>24</v>
      </c>
      <c r="C112">
        <v>129</v>
      </c>
      <c r="P112" s="30">
        <v>43044</v>
      </c>
      <c r="Q112" t="s">
        <v>24</v>
      </c>
      <c r="R112">
        <v>89</v>
      </c>
    </row>
    <row r="113" spans="1:18">
      <c r="A113" s="30">
        <v>43047</v>
      </c>
      <c r="B113" t="s">
        <v>24</v>
      </c>
      <c r="C113">
        <v>141</v>
      </c>
      <c r="P113" s="30">
        <v>43042</v>
      </c>
      <c r="Q113" t="s">
        <v>37</v>
      </c>
      <c r="R113">
        <v>189</v>
      </c>
    </row>
    <row r="114" spans="1:18">
      <c r="A114" s="30">
        <v>43047</v>
      </c>
      <c r="B114" t="s">
        <v>26</v>
      </c>
      <c r="C114">
        <v>95</v>
      </c>
      <c r="P114" s="30">
        <v>43042</v>
      </c>
      <c r="Q114" t="s">
        <v>24</v>
      </c>
      <c r="R114">
        <v>138</v>
      </c>
    </row>
    <row r="115" spans="1:18">
      <c r="A115" s="30">
        <v>43041</v>
      </c>
      <c r="B115" t="s">
        <v>37</v>
      </c>
      <c r="C115">
        <v>112</v>
      </c>
      <c r="P115" s="30">
        <v>43047</v>
      </c>
      <c r="Q115" t="s">
        <v>36</v>
      </c>
      <c r="R115">
        <v>6</v>
      </c>
    </row>
    <row r="116" spans="1:18">
      <c r="A116" s="30">
        <v>43043</v>
      </c>
      <c r="B116" t="s">
        <v>26</v>
      </c>
      <c r="C116">
        <v>40</v>
      </c>
      <c r="P116" s="30">
        <v>43042</v>
      </c>
      <c r="Q116" t="s">
        <v>24</v>
      </c>
      <c r="R116">
        <v>133</v>
      </c>
    </row>
    <row r="117" spans="1:18">
      <c r="A117" s="30">
        <v>43044</v>
      </c>
      <c r="B117" t="s">
        <v>26</v>
      </c>
      <c r="C117">
        <v>160</v>
      </c>
      <c r="P117" s="30">
        <v>43046</v>
      </c>
      <c r="Q117" t="s">
        <v>24</v>
      </c>
      <c r="R117">
        <v>95</v>
      </c>
    </row>
    <row r="118" spans="1:18">
      <c r="A118" s="30">
        <v>43043</v>
      </c>
      <c r="B118" t="s">
        <v>24</v>
      </c>
      <c r="C118">
        <v>81</v>
      </c>
      <c r="P118" s="30">
        <v>43045</v>
      </c>
      <c r="Q118" t="s">
        <v>36</v>
      </c>
      <c r="R118">
        <v>133</v>
      </c>
    </row>
    <row r="119" spans="1:18">
      <c r="A119" s="30">
        <v>43044</v>
      </c>
      <c r="B119" t="s">
        <v>26</v>
      </c>
      <c r="C119">
        <v>157</v>
      </c>
      <c r="P119" s="30">
        <v>43047</v>
      </c>
      <c r="Q119" t="s">
        <v>26</v>
      </c>
      <c r="R119">
        <v>164</v>
      </c>
    </row>
    <row r="120" spans="1:18">
      <c r="A120" s="30">
        <v>43046</v>
      </c>
      <c r="B120" t="s">
        <v>37</v>
      </c>
      <c r="C120">
        <v>12</v>
      </c>
      <c r="P120" s="30">
        <v>43046</v>
      </c>
      <c r="Q120" t="s">
        <v>37</v>
      </c>
      <c r="R120">
        <v>30</v>
      </c>
    </row>
    <row r="121" spans="1:18">
      <c r="A121" s="30">
        <v>43040</v>
      </c>
      <c r="B121" t="s">
        <v>24</v>
      </c>
      <c r="C121">
        <v>117</v>
      </c>
      <c r="P121" s="30">
        <v>43046</v>
      </c>
      <c r="Q121" t="s">
        <v>36</v>
      </c>
      <c r="R121">
        <v>113</v>
      </c>
    </row>
    <row r="122" spans="1:18">
      <c r="A122" s="30">
        <v>43043</v>
      </c>
      <c r="B122" t="s">
        <v>26</v>
      </c>
      <c r="C122">
        <v>118</v>
      </c>
      <c r="P122" s="30">
        <v>43043</v>
      </c>
      <c r="Q122" t="s">
        <v>26</v>
      </c>
      <c r="R122">
        <v>3</v>
      </c>
    </row>
    <row r="123" spans="1:18">
      <c r="A123" s="30">
        <v>43042</v>
      </c>
      <c r="B123" t="s">
        <v>37</v>
      </c>
      <c r="C123">
        <v>6</v>
      </c>
      <c r="P123" s="30">
        <v>43046</v>
      </c>
      <c r="Q123" t="s">
        <v>24</v>
      </c>
      <c r="R123">
        <v>167</v>
      </c>
    </row>
    <row r="124" spans="1:18">
      <c r="A124" s="30">
        <v>43043</v>
      </c>
      <c r="B124" t="s">
        <v>24</v>
      </c>
      <c r="C124">
        <v>107</v>
      </c>
      <c r="P124" s="30">
        <v>43046</v>
      </c>
      <c r="Q124" t="s">
        <v>26</v>
      </c>
      <c r="R124">
        <v>148</v>
      </c>
    </row>
    <row r="125" spans="1:18">
      <c r="A125" s="30">
        <v>43041</v>
      </c>
      <c r="B125" t="s">
        <v>36</v>
      </c>
      <c r="C125">
        <v>15</v>
      </c>
      <c r="P125" s="30">
        <v>43042</v>
      </c>
      <c r="Q125" t="s">
        <v>24</v>
      </c>
      <c r="R125">
        <v>167</v>
      </c>
    </row>
    <row r="126" spans="1:18">
      <c r="A126" s="30">
        <v>43041</v>
      </c>
      <c r="B126" t="s">
        <v>36</v>
      </c>
      <c r="C126">
        <v>7</v>
      </c>
      <c r="P126" s="30">
        <v>43047</v>
      </c>
      <c r="Q126" t="s">
        <v>36</v>
      </c>
      <c r="R126">
        <v>25</v>
      </c>
    </row>
    <row r="127" spans="1:18">
      <c r="A127" s="30">
        <v>43046</v>
      </c>
      <c r="B127" t="s">
        <v>37</v>
      </c>
      <c r="C127">
        <v>178</v>
      </c>
      <c r="P127" s="30">
        <v>43043</v>
      </c>
      <c r="Q127" t="s">
        <v>37</v>
      </c>
      <c r="R127">
        <v>130</v>
      </c>
    </row>
    <row r="128" spans="1:18">
      <c r="A128" s="30">
        <v>43042</v>
      </c>
      <c r="B128" t="s">
        <v>24</v>
      </c>
      <c r="C128">
        <v>159</v>
      </c>
      <c r="P128" s="30">
        <v>43043</v>
      </c>
      <c r="Q128" t="s">
        <v>24</v>
      </c>
      <c r="R128">
        <v>19</v>
      </c>
    </row>
    <row r="129" spans="1:18">
      <c r="A129" s="30">
        <v>43042</v>
      </c>
      <c r="B129" t="s">
        <v>36</v>
      </c>
      <c r="C129">
        <v>48</v>
      </c>
      <c r="P129" s="30">
        <v>43040</v>
      </c>
      <c r="Q129" t="s">
        <v>37</v>
      </c>
      <c r="R129">
        <v>33</v>
      </c>
    </row>
    <row r="130" spans="1:18">
      <c r="A130" s="30">
        <v>43043</v>
      </c>
      <c r="B130" t="s">
        <v>26</v>
      </c>
      <c r="C130">
        <v>12</v>
      </c>
      <c r="P130" s="30">
        <v>43046</v>
      </c>
      <c r="Q130" t="s">
        <v>26</v>
      </c>
      <c r="R130">
        <v>86</v>
      </c>
    </row>
    <row r="131" spans="1:18">
      <c r="A131" s="30">
        <v>43041</v>
      </c>
      <c r="B131" t="s">
        <v>26</v>
      </c>
      <c r="C131">
        <v>163</v>
      </c>
      <c r="P131" s="30">
        <v>43047</v>
      </c>
      <c r="Q131" t="s">
        <v>24</v>
      </c>
      <c r="R131">
        <v>50</v>
      </c>
    </row>
    <row r="132" spans="1:18">
      <c r="A132" s="30">
        <v>43041</v>
      </c>
      <c r="B132" t="s">
        <v>36</v>
      </c>
      <c r="C132">
        <v>133</v>
      </c>
      <c r="P132" s="30">
        <v>43044</v>
      </c>
      <c r="Q132" t="s">
        <v>37</v>
      </c>
      <c r="R132">
        <v>68</v>
      </c>
    </row>
    <row r="133" spans="1:18">
      <c r="A133" s="30">
        <v>43042</v>
      </c>
      <c r="B133" t="s">
        <v>24</v>
      </c>
      <c r="C133">
        <v>63</v>
      </c>
      <c r="P133" s="30">
        <v>43041</v>
      </c>
      <c r="Q133" t="s">
        <v>24</v>
      </c>
      <c r="R133">
        <v>77</v>
      </c>
    </row>
    <row r="134" spans="1:18">
      <c r="A134" s="30">
        <v>43040</v>
      </c>
      <c r="B134" t="s">
        <v>26</v>
      </c>
      <c r="C134">
        <v>95</v>
      </c>
      <c r="P134" s="30">
        <v>43042</v>
      </c>
      <c r="Q134" t="s">
        <v>26</v>
      </c>
      <c r="R134">
        <v>20</v>
      </c>
    </row>
    <row r="135" spans="1:18">
      <c r="A135" s="30">
        <v>43042</v>
      </c>
      <c r="B135" t="s">
        <v>24</v>
      </c>
      <c r="C135">
        <v>51</v>
      </c>
      <c r="P135" s="30">
        <v>43040</v>
      </c>
      <c r="Q135" t="s">
        <v>24</v>
      </c>
      <c r="R135">
        <v>132</v>
      </c>
    </row>
    <row r="136" spans="1:18">
      <c r="A136" s="30">
        <v>43045</v>
      </c>
      <c r="B136" t="s">
        <v>26</v>
      </c>
      <c r="C136">
        <v>75</v>
      </c>
      <c r="P136" s="30">
        <v>43047</v>
      </c>
      <c r="Q136" t="s">
        <v>37</v>
      </c>
      <c r="R136">
        <v>4</v>
      </c>
    </row>
    <row r="137" spans="1:18">
      <c r="A137" s="30">
        <v>43043</v>
      </c>
      <c r="B137" t="s">
        <v>24</v>
      </c>
      <c r="C137">
        <v>174</v>
      </c>
      <c r="P137" s="30">
        <v>43045</v>
      </c>
      <c r="Q137" t="s">
        <v>37</v>
      </c>
      <c r="R137">
        <v>153</v>
      </c>
    </row>
    <row r="138" spans="1:18">
      <c r="A138" s="30">
        <v>43040</v>
      </c>
      <c r="B138" t="s">
        <v>24</v>
      </c>
      <c r="C138">
        <v>150</v>
      </c>
      <c r="P138" s="30">
        <v>43047</v>
      </c>
      <c r="Q138" t="s">
        <v>26</v>
      </c>
      <c r="R138">
        <v>29</v>
      </c>
    </row>
    <row r="139" spans="1:18">
      <c r="A139" s="30">
        <v>43043</v>
      </c>
      <c r="B139" t="s">
        <v>24</v>
      </c>
      <c r="C139">
        <v>4</v>
      </c>
      <c r="P139" s="30">
        <v>43042</v>
      </c>
      <c r="Q139" t="s">
        <v>24</v>
      </c>
      <c r="R139">
        <v>98</v>
      </c>
    </row>
    <row r="140" spans="1:18">
      <c r="A140" s="30">
        <v>43040</v>
      </c>
      <c r="B140" t="s">
        <v>26</v>
      </c>
      <c r="C140">
        <v>87</v>
      </c>
      <c r="P140" s="30">
        <v>43046</v>
      </c>
      <c r="Q140" t="s">
        <v>36</v>
      </c>
      <c r="R140">
        <v>89</v>
      </c>
    </row>
    <row r="141" spans="1:18">
      <c r="A141" s="30">
        <v>43040</v>
      </c>
      <c r="B141" t="s">
        <v>24</v>
      </c>
      <c r="C141">
        <v>105</v>
      </c>
      <c r="P141" s="30">
        <v>43042</v>
      </c>
      <c r="Q141" t="s">
        <v>36</v>
      </c>
      <c r="R141">
        <v>129</v>
      </c>
    </row>
    <row r="142" spans="1:18">
      <c r="A142" s="30">
        <v>43045</v>
      </c>
      <c r="B142" t="s">
        <v>24</v>
      </c>
      <c r="C142">
        <v>129</v>
      </c>
      <c r="P142" s="30">
        <v>43046</v>
      </c>
      <c r="Q142" t="s">
        <v>36</v>
      </c>
      <c r="R142">
        <v>165</v>
      </c>
    </row>
    <row r="143" spans="1:18">
      <c r="A143" s="30">
        <v>43047</v>
      </c>
      <c r="B143" t="s">
        <v>24</v>
      </c>
      <c r="C143">
        <v>9</v>
      </c>
      <c r="P143" s="30">
        <v>43043</v>
      </c>
      <c r="Q143" t="s">
        <v>24</v>
      </c>
      <c r="R143">
        <v>169</v>
      </c>
    </row>
    <row r="144" spans="1:18">
      <c r="A144" s="30">
        <v>43044</v>
      </c>
      <c r="B144" t="s">
        <v>24</v>
      </c>
      <c r="C144">
        <v>90</v>
      </c>
      <c r="P144" s="30">
        <v>43040</v>
      </c>
      <c r="Q144" t="s">
        <v>37</v>
      </c>
      <c r="R144">
        <v>191</v>
      </c>
    </row>
    <row r="145" spans="1:18">
      <c r="A145" s="30">
        <v>43041</v>
      </c>
      <c r="B145" t="s">
        <v>36</v>
      </c>
      <c r="C145">
        <v>14</v>
      </c>
      <c r="P145" s="30">
        <v>43047</v>
      </c>
      <c r="Q145" t="s">
        <v>36</v>
      </c>
      <c r="R145">
        <v>120</v>
      </c>
    </row>
    <row r="146" spans="1:18">
      <c r="A146" s="30">
        <v>43041</v>
      </c>
      <c r="B146" t="s">
        <v>36</v>
      </c>
      <c r="C146">
        <v>134</v>
      </c>
      <c r="P146" s="30">
        <v>43046</v>
      </c>
      <c r="Q146" t="s">
        <v>24</v>
      </c>
      <c r="R146">
        <v>188</v>
      </c>
    </row>
    <row r="147" spans="1:18">
      <c r="A147" s="30">
        <v>43047</v>
      </c>
      <c r="B147" t="s">
        <v>37</v>
      </c>
      <c r="C147">
        <v>102</v>
      </c>
      <c r="P147" s="30">
        <v>43045</v>
      </c>
      <c r="Q147" t="s">
        <v>37</v>
      </c>
      <c r="R147">
        <v>101</v>
      </c>
    </row>
    <row r="148" spans="1:18">
      <c r="A148" s="30">
        <v>43042</v>
      </c>
      <c r="B148" t="s">
        <v>26</v>
      </c>
      <c r="C148">
        <v>46</v>
      </c>
      <c r="P148" s="30">
        <v>43044</v>
      </c>
      <c r="Q148" t="s">
        <v>26</v>
      </c>
      <c r="R148">
        <v>73</v>
      </c>
    </row>
    <row r="149" spans="1:18">
      <c r="A149" s="30">
        <v>43046</v>
      </c>
      <c r="B149" t="s">
        <v>26</v>
      </c>
      <c r="C149">
        <v>182</v>
      </c>
      <c r="P149" s="30">
        <v>43046</v>
      </c>
      <c r="Q149" t="s">
        <v>37</v>
      </c>
      <c r="R149">
        <v>139</v>
      </c>
    </row>
    <row r="150" spans="1:18">
      <c r="A150" s="30">
        <v>43041</v>
      </c>
      <c r="B150" t="s">
        <v>26</v>
      </c>
      <c r="C150">
        <v>190</v>
      </c>
      <c r="P150" s="30">
        <v>43042</v>
      </c>
      <c r="Q150" t="s">
        <v>37</v>
      </c>
      <c r="R150">
        <v>168</v>
      </c>
    </row>
    <row r="151" spans="1:18">
      <c r="A151" s="30">
        <v>43045</v>
      </c>
      <c r="B151" t="s">
        <v>37</v>
      </c>
      <c r="C151">
        <v>13</v>
      </c>
      <c r="P151" s="30">
        <v>43046</v>
      </c>
      <c r="Q151" t="s">
        <v>24</v>
      </c>
      <c r="R151">
        <v>150</v>
      </c>
    </row>
    <row r="152" spans="1:18">
      <c r="A152" s="30">
        <v>43045</v>
      </c>
      <c r="B152" t="s">
        <v>36</v>
      </c>
      <c r="C152">
        <v>132</v>
      </c>
      <c r="P152" s="30">
        <v>43046</v>
      </c>
      <c r="Q152" t="s">
        <v>26</v>
      </c>
      <c r="R152">
        <v>24</v>
      </c>
    </row>
    <row r="153" spans="1:18">
      <c r="A153" s="30">
        <v>43047</v>
      </c>
      <c r="B153" t="s">
        <v>36</v>
      </c>
      <c r="C153">
        <v>52</v>
      </c>
      <c r="P153" s="30">
        <v>43045</v>
      </c>
      <c r="Q153" t="s">
        <v>37</v>
      </c>
      <c r="R153">
        <v>94</v>
      </c>
    </row>
    <row r="154" spans="1:18">
      <c r="A154" s="30">
        <v>43040</v>
      </c>
      <c r="B154" t="s">
        <v>24</v>
      </c>
      <c r="C154">
        <v>105</v>
      </c>
      <c r="P154" s="30">
        <v>43040</v>
      </c>
      <c r="Q154" t="s">
        <v>36</v>
      </c>
      <c r="R154">
        <v>171</v>
      </c>
    </row>
    <row r="155" spans="1:18">
      <c r="A155" s="30">
        <v>43041</v>
      </c>
      <c r="B155" t="s">
        <v>37</v>
      </c>
      <c r="C155">
        <v>142</v>
      </c>
      <c r="P155" s="30">
        <v>43044</v>
      </c>
      <c r="Q155" t="s">
        <v>24</v>
      </c>
      <c r="R155">
        <v>119</v>
      </c>
    </row>
    <row r="156" spans="1:18">
      <c r="A156" s="30">
        <v>43047</v>
      </c>
      <c r="B156" t="s">
        <v>37</v>
      </c>
      <c r="C156">
        <v>132</v>
      </c>
      <c r="P156" s="30">
        <v>43047</v>
      </c>
      <c r="Q156" t="s">
        <v>37</v>
      </c>
      <c r="R156">
        <v>157</v>
      </c>
    </row>
    <row r="157" spans="1:18">
      <c r="A157" s="30">
        <v>43043</v>
      </c>
      <c r="B157" t="s">
        <v>24</v>
      </c>
      <c r="C157">
        <v>116</v>
      </c>
      <c r="P157" s="30">
        <v>43045</v>
      </c>
      <c r="Q157" t="s">
        <v>24</v>
      </c>
      <c r="R157">
        <v>46</v>
      </c>
    </row>
    <row r="158" spans="1:18">
      <c r="A158" s="30">
        <v>43047</v>
      </c>
      <c r="B158" t="s">
        <v>24</v>
      </c>
      <c r="C158">
        <v>89</v>
      </c>
      <c r="P158" s="30">
        <v>43047</v>
      </c>
      <c r="Q158" t="s">
        <v>24</v>
      </c>
      <c r="R158">
        <v>191</v>
      </c>
    </row>
    <row r="159" spans="1:18">
      <c r="A159" s="30">
        <v>43042</v>
      </c>
      <c r="B159" t="s">
        <v>26</v>
      </c>
      <c r="C159">
        <v>156</v>
      </c>
      <c r="P159" s="30">
        <v>43040</v>
      </c>
      <c r="Q159" t="s">
        <v>37</v>
      </c>
      <c r="R159">
        <v>83</v>
      </c>
    </row>
    <row r="160" spans="1:18">
      <c r="A160" s="30">
        <v>43045</v>
      </c>
      <c r="B160" t="s">
        <v>26</v>
      </c>
      <c r="C160">
        <v>136</v>
      </c>
      <c r="P160" s="30">
        <v>43042</v>
      </c>
      <c r="Q160" t="s">
        <v>24</v>
      </c>
      <c r="R160">
        <v>106</v>
      </c>
    </row>
    <row r="161" spans="1:18">
      <c r="A161" s="30">
        <v>43043</v>
      </c>
      <c r="B161" t="s">
        <v>36</v>
      </c>
      <c r="C161">
        <v>77</v>
      </c>
      <c r="P161" s="30">
        <v>43046</v>
      </c>
      <c r="Q161" t="s">
        <v>37</v>
      </c>
      <c r="R161">
        <v>53</v>
      </c>
    </row>
    <row r="162" spans="1:18">
      <c r="A162" s="30">
        <v>43044</v>
      </c>
      <c r="B162" t="s">
        <v>37</v>
      </c>
      <c r="C162">
        <v>97</v>
      </c>
      <c r="P162" s="30">
        <v>43046</v>
      </c>
      <c r="Q162" t="s">
        <v>36</v>
      </c>
      <c r="R162">
        <v>178</v>
      </c>
    </row>
    <row r="163" spans="1:18">
      <c r="A163" s="30">
        <v>43047</v>
      </c>
      <c r="B163" t="s">
        <v>36</v>
      </c>
      <c r="C163">
        <v>121</v>
      </c>
      <c r="P163" s="30">
        <v>43044</v>
      </c>
      <c r="Q163" t="s">
        <v>24</v>
      </c>
      <c r="R163">
        <v>134</v>
      </c>
    </row>
    <row r="164" spans="1:18">
      <c r="A164" s="30">
        <v>43041</v>
      </c>
      <c r="B164" t="s">
        <v>26</v>
      </c>
      <c r="C164">
        <v>3</v>
      </c>
      <c r="P164" s="30">
        <v>43045</v>
      </c>
      <c r="Q164" t="s">
        <v>36</v>
      </c>
      <c r="R164">
        <v>74</v>
      </c>
    </row>
    <row r="165" spans="1:18">
      <c r="A165" s="30">
        <v>43043</v>
      </c>
      <c r="B165" t="s">
        <v>37</v>
      </c>
      <c r="C165">
        <v>56</v>
      </c>
      <c r="P165" s="30">
        <v>43040</v>
      </c>
      <c r="Q165" t="s">
        <v>36</v>
      </c>
      <c r="R165">
        <v>38</v>
      </c>
    </row>
    <row r="166" spans="1:18">
      <c r="A166" s="30">
        <v>43043</v>
      </c>
      <c r="B166" t="s">
        <v>26</v>
      </c>
      <c r="C166">
        <v>177</v>
      </c>
      <c r="P166" s="30">
        <v>43043</v>
      </c>
      <c r="Q166" t="s">
        <v>37</v>
      </c>
      <c r="R166">
        <v>185</v>
      </c>
    </row>
    <row r="167" spans="1:18">
      <c r="A167" s="30">
        <v>43043</v>
      </c>
      <c r="B167" t="s">
        <v>26</v>
      </c>
      <c r="C167">
        <v>140</v>
      </c>
      <c r="P167" s="30">
        <v>43042</v>
      </c>
      <c r="Q167" t="s">
        <v>24</v>
      </c>
      <c r="R167">
        <v>145</v>
      </c>
    </row>
    <row r="168" spans="1:18">
      <c r="A168" s="30">
        <v>43047</v>
      </c>
      <c r="B168" t="s">
        <v>36</v>
      </c>
      <c r="C168">
        <v>173</v>
      </c>
      <c r="P168" s="30">
        <v>43046</v>
      </c>
      <c r="Q168" t="s">
        <v>36</v>
      </c>
      <c r="R168">
        <v>119</v>
      </c>
    </row>
    <row r="169" spans="1:18">
      <c r="A169" s="30">
        <v>43045</v>
      </c>
      <c r="B169" t="s">
        <v>36</v>
      </c>
      <c r="C169">
        <v>27</v>
      </c>
      <c r="P169" s="30">
        <v>43045</v>
      </c>
      <c r="Q169" t="s">
        <v>36</v>
      </c>
      <c r="R169">
        <v>178</v>
      </c>
    </row>
    <row r="170" spans="1:18">
      <c r="A170" s="30">
        <v>43043</v>
      </c>
      <c r="B170" t="s">
        <v>26</v>
      </c>
      <c r="C170">
        <v>87</v>
      </c>
      <c r="P170" s="30">
        <v>43041</v>
      </c>
      <c r="Q170" t="s">
        <v>24</v>
      </c>
      <c r="R170">
        <v>171</v>
      </c>
    </row>
    <row r="171" spans="1:18">
      <c r="A171" s="30">
        <v>43043</v>
      </c>
      <c r="B171" t="s">
        <v>36</v>
      </c>
      <c r="C171">
        <v>20</v>
      </c>
      <c r="P171" s="30">
        <v>43040</v>
      </c>
      <c r="Q171" t="s">
        <v>24</v>
      </c>
      <c r="R171">
        <v>33</v>
      </c>
    </row>
    <row r="172" spans="1:18">
      <c r="A172" s="30">
        <v>43043</v>
      </c>
      <c r="B172" t="s">
        <v>26</v>
      </c>
      <c r="C172">
        <v>191</v>
      </c>
      <c r="P172" s="30">
        <v>43044</v>
      </c>
      <c r="Q172" t="s">
        <v>26</v>
      </c>
      <c r="R172">
        <v>32</v>
      </c>
    </row>
    <row r="173" spans="1:18">
      <c r="A173" s="30">
        <v>43040</v>
      </c>
      <c r="B173" t="s">
        <v>26</v>
      </c>
      <c r="C173">
        <v>70</v>
      </c>
      <c r="P173" s="30">
        <v>43045</v>
      </c>
      <c r="Q173" t="s">
        <v>37</v>
      </c>
      <c r="R173">
        <v>24</v>
      </c>
    </row>
    <row r="174" spans="1:18">
      <c r="A174" s="30">
        <v>43043</v>
      </c>
      <c r="B174" t="s">
        <v>24</v>
      </c>
      <c r="C174">
        <v>186</v>
      </c>
      <c r="P174" s="30">
        <v>43043</v>
      </c>
      <c r="Q174" t="s">
        <v>37</v>
      </c>
      <c r="R174">
        <v>166</v>
      </c>
    </row>
    <row r="175" spans="1:18">
      <c r="A175" s="30">
        <v>43043</v>
      </c>
      <c r="B175" t="s">
        <v>36</v>
      </c>
      <c r="C175">
        <v>126</v>
      </c>
      <c r="P175" s="30">
        <v>43043</v>
      </c>
      <c r="Q175" t="s">
        <v>26</v>
      </c>
      <c r="R175">
        <v>107</v>
      </c>
    </row>
    <row r="176" spans="1:18">
      <c r="A176" s="30">
        <v>43040</v>
      </c>
      <c r="B176" t="s">
        <v>24</v>
      </c>
      <c r="C176">
        <v>3</v>
      </c>
      <c r="P176" s="30">
        <v>43040</v>
      </c>
      <c r="Q176" t="s">
        <v>26</v>
      </c>
      <c r="R176">
        <v>179</v>
      </c>
    </row>
    <row r="177" spans="1:18">
      <c r="A177" s="30">
        <v>43043</v>
      </c>
      <c r="B177" t="s">
        <v>36</v>
      </c>
      <c r="C177">
        <v>92</v>
      </c>
      <c r="P177" s="30">
        <v>43043</v>
      </c>
      <c r="Q177" t="s">
        <v>26</v>
      </c>
      <c r="R177">
        <v>164</v>
      </c>
    </row>
    <row r="178" spans="1:18">
      <c r="A178" s="30">
        <v>43043</v>
      </c>
      <c r="B178" t="s">
        <v>37</v>
      </c>
      <c r="C178">
        <v>3</v>
      </c>
      <c r="P178" s="30">
        <v>43045</v>
      </c>
      <c r="Q178" t="s">
        <v>36</v>
      </c>
      <c r="R178">
        <v>175</v>
      </c>
    </row>
    <row r="179" spans="1:18">
      <c r="A179" s="30">
        <v>43044</v>
      </c>
      <c r="B179" t="s">
        <v>26</v>
      </c>
      <c r="C179">
        <v>82</v>
      </c>
      <c r="P179" s="30">
        <v>43043</v>
      </c>
      <c r="Q179" t="s">
        <v>37</v>
      </c>
      <c r="R179">
        <v>55</v>
      </c>
    </row>
    <row r="180" spans="1:18">
      <c r="A180" s="30">
        <v>43040</v>
      </c>
      <c r="B180" t="s">
        <v>26</v>
      </c>
      <c r="C180">
        <v>99</v>
      </c>
      <c r="P180" s="30">
        <v>43046</v>
      </c>
      <c r="Q180" t="s">
        <v>36</v>
      </c>
      <c r="R180">
        <v>165</v>
      </c>
    </row>
    <row r="181" spans="1:18">
      <c r="A181" s="30">
        <v>43045</v>
      </c>
      <c r="B181" t="s">
        <v>36</v>
      </c>
      <c r="C181">
        <v>131</v>
      </c>
      <c r="P181" s="30">
        <v>43047</v>
      </c>
      <c r="Q181" t="s">
        <v>37</v>
      </c>
      <c r="R181">
        <v>142</v>
      </c>
    </row>
    <row r="182" spans="1:18">
      <c r="A182" s="30">
        <v>43040</v>
      </c>
      <c r="B182" t="s">
        <v>37</v>
      </c>
      <c r="C182">
        <v>175</v>
      </c>
      <c r="P182" s="30">
        <v>43041</v>
      </c>
      <c r="Q182" t="s">
        <v>36</v>
      </c>
      <c r="R182">
        <v>67</v>
      </c>
    </row>
    <row r="183" spans="1:18">
      <c r="A183" s="30">
        <v>43043</v>
      </c>
      <c r="B183" t="s">
        <v>26</v>
      </c>
      <c r="C183">
        <v>41</v>
      </c>
      <c r="P183" s="30">
        <v>43046</v>
      </c>
      <c r="Q183" t="s">
        <v>36</v>
      </c>
      <c r="R183">
        <v>73</v>
      </c>
    </row>
    <row r="184" spans="1:18">
      <c r="A184" s="30">
        <v>43043</v>
      </c>
      <c r="B184" t="s">
        <v>24</v>
      </c>
      <c r="C184">
        <v>14</v>
      </c>
      <c r="P184" s="30">
        <v>43044</v>
      </c>
      <c r="Q184" t="s">
        <v>24</v>
      </c>
      <c r="R184">
        <v>21</v>
      </c>
    </row>
    <row r="185" spans="1:18">
      <c r="A185" s="30">
        <v>43045</v>
      </c>
      <c r="B185" t="s">
        <v>37</v>
      </c>
      <c r="C185">
        <v>122</v>
      </c>
      <c r="P185" s="30">
        <v>43047</v>
      </c>
      <c r="Q185" t="s">
        <v>36</v>
      </c>
      <c r="R185">
        <v>40</v>
      </c>
    </row>
    <row r="186" spans="1:18">
      <c r="A186" s="30">
        <v>43041</v>
      </c>
      <c r="B186" t="s">
        <v>37</v>
      </c>
      <c r="C186">
        <v>48</v>
      </c>
      <c r="P186" s="30">
        <v>43042</v>
      </c>
      <c r="Q186" t="s">
        <v>24</v>
      </c>
      <c r="R186">
        <v>175</v>
      </c>
    </row>
    <row r="187" spans="1:18">
      <c r="A187" s="30">
        <v>43042</v>
      </c>
      <c r="B187" t="s">
        <v>36</v>
      </c>
      <c r="C187">
        <v>57</v>
      </c>
      <c r="P187" s="30">
        <v>43040</v>
      </c>
      <c r="Q187" t="s">
        <v>37</v>
      </c>
      <c r="R187">
        <v>187</v>
      </c>
    </row>
    <row r="188" spans="1:18">
      <c r="A188" s="30">
        <v>43047</v>
      </c>
      <c r="B188" t="s">
        <v>26</v>
      </c>
      <c r="C188">
        <v>113</v>
      </c>
      <c r="P188" s="30">
        <v>43045</v>
      </c>
      <c r="Q188" t="s">
        <v>24</v>
      </c>
      <c r="R188">
        <v>167</v>
      </c>
    </row>
    <row r="189" spans="1:18">
      <c r="A189" s="30">
        <v>43047</v>
      </c>
      <c r="B189" t="s">
        <v>36</v>
      </c>
      <c r="C189">
        <v>186</v>
      </c>
      <c r="P189" s="30">
        <v>43046</v>
      </c>
      <c r="Q189" t="s">
        <v>37</v>
      </c>
      <c r="R189">
        <v>70</v>
      </c>
    </row>
    <row r="190" spans="1:18">
      <c r="A190" s="30">
        <v>43043</v>
      </c>
      <c r="B190" t="s">
        <v>36</v>
      </c>
      <c r="C190">
        <v>102</v>
      </c>
      <c r="P190" s="30">
        <v>43043</v>
      </c>
      <c r="Q190" t="s">
        <v>37</v>
      </c>
      <c r="R190">
        <v>72</v>
      </c>
    </row>
    <row r="191" spans="1:18">
      <c r="A191" s="30">
        <v>43040</v>
      </c>
      <c r="B191" t="s">
        <v>37</v>
      </c>
      <c r="C191">
        <v>77</v>
      </c>
      <c r="P191" s="30">
        <v>43047</v>
      </c>
      <c r="Q191" t="s">
        <v>36</v>
      </c>
      <c r="R191">
        <v>103</v>
      </c>
    </row>
    <row r="192" spans="1:18">
      <c r="A192" s="30">
        <v>43043</v>
      </c>
      <c r="B192" t="s">
        <v>37</v>
      </c>
      <c r="C192">
        <v>4</v>
      </c>
      <c r="P192" s="30">
        <v>43044</v>
      </c>
      <c r="Q192" t="s">
        <v>37</v>
      </c>
      <c r="R192">
        <v>88</v>
      </c>
    </row>
    <row r="193" spans="1:18">
      <c r="A193" s="30">
        <v>43045</v>
      </c>
      <c r="B193" t="s">
        <v>24</v>
      </c>
      <c r="C193">
        <v>127</v>
      </c>
      <c r="P193" s="30">
        <v>43043</v>
      </c>
      <c r="Q193" t="s">
        <v>37</v>
      </c>
      <c r="R193">
        <v>134</v>
      </c>
    </row>
    <row r="194" spans="1:18">
      <c r="A194" s="30">
        <v>43047</v>
      </c>
      <c r="B194" t="s">
        <v>37</v>
      </c>
      <c r="C194">
        <v>172</v>
      </c>
      <c r="P194" s="30">
        <v>43045</v>
      </c>
      <c r="Q194" t="s">
        <v>36</v>
      </c>
      <c r="R194">
        <v>40</v>
      </c>
    </row>
    <row r="195" spans="1:18">
      <c r="A195" s="30">
        <v>43040</v>
      </c>
      <c r="B195" t="s">
        <v>36</v>
      </c>
      <c r="C195">
        <v>86</v>
      </c>
      <c r="P195" s="30">
        <v>43041</v>
      </c>
      <c r="Q195" t="s">
        <v>24</v>
      </c>
      <c r="R195">
        <v>19</v>
      </c>
    </row>
    <row r="196" spans="1:18">
      <c r="A196" s="30">
        <v>43044</v>
      </c>
      <c r="B196" t="s">
        <v>24</v>
      </c>
      <c r="C196">
        <v>177</v>
      </c>
      <c r="P196" s="30">
        <v>43043</v>
      </c>
      <c r="Q196" t="s">
        <v>36</v>
      </c>
      <c r="R196">
        <v>6</v>
      </c>
    </row>
    <row r="197" spans="1:18">
      <c r="A197" s="30">
        <v>43041</v>
      </c>
      <c r="B197" t="s">
        <v>36</v>
      </c>
      <c r="C197">
        <v>103</v>
      </c>
      <c r="P197" s="30">
        <v>43044</v>
      </c>
      <c r="Q197" t="s">
        <v>36</v>
      </c>
      <c r="R197">
        <v>93</v>
      </c>
    </row>
    <row r="198" spans="1:18">
      <c r="A198" s="30">
        <v>43043</v>
      </c>
      <c r="B198" t="s">
        <v>24</v>
      </c>
      <c r="C198">
        <v>84</v>
      </c>
      <c r="P198" s="30">
        <v>43045</v>
      </c>
      <c r="Q198" t="s">
        <v>36</v>
      </c>
      <c r="R198">
        <v>147</v>
      </c>
    </row>
    <row r="199" spans="1:18">
      <c r="A199" s="30">
        <v>43044</v>
      </c>
      <c r="B199" t="s">
        <v>36</v>
      </c>
      <c r="C199">
        <v>118</v>
      </c>
      <c r="P199" s="30">
        <v>43046</v>
      </c>
      <c r="Q199" t="s">
        <v>24</v>
      </c>
      <c r="R199">
        <v>37</v>
      </c>
    </row>
    <row r="200" spans="1:18">
      <c r="A200" s="30">
        <v>43046</v>
      </c>
      <c r="B200" t="s">
        <v>37</v>
      </c>
      <c r="C200">
        <v>66</v>
      </c>
      <c r="P200" s="30">
        <v>43045</v>
      </c>
      <c r="Q200" t="s">
        <v>24</v>
      </c>
      <c r="R200">
        <v>8</v>
      </c>
    </row>
    <row r="201" spans="1:18">
      <c r="A201" s="30">
        <v>43042</v>
      </c>
      <c r="B201" t="s">
        <v>36</v>
      </c>
      <c r="C201">
        <v>168</v>
      </c>
      <c r="P201" s="30">
        <v>43044</v>
      </c>
      <c r="Q201" t="s">
        <v>26</v>
      </c>
      <c r="R201">
        <v>137</v>
      </c>
    </row>
    <row r="202" spans="1:18">
      <c r="A202" s="30">
        <v>43043</v>
      </c>
      <c r="B202" t="s">
        <v>24</v>
      </c>
      <c r="C202">
        <v>155</v>
      </c>
      <c r="P202" s="30">
        <v>43041</v>
      </c>
      <c r="Q202" t="s">
        <v>24</v>
      </c>
      <c r="R202">
        <v>100</v>
      </c>
    </row>
    <row r="203" spans="1:18">
      <c r="A203" s="30">
        <v>43045</v>
      </c>
      <c r="B203" t="s">
        <v>24</v>
      </c>
      <c r="C203">
        <v>145</v>
      </c>
      <c r="P203" s="30">
        <v>43045</v>
      </c>
      <c r="Q203" t="s">
        <v>37</v>
      </c>
      <c r="R203">
        <v>143</v>
      </c>
    </row>
    <row r="204" spans="1:18">
      <c r="A204" s="30">
        <v>43040</v>
      </c>
      <c r="B204" t="s">
        <v>24</v>
      </c>
      <c r="C204">
        <v>98</v>
      </c>
      <c r="P204" s="30">
        <v>43046</v>
      </c>
      <c r="Q204" t="s">
        <v>24</v>
      </c>
      <c r="R204">
        <v>99</v>
      </c>
    </row>
    <row r="205" spans="1:18">
      <c r="A205" s="30">
        <v>43045</v>
      </c>
      <c r="B205" t="s">
        <v>24</v>
      </c>
      <c r="C205">
        <v>46</v>
      </c>
      <c r="P205" s="30">
        <v>43046</v>
      </c>
      <c r="Q205" t="s">
        <v>26</v>
      </c>
      <c r="R205">
        <v>171</v>
      </c>
    </row>
    <row r="206" spans="1:18">
      <c r="A206" s="30">
        <v>43040</v>
      </c>
      <c r="B206" t="s">
        <v>26</v>
      </c>
      <c r="C206">
        <v>42</v>
      </c>
      <c r="P206" s="30">
        <v>43047</v>
      </c>
      <c r="Q206" t="s">
        <v>24</v>
      </c>
      <c r="R206">
        <v>30</v>
      </c>
    </row>
    <row r="207" spans="1:18">
      <c r="A207" s="30">
        <v>43047</v>
      </c>
      <c r="B207" t="s">
        <v>24</v>
      </c>
      <c r="C207">
        <v>156</v>
      </c>
      <c r="P207" s="30">
        <v>43046</v>
      </c>
      <c r="Q207" t="s">
        <v>24</v>
      </c>
      <c r="R207">
        <v>145</v>
      </c>
    </row>
    <row r="208" spans="1:18">
      <c r="A208" s="30">
        <v>43040</v>
      </c>
      <c r="B208" t="s">
        <v>36</v>
      </c>
      <c r="C208">
        <v>20</v>
      </c>
      <c r="P208" s="30">
        <v>43041</v>
      </c>
      <c r="Q208" t="s">
        <v>36</v>
      </c>
      <c r="R208">
        <v>125</v>
      </c>
    </row>
    <row r="209" spans="1:18">
      <c r="A209" s="30">
        <v>43045</v>
      </c>
      <c r="B209" t="s">
        <v>24</v>
      </c>
      <c r="C209">
        <v>75</v>
      </c>
      <c r="P209" s="30">
        <v>43042</v>
      </c>
      <c r="Q209" t="s">
        <v>24</v>
      </c>
      <c r="R209">
        <v>25</v>
      </c>
    </row>
    <row r="210" spans="1:18">
      <c r="A210" s="30">
        <v>43042</v>
      </c>
      <c r="B210" t="s">
        <v>24</v>
      </c>
      <c r="C210">
        <v>108</v>
      </c>
      <c r="P210" s="30">
        <v>43045</v>
      </c>
      <c r="Q210" t="s">
        <v>37</v>
      </c>
      <c r="R210">
        <v>126</v>
      </c>
    </row>
    <row r="211" spans="1:18">
      <c r="A211" s="30">
        <v>43043</v>
      </c>
      <c r="B211" t="s">
        <v>37</v>
      </c>
      <c r="C211">
        <v>129</v>
      </c>
      <c r="P211" s="30">
        <v>43045</v>
      </c>
      <c r="Q211" t="s">
        <v>24</v>
      </c>
      <c r="R211">
        <v>18</v>
      </c>
    </row>
    <row r="212" spans="1:18">
      <c r="A212" s="30">
        <v>43044</v>
      </c>
      <c r="B212" t="s">
        <v>26</v>
      </c>
      <c r="C212">
        <v>113</v>
      </c>
      <c r="P212" s="30">
        <v>43044</v>
      </c>
      <c r="Q212" t="s">
        <v>37</v>
      </c>
      <c r="R212">
        <v>161</v>
      </c>
    </row>
    <row r="213" spans="1:18">
      <c r="A213" s="30">
        <v>43040</v>
      </c>
      <c r="B213" t="s">
        <v>37</v>
      </c>
      <c r="C213">
        <v>118</v>
      </c>
      <c r="P213" s="30">
        <v>43043</v>
      </c>
      <c r="Q213" t="s">
        <v>24</v>
      </c>
      <c r="R213">
        <v>166</v>
      </c>
    </row>
    <row r="214" spans="1:18">
      <c r="A214" s="30">
        <v>43041</v>
      </c>
      <c r="B214" t="s">
        <v>26</v>
      </c>
      <c r="C214">
        <v>46</v>
      </c>
      <c r="P214" s="30">
        <v>43042</v>
      </c>
      <c r="Q214" t="s">
        <v>37</v>
      </c>
      <c r="R214">
        <v>29</v>
      </c>
    </row>
    <row r="215" spans="1:18">
      <c r="A215" s="30">
        <v>43043</v>
      </c>
      <c r="B215" t="s">
        <v>24</v>
      </c>
      <c r="C215">
        <v>72</v>
      </c>
      <c r="P215" s="30">
        <v>43041</v>
      </c>
      <c r="Q215" t="s">
        <v>26</v>
      </c>
      <c r="R215">
        <v>63</v>
      </c>
    </row>
    <row r="216" spans="1:18">
      <c r="A216" s="30">
        <v>43046</v>
      </c>
      <c r="B216" t="s">
        <v>24</v>
      </c>
      <c r="C216">
        <v>96</v>
      </c>
      <c r="P216" s="30">
        <v>43043</v>
      </c>
      <c r="Q216" t="s">
        <v>26</v>
      </c>
      <c r="R216">
        <v>11</v>
      </c>
    </row>
    <row r="217" spans="1:18">
      <c r="A217" s="30">
        <v>43042</v>
      </c>
      <c r="B217" t="s">
        <v>24</v>
      </c>
      <c r="C217">
        <v>69</v>
      </c>
      <c r="P217" s="30">
        <v>43044</v>
      </c>
      <c r="Q217" t="s">
        <v>36</v>
      </c>
      <c r="R217">
        <v>157</v>
      </c>
    </row>
    <row r="218" spans="1:18">
      <c r="A218" s="30">
        <v>43042</v>
      </c>
      <c r="B218" t="s">
        <v>37</v>
      </c>
      <c r="C218">
        <v>149</v>
      </c>
      <c r="P218" s="30">
        <v>43042</v>
      </c>
      <c r="Q218" t="s">
        <v>24</v>
      </c>
      <c r="R218">
        <v>12</v>
      </c>
    </row>
    <row r="219" spans="1:18">
      <c r="A219" s="30">
        <v>43040</v>
      </c>
      <c r="B219" t="s">
        <v>37</v>
      </c>
      <c r="C219">
        <v>38</v>
      </c>
      <c r="P219" s="30">
        <v>43045</v>
      </c>
      <c r="Q219" t="s">
        <v>36</v>
      </c>
      <c r="R219">
        <v>71</v>
      </c>
    </row>
    <row r="220" spans="1:18">
      <c r="A220" s="30">
        <v>43042</v>
      </c>
      <c r="B220" t="s">
        <v>26</v>
      </c>
      <c r="C220">
        <v>161</v>
      </c>
      <c r="P220" s="30">
        <v>43043</v>
      </c>
      <c r="Q220" t="s">
        <v>37</v>
      </c>
      <c r="R220">
        <v>153</v>
      </c>
    </row>
    <row r="221" spans="1:18">
      <c r="A221" s="30">
        <v>43043</v>
      </c>
      <c r="B221" t="s">
        <v>24</v>
      </c>
      <c r="C221">
        <v>157</v>
      </c>
      <c r="P221" s="30">
        <v>43044</v>
      </c>
      <c r="Q221" t="s">
        <v>26</v>
      </c>
      <c r="R221">
        <v>95</v>
      </c>
    </row>
    <row r="222" spans="1:18">
      <c r="A222" s="30">
        <v>43040</v>
      </c>
      <c r="B222" t="s">
        <v>26</v>
      </c>
      <c r="C222">
        <v>86</v>
      </c>
      <c r="P222" s="30">
        <v>43044</v>
      </c>
      <c r="Q222" t="s">
        <v>26</v>
      </c>
      <c r="R222">
        <v>31</v>
      </c>
    </row>
    <row r="223" spans="1:18">
      <c r="A223" s="30">
        <v>43042</v>
      </c>
      <c r="B223" t="s">
        <v>37</v>
      </c>
      <c r="C223">
        <v>78</v>
      </c>
      <c r="P223" s="30">
        <v>43044</v>
      </c>
      <c r="Q223" t="s">
        <v>37</v>
      </c>
      <c r="R223">
        <v>47</v>
      </c>
    </row>
    <row r="224" spans="1:18">
      <c r="A224" s="30">
        <v>43040</v>
      </c>
      <c r="B224" t="s">
        <v>24</v>
      </c>
      <c r="C224">
        <v>125</v>
      </c>
      <c r="P224" s="30">
        <v>43044</v>
      </c>
      <c r="Q224" t="s">
        <v>37</v>
      </c>
      <c r="R224">
        <v>147</v>
      </c>
    </row>
    <row r="225" spans="1:18">
      <c r="A225" s="30">
        <v>43045</v>
      </c>
      <c r="B225" t="s">
        <v>24</v>
      </c>
      <c r="C225">
        <v>48</v>
      </c>
      <c r="P225" s="30">
        <v>43047</v>
      </c>
      <c r="Q225" t="s">
        <v>24</v>
      </c>
      <c r="R225">
        <v>135</v>
      </c>
    </row>
    <row r="226" spans="1:18">
      <c r="A226" s="30">
        <v>43047</v>
      </c>
      <c r="B226" t="s">
        <v>37</v>
      </c>
      <c r="C226">
        <v>71</v>
      </c>
      <c r="P226" s="30">
        <v>43040</v>
      </c>
      <c r="Q226" t="s">
        <v>24</v>
      </c>
      <c r="R226">
        <v>78</v>
      </c>
    </row>
    <row r="227" spans="1:18">
      <c r="A227" s="30">
        <v>43043</v>
      </c>
      <c r="B227" t="s">
        <v>24</v>
      </c>
      <c r="C227">
        <v>32</v>
      </c>
      <c r="P227" s="30">
        <v>43046</v>
      </c>
      <c r="Q227" t="s">
        <v>24</v>
      </c>
      <c r="R227">
        <v>94</v>
      </c>
    </row>
    <row r="228" spans="1:18">
      <c r="A228" s="30">
        <v>43045</v>
      </c>
      <c r="B228" t="s">
        <v>36</v>
      </c>
      <c r="C228">
        <v>161</v>
      </c>
      <c r="P228" s="30">
        <v>43040</v>
      </c>
      <c r="Q228" t="s">
        <v>36</v>
      </c>
      <c r="R228">
        <v>97</v>
      </c>
    </row>
    <row r="229" spans="1:18">
      <c r="A229" s="30">
        <v>43047</v>
      </c>
      <c r="B229" t="s">
        <v>24</v>
      </c>
      <c r="C229">
        <v>65</v>
      </c>
      <c r="P229" s="30">
        <v>43045</v>
      </c>
      <c r="Q229" t="s">
        <v>26</v>
      </c>
      <c r="R229">
        <v>170</v>
      </c>
    </row>
    <row r="230" spans="1:18">
      <c r="A230" s="30">
        <v>43040</v>
      </c>
      <c r="B230" t="s">
        <v>26</v>
      </c>
      <c r="C230">
        <v>189</v>
      </c>
      <c r="P230" s="30">
        <v>43046</v>
      </c>
      <c r="Q230" t="s">
        <v>26</v>
      </c>
      <c r="R230">
        <v>100</v>
      </c>
    </row>
    <row r="231" spans="1:18">
      <c r="A231" s="30">
        <v>43045</v>
      </c>
      <c r="B231" t="s">
        <v>37</v>
      </c>
      <c r="C231">
        <v>181</v>
      </c>
      <c r="P231" s="30">
        <v>43041</v>
      </c>
      <c r="Q231" t="s">
        <v>24</v>
      </c>
      <c r="R231">
        <v>57</v>
      </c>
    </row>
    <row r="232" spans="1:18">
      <c r="A232" s="30">
        <v>43044</v>
      </c>
      <c r="B232" t="s">
        <v>24</v>
      </c>
      <c r="C232">
        <v>48</v>
      </c>
      <c r="P232" s="30">
        <v>43044</v>
      </c>
      <c r="Q232" t="s">
        <v>37</v>
      </c>
      <c r="R232">
        <v>133</v>
      </c>
    </row>
    <row r="233" spans="1:18">
      <c r="A233" s="30">
        <v>43044</v>
      </c>
      <c r="B233" t="s">
        <v>24</v>
      </c>
      <c r="C233">
        <v>132</v>
      </c>
      <c r="P233" s="30">
        <v>43045</v>
      </c>
      <c r="Q233" t="s">
        <v>36</v>
      </c>
      <c r="R233">
        <v>176</v>
      </c>
    </row>
    <row r="234" spans="1:18">
      <c r="A234" s="30">
        <v>43045</v>
      </c>
      <c r="B234" t="s">
        <v>37</v>
      </c>
      <c r="C234">
        <v>54</v>
      </c>
      <c r="P234" s="30">
        <v>43041</v>
      </c>
      <c r="Q234" t="s">
        <v>24</v>
      </c>
      <c r="R234">
        <v>165</v>
      </c>
    </row>
    <row r="235" spans="1:18">
      <c r="A235" s="30">
        <v>43044</v>
      </c>
      <c r="B235" t="s">
        <v>37</v>
      </c>
      <c r="C235">
        <v>103</v>
      </c>
      <c r="P235" s="30">
        <v>43040</v>
      </c>
      <c r="Q235" t="s">
        <v>36</v>
      </c>
      <c r="R235">
        <v>182</v>
      </c>
    </row>
    <row r="236" spans="1:18">
      <c r="A236" s="30">
        <v>43043</v>
      </c>
      <c r="B236" t="s">
        <v>36</v>
      </c>
      <c r="C236">
        <v>129</v>
      </c>
      <c r="P236" s="30">
        <v>43043</v>
      </c>
      <c r="Q236" t="s">
        <v>26</v>
      </c>
      <c r="R236">
        <v>72</v>
      </c>
    </row>
    <row r="237" spans="1:18">
      <c r="A237" s="30">
        <v>43042</v>
      </c>
      <c r="B237" t="s">
        <v>37</v>
      </c>
      <c r="C237">
        <v>104</v>
      </c>
      <c r="P237" s="30">
        <v>43045</v>
      </c>
      <c r="Q237" t="s">
        <v>26</v>
      </c>
      <c r="R237">
        <v>45</v>
      </c>
    </row>
    <row r="238" spans="1:18">
      <c r="A238" s="30">
        <v>43047</v>
      </c>
      <c r="B238" t="s">
        <v>36</v>
      </c>
      <c r="C238">
        <v>121</v>
      </c>
      <c r="P238" s="30">
        <v>43047</v>
      </c>
      <c r="Q238" t="s">
        <v>37</v>
      </c>
      <c r="R238">
        <v>52</v>
      </c>
    </row>
    <row r="239" spans="1:18">
      <c r="A239" s="30">
        <v>43043</v>
      </c>
      <c r="B239" t="s">
        <v>24</v>
      </c>
      <c r="C239">
        <v>148</v>
      </c>
      <c r="P239" s="30">
        <v>43047</v>
      </c>
      <c r="Q239" t="s">
        <v>36</v>
      </c>
      <c r="R239">
        <v>10</v>
      </c>
    </row>
    <row r="240" spans="1:18">
      <c r="A240" s="30">
        <v>43044</v>
      </c>
      <c r="B240" t="s">
        <v>24</v>
      </c>
      <c r="C240">
        <v>79</v>
      </c>
      <c r="P240" s="30">
        <v>43046</v>
      </c>
      <c r="Q240" t="s">
        <v>24</v>
      </c>
      <c r="R240">
        <v>167</v>
      </c>
    </row>
    <row r="241" spans="1:18">
      <c r="A241" s="30">
        <v>43046</v>
      </c>
      <c r="B241" t="s">
        <v>37</v>
      </c>
      <c r="C241">
        <v>180</v>
      </c>
      <c r="P241" s="30">
        <v>43041</v>
      </c>
      <c r="Q241" t="s">
        <v>24</v>
      </c>
      <c r="R241">
        <v>49</v>
      </c>
    </row>
    <row r="242" spans="1:18">
      <c r="A242" s="30">
        <v>43040</v>
      </c>
      <c r="B242" t="s">
        <v>37</v>
      </c>
      <c r="C242">
        <v>154</v>
      </c>
      <c r="P242" s="30">
        <v>43044</v>
      </c>
      <c r="Q242" t="s">
        <v>36</v>
      </c>
      <c r="R242">
        <v>51</v>
      </c>
    </row>
    <row r="243" spans="1:18">
      <c r="A243" s="30">
        <v>43047</v>
      </c>
      <c r="B243" t="s">
        <v>24</v>
      </c>
      <c r="C243">
        <v>103</v>
      </c>
      <c r="P243" s="30">
        <v>43044</v>
      </c>
      <c r="Q243" t="s">
        <v>36</v>
      </c>
      <c r="R243">
        <v>146</v>
      </c>
    </row>
    <row r="244" spans="1:18">
      <c r="A244" s="30">
        <v>43047</v>
      </c>
      <c r="B244" t="s">
        <v>26</v>
      </c>
      <c r="C244">
        <v>161</v>
      </c>
      <c r="P244" s="30">
        <v>43043</v>
      </c>
      <c r="Q244" t="s">
        <v>26</v>
      </c>
      <c r="R244">
        <v>138</v>
      </c>
    </row>
    <row r="245" spans="1:18">
      <c r="A245" s="30">
        <v>43047</v>
      </c>
      <c r="B245" t="s">
        <v>37</v>
      </c>
      <c r="C245">
        <v>96</v>
      </c>
      <c r="P245" s="30">
        <v>43047</v>
      </c>
      <c r="Q245" t="s">
        <v>26</v>
      </c>
      <c r="R245">
        <v>162</v>
      </c>
    </row>
    <row r="246" spans="1:18">
      <c r="A246" s="30">
        <v>43044</v>
      </c>
      <c r="B246" t="s">
        <v>37</v>
      </c>
      <c r="C246">
        <v>180</v>
      </c>
      <c r="P246" s="30">
        <v>43046</v>
      </c>
      <c r="Q246" t="s">
        <v>36</v>
      </c>
      <c r="R246">
        <v>134</v>
      </c>
    </row>
    <row r="247" spans="1:18">
      <c r="A247" s="30">
        <v>43047</v>
      </c>
      <c r="B247" t="s">
        <v>24</v>
      </c>
      <c r="C247">
        <v>40</v>
      </c>
      <c r="P247" s="30">
        <v>43046</v>
      </c>
      <c r="Q247" t="s">
        <v>26</v>
      </c>
      <c r="R247">
        <v>177</v>
      </c>
    </row>
    <row r="248" spans="1:18">
      <c r="A248" s="30">
        <v>43043</v>
      </c>
      <c r="B248" t="s">
        <v>36</v>
      </c>
      <c r="C248">
        <v>127</v>
      </c>
      <c r="P248" s="30">
        <v>43046</v>
      </c>
      <c r="Q248" t="s">
        <v>24</v>
      </c>
      <c r="R248">
        <v>131</v>
      </c>
    </row>
    <row r="249" spans="1:18">
      <c r="A249" s="30">
        <v>43047</v>
      </c>
      <c r="B249" t="s">
        <v>26</v>
      </c>
      <c r="C249">
        <v>165</v>
      </c>
      <c r="P249" s="30">
        <v>43045</v>
      </c>
      <c r="Q249" t="s">
        <v>24</v>
      </c>
      <c r="R249">
        <v>97</v>
      </c>
    </row>
    <row r="250" spans="1:18">
      <c r="A250" s="30">
        <v>43047</v>
      </c>
      <c r="B250" t="s">
        <v>26</v>
      </c>
      <c r="C250">
        <v>148</v>
      </c>
      <c r="P250" s="30">
        <v>43040</v>
      </c>
      <c r="Q250" t="s">
        <v>36</v>
      </c>
      <c r="R250">
        <v>67</v>
      </c>
    </row>
    <row r="251" spans="1:18">
      <c r="A251" s="30">
        <v>43045</v>
      </c>
      <c r="B251" t="s">
        <v>37</v>
      </c>
      <c r="C251">
        <v>132</v>
      </c>
      <c r="P251" s="30">
        <v>43047</v>
      </c>
      <c r="Q251" t="s">
        <v>36</v>
      </c>
      <c r="R251">
        <v>91</v>
      </c>
    </row>
    <row r="252" spans="1:18">
      <c r="A252" s="30">
        <v>43045</v>
      </c>
      <c r="B252" t="s">
        <v>26</v>
      </c>
      <c r="C252">
        <v>24</v>
      </c>
      <c r="P252" s="30">
        <v>43045</v>
      </c>
      <c r="Q252" t="s">
        <v>26</v>
      </c>
      <c r="R252">
        <v>24</v>
      </c>
    </row>
    <row r="253" spans="1:18">
      <c r="A253" s="30">
        <v>43042</v>
      </c>
      <c r="B253" t="s">
        <v>24</v>
      </c>
      <c r="C253">
        <v>131</v>
      </c>
      <c r="P253" s="30">
        <v>43047</v>
      </c>
      <c r="Q253" t="s">
        <v>36</v>
      </c>
      <c r="R253">
        <v>84</v>
      </c>
    </row>
    <row r="254" spans="1:18">
      <c r="A254" s="30">
        <v>43045</v>
      </c>
      <c r="B254" t="s">
        <v>26</v>
      </c>
      <c r="C254">
        <v>38</v>
      </c>
      <c r="P254" s="30">
        <v>43042</v>
      </c>
      <c r="Q254" t="s">
        <v>26</v>
      </c>
      <c r="R254">
        <v>137</v>
      </c>
    </row>
    <row r="255" spans="1:18">
      <c r="A255" s="30">
        <v>43042</v>
      </c>
      <c r="B255" t="s">
        <v>26</v>
      </c>
      <c r="C255">
        <v>114</v>
      </c>
      <c r="P255" s="30">
        <v>43045</v>
      </c>
      <c r="Q255" t="s">
        <v>36</v>
      </c>
      <c r="R255">
        <v>176</v>
      </c>
    </row>
    <row r="256" spans="1:18">
      <c r="A256" s="30">
        <v>43042</v>
      </c>
      <c r="B256" t="s">
        <v>36</v>
      </c>
      <c r="C256">
        <v>27</v>
      </c>
      <c r="P256" s="30">
        <v>43045</v>
      </c>
      <c r="Q256" t="s">
        <v>24</v>
      </c>
      <c r="R256">
        <v>30</v>
      </c>
    </row>
    <row r="257" spans="1:18">
      <c r="A257" s="30">
        <v>43046</v>
      </c>
      <c r="B257" t="s">
        <v>36</v>
      </c>
      <c r="C257">
        <v>29</v>
      </c>
      <c r="P257" s="30">
        <v>43042</v>
      </c>
      <c r="Q257" t="s">
        <v>26</v>
      </c>
      <c r="R257">
        <v>7</v>
      </c>
    </row>
    <row r="258" spans="1:18">
      <c r="A258" s="30">
        <v>43041</v>
      </c>
      <c r="B258" t="s">
        <v>26</v>
      </c>
      <c r="C258">
        <v>155</v>
      </c>
      <c r="P258" s="30">
        <v>43046</v>
      </c>
      <c r="Q258" t="s">
        <v>36</v>
      </c>
      <c r="R258">
        <v>168</v>
      </c>
    </row>
    <row r="259" spans="1:18">
      <c r="A259" s="30">
        <v>43041</v>
      </c>
      <c r="B259" t="s">
        <v>26</v>
      </c>
      <c r="C259">
        <v>45</v>
      </c>
      <c r="P259" s="30">
        <v>43045</v>
      </c>
      <c r="Q259" t="s">
        <v>37</v>
      </c>
      <c r="R259">
        <v>23</v>
      </c>
    </row>
    <row r="260" spans="1:18">
      <c r="A260" s="30">
        <v>43043</v>
      </c>
      <c r="B260" t="s">
        <v>37</v>
      </c>
      <c r="C260">
        <v>156</v>
      </c>
      <c r="P260" s="30">
        <v>43040</v>
      </c>
      <c r="Q260" t="s">
        <v>24</v>
      </c>
      <c r="R260">
        <v>109</v>
      </c>
    </row>
    <row r="261" spans="1:18">
      <c r="A261" s="30">
        <v>43043</v>
      </c>
      <c r="B261" t="s">
        <v>36</v>
      </c>
      <c r="C261">
        <v>81</v>
      </c>
      <c r="P261" s="30">
        <v>43043</v>
      </c>
      <c r="Q261" t="s">
        <v>36</v>
      </c>
      <c r="R261">
        <v>45</v>
      </c>
    </row>
    <row r="262" spans="1:18">
      <c r="A262" s="30">
        <v>43040</v>
      </c>
      <c r="B262" t="s">
        <v>24</v>
      </c>
      <c r="C262">
        <v>56</v>
      </c>
      <c r="P262" s="30">
        <v>43040</v>
      </c>
      <c r="Q262" t="s">
        <v>37</v>
      </c>
      <c r="R262">
        <v>86</v>
      </c>
    </row>
    <row r="263" spans="1:18">
      <c r="A263" s="30">
        <v>43043</v>
      </c>
      <c r="B263" t="s">
        <v>36</v>
      </c>
      <c r="C263">
        <v>12</v>
      </c>
      <c r="P263" s="30">
        <v>43043</v>
      </c>
      <c r="Q263" t="s">
        <v>36</v>
      </c>
      <c r="R263">
        <v>130</v>
      </c>
    </row>
    <row r="264" spans="1:18">
      <c r="A264" s="30">
        <v>43046</v>
      </c>
      <c r="B264" t="s">
        <v>26</v>
      </c>
      <c r="C264">
        <v>116</v>
      </c>
      <c r="P264" s="30">
        <v>43041</v>
      </c>
      <c r="Q264" t="s">
        <v>36</v>
      </c>
      <c r="R264">
        <v>61</v>
      </c>
    </row>
    <row r="265" spans="1:18">
      <c r="A265" s="30">
        <v>43043</v>
      </c>
      <c r="B265" t="s">
        <v>24</v>
      </c>
      <c r="C265">
        <v>145</v>
      </c>
      <c r="P265" s="30">
        <v>43044</v>
      </c>
      <c r="Q265" t="s">
        <v>36</v>
      </c>
      <c r="R265">
        <v>134</v>
      </c>
    </row>
    <row r="266" spans="1:18">
      <c r="A266" s="30">
        <v>43044</v>
      </c>
      <c r="B266" t="s">
        <v>37</v>
      </c>
      <c r="C266">
        <v>19</v>
      </c>
      <c r="P266" s="30">
        <v>43047</v>
      </c>
      <c r="Q266" t="s">
        <v>37</v>
      </c>
      <c r="R266">
        <v>62</v>
      </c>
    </row>
    <row r="267" spans="1:18">
      <c r="A267" s="30">
        <v>43041</v>
      </c>
      <c r="B267" t="s">
        <v>24</v>
      </c>
      <c r="C267">
        <v>27</v>
      </c>
      <c r="P267" s="30">
        <v>43044</v>
      </c>
      <c r="Q267" t="s">
        <v>26</v>
      </c>
      <c r="R267">
        <v>85</v>
      </c>
    </row>
    <row r="268" spans="1:18">
      <c r="A268" s="30">
        <v>43044</v>
      </c>
      <c r="B268" t="s">
        <v>24</v>
      </c>
      <c r="C268">
        <v>180</v>
      </c>
      <c r="P268" s="30">
        <v>43042</v>
      </c>
      <c r="Q268" t="s">
        <v>24</v>
      </c>
      <c r="R268">
        <v>22</v>
      </c>
    </row>
    <row r="269" spans="1:18">
      <c r="A269" s="30">
        <v>43044</v>
      </c>
      <c r="B269" t="s">
        <v>37</v>
      </c>
      <c r="C269">
        <v>29</v>
      </c>
      <c r="P269" s="30">
        <v>43040</v>
      </c>
      <c r="Q269" t="s">
        <v>26</v>
      </c>
      <c r="R269">
        <v>2</v>
      </c>
    </row>
    <row r="270" spans="1:18">
      <c r="A270" s="30">
        <v>43041</v>
      </c>
      <c r="B270" t="s">
        <v>37</v>
      </c>
      <c r="C270">
        <v>151</v>
      </c>
      <c r="P270" s="30">
        <v>43047</v>
      </c>
      <c r="Q270" t="s">
        <v>37</v>
      </c>
      <c r="R270">
        <v>89</v>
      </c>
    </row>
    <row r="271" spans="1:18">
      <c r="A271" s="30">
        <v>43041</v>
      </c>
      <c r="B271" t="s">
        <v>26</v>
      </c>
      <c r="C271">
        <v>162</v>
      </c>
      <c r="P271" s="30">
        <v>43044</v>
      </c>
      <c r="Q271" t="s">
        <v>37</v>
      </c>
      <c r="R271">
        <v>142</v>
      </c>
    </row>
    <row r="272" spans="1:18">
      <c r="A272" s="30">
        <v>43045</v>
      </c>
      <c r="B272" t="s">
        <v>24</v>
      </c>
      <c r="C272">
        <v>22</v>
      </c>
      <c r="P272" s="30">
        <v>43040</v>
      </c>
      <c r="Q272" t="s">
        <v>24</v>
      </c>
      <c r="R272">
        <v>182</v>
      </c>
    </row>
    <row r="273" spans="1:18">
      <c r="A273" s="30">
        <v>43047</v>
      </c>
      <c r="B273" t="s">
        <v>36</v>
      </c>
      <c r="C273">
        <v>11</v>
      </c>
      <c r="P273" s="30">
        <v>43043</v>
      </c>
      <c r="Q273" t="s">
        <v>37</v>
      </c>
      <c r="R273">
        <v>165</v>
      </c>
    </row>
    <row r="274" spans="1:18">
      <c r="A274" s="30">
        <v>43047</v>
      </c>
      <c r="B274" t="s">
        <v>24</v>
      </c>
      <c r="C274">
        <v>182</v>
      </c>
      <c r="P274" s="30">
        <v>43040</v>
      </c>
      <c r="Q274" t="s">
        <v>37</v>
      </c>
      <c r="R274">
        <v>128</v>
      </c>
    </row>
    <row r="275" spans="1:18">
      <c r="A275" s="30">
        <v>43046</v>
      </c>
      <c r="B275" t="s">
        <v>26</v>
      </c>
      <c r="C275">
        <v>150</v>
      </c>
      <c r="P275" s="30">
        <v>43042</v>
      </c>
      <c r="Q275" t="s">
        <v>26</v>
      </c>
      <c r="R275">
        <v>180</v>
      </c>
    </row>
    <row r="276" spans="1:18">
      <c r="A276" s="30">
        <v>43047</v>
      </c>
      <c r="B276" t="s">
        <v>36</v>
      </c>
      <c r="C276">
        <v>122</v>
      </c>
      <c r="P276" s="30">
        <v>43040</v>
      </c>
      <c r="Q276" t="s">
        <v>36</v>
      </c>
      <c r="R276">
        <v>89</v>
      </c>
    </row>
    <row r="277" spans="1:18">
      <c r="A277" s="30">
        <v>43045</v>
      </c>
      <c r="B277" t="s">
        <v>24</v>
      </c>
      <c r="C277">
        <v>167</v>
      </c>
      <c r="P277" s="30">
        <v>43045</v>
      </c>
      <c r="Q277" t="s">
        <v>37</v>
      </c>
      <c r="R277">
        <v>134</v>
      </c>
    </row>
    <row r="278" spans="1:18">
      <c r="A278" s="30">
        <v>43046</v>
      </c>
      <c r="B278" t="s">
        <v>26</v>
      </c>
      <c r="C278">
        <v>104</v>
      </c>
      <c r="P278" s="30">
        <v>43043</v>
      </c>
      <c r="Q278" t="s">
        <v>26</v>
      </c>
      <c r="R278">
        <v>191</v>
      </c>
    </row>
    <row r="279" spans="1:18">
      <c r="A279" s="30">
        <v>43043</v>
      </c>
      <c r="B279" t="s">
        <v>24</v>
      </c>
      <c r="C279">
        <v>41</v>
      </c>
      <c r="P279" s="30">
        <v>43041</v>
      </c>
      <c r="Q279" t="s">
        <v>24</v>
      </c>
      <c r="R279">
        <v>191</v>
      </c>
    </row>
    <row r="280" spans="1:18">
      <c r="A280" s="30">
        <v>43046</v>
      </c>
      <c r="B280" t="s">
        <v>24</v>
      </c>
      <c r="C280">
        <v>32</v>
      </c>
      <c r="P280" s="30">
        <v>43046</v>
      </c>
      <c r="Q280" t="s">
        <v>24</v>
      </c>
      <c r="R280">
        <v>81</v>
      </c>
    </row>
    <row r="281" spans="1:18">
      <c r="A281" s="30">
        <v>43045</v>
      </c>
      <c r="B281" t="s">
        <v>36</v>
      </c>
      <c r="C281">
        <v>104</v>
      </c>
      <c r="P281" s="30">
        <v>43044</v>
      </c>
      <c r="Q281" t="s">
        <v>36</v>
      </c>
      <c r="R281">
        <v>164</v>
      </c>
    </row>
    <row r="282" spans="1:18">
      <c r="A282" s="30">
        <v>43042</v>
      </c>
      <c r="B282" t="s">
        <v>37</v>
      </c>
      <c r="C282">
        <v>15</v>
      </c>
      <c r="P282" s="30">
        <v>43043</v>
      </c>
      <c r="Q282" t="s">
        <v>26</v>
      </c>
      <c r="R282">
        <v>65</v>
      </c>
    </row>
    <row r="283" spans="1:18">
      <c r="A283" s="30">
        <v>43043</v>
      </c>
      <c r="B283" t="s">
        <v>37</v>
      </c>
      <c r="C283">
        <v>70</v>
      </c>
      <c r="P283" s="30">
        <v>43043</v>
      </c>
      <c r="Q283" t="s">
        <v>26</v>
      </c>
      <c r="R283">
        <v>183</v>
      </c>
    </row>
    <row r="284" spans="1:18">
      <c r="A284" s="30">
        <v>43047</v>
      </c>
      <c r="B284" t="s">
        <v>24</v>
      </c>
      <c r="C284">
        <v>173</v>
      </c>
      <c r="P284" s="30">
        <v>43040</v>
      </c>
      <c r="Q284" t="s">
        <v>37</v>
      </c>
      <c r="R284">
        <v>82</v>
      </c>
    </row>
    <row r="285" spans="1:18">
      <c r="A285" s="30">
        <v>43042</v>
      </c>
      <c r="B285" t="s">
        <v>24</v>
      </c>
      <c r="C285">
        <v>69</v>
      </c>
      <c r="P285" s="30">
        <v>43041</v>
      </c>
      <c r="Q285" t="s">
        <v>26</v>
      </c>
      <c r="R285">
        <v>75</v>
      </c>
    </row>
    <row r="286" spans="1:18">
      <c r="A286" s="30">
        <v>43047</v>
      </c>
      <c r="B286" t="s">
        <v>26</v>
      </c>
      <c r="C286">
        <v>29</v>
      </c>
      <c r="P286" s="30">
        <v>43041</v>
      </c>
      <c r="Q286" t="s">
        <v>37</v>
      </c>
      <c r="R286">
        <v>88</v>
      </c>
    </row>
    <row r="287" spans="1:18">
      <c r="A287" s="30">
        <v>43042</v>
      </c>
      <c r="B287" t="s">
        <v>36</v>
      </c>
      <c r="C287">
        <v>185</v>
      </c>
      <c r="P287" s="30">
        <v>43047</v>
      </c>
      <c r="Q287" t="s">
        <v>37</v>
      </c>
      <c r="R287">
        <v>14</v>
      </c>
    </row>
    <row r="288" spans="1:18">
      <c r="A288" s="30">
        <v>43040</v>
      </c>
      <c r="B288" t="s">
        <v>37</v>
      </c>
      <c r="C288">
        <v>123</v>
      </c>
      <c r="P288" s="30">
        <v>43044</v>
      </c>
      <c r="Q288" t="s">
        <v>37</v>
      </c>
      <c r="R288">
        <v>124</v>
      </c>
    </row>
    <row r="289" spans="1:18">
      <c r="A289" s="30">
        <v>43043</v>
      </c>
      <c r="B289" t="s">
        <v>26</v>
      </c>
      <c r="C289">
        <v>156</v>
      </c>
      <c r="P289" s="30">
        <v>43043</v>
      </c>
      <c r="Q289" t="s">
        <v>26</v>
      </c>
      <c r="R289">
        <v>153</v>
      </c>
    </row>
    <row r="290" spans="1:18">
      <c r="A290" s="30">
        <v>43044</v>
      </c>
      <c r="B290" t="s">
        <v>36</v>
      </c>
      <c r="C290">
        <v>39</v>
      </c>
      <c r="P290" s="30">
        <v>43043</v>
      </c>
      <c r="Q290" t="s">
        <v>24</v>
      </c>
      <c r="R290">
        <v>113</v>
      </c>
    </row>
    <row r="291" spans="1:18">
      <c r="A291" s="30">
        <v>43045</v>
      </c>
      <c r="B291" t="s">
        <v>26</v>
      </c>
      <c r="C291">
        <v>18</v>
      </c>
      <c r="P291" s="30">
        <v>43047</v>
      </c>
      <c r="Q291" t="s">
        <v>37</v>
      </c>
      <c r="R291">
        <v>94</v>
      </c>
    </row>
    <row r="292" spans="1:18">
      <c r="A292" s="30">
        <v>43040</v>
      </c>
      <c r="B292" t="s">
        <v>36</v>
      </c>
      <c r="C292">
        <v>64</v>
      </c>
      <c r="P292" s="30">
        <v>43042</v>
      </c>
      <c r="Q292" t="s">
        <v>26</v>
      </c>
      <c r="R292">
        <v>16</v>
      </c>
    </row>
    <row r="293" spans="1:18">
      <c r="A293" s="30">
        <v>43044</v>
      </c>
      <c r="B293" t="s">
        <v>26</v>
      </c>
      <c r="C293">
        <v>34</v>
      </c>
      <c r="P293" s="30">
        <v>43046</v>
      </c>
      <c r="Q293" t="s">
        <v>24</v>
      </c>
      <c r="R293">
        <v>156</v>
      </c>
    </row>
    <row r="294" spans="1:18">
      <c r="A294" s="30">
        <v>43046</v>
      </c>
      <c r="B294" t="s">
        <v>24</v>
      </c>
      <c r="C294">
        <v>186</v>
      </c>
      <c r="P294" s="30">
        <v>43042</v>
      </c>
      <c r="Q294" t="s">
        <v>24</v>
      </c>
      <c r="R294">
        <v>16</v>
      </c>
    </row>
    <row r="295" spans="1:18">
      <c r="A295" s="30">
        <v>43044</v>
      </c>
      <c r="B295" t="s">
        <v>26</v>
      </c>
      <c r="C295">
        <v>130</v>
      </c>
      <c r="P295" s="30">
        <v>43041</v>
      </c>
      <c r="Q295" t="s">
        <v>24</v>
      </c>
      <c r="R295">
        <v>165</v>
      </c>
    </row>
    <row r="296" spans="1:18">
      <c r="A296" s="30">
        <v>43043</v>
      </c>
      <c r="B296" t="s">
        <v>36</v>
      </c>
      <c r="C296">
        <v>115</v>
      </c>
      <c r="P296" s="30">
        <v>43042</v>
      </c>
      <c r="Q296" t="s">
        <v>37</v>
      </c>
      <c r="R296">
        <v>108</v>
      </c>
    </row>
    <row r="297" spans="1:18">
      <c r="A297" s="30">
        <v>43040</v>
      </c>
      <c r="B297" t="s">
        <v>24</v>
      </c>
      <c r="C297">
        <v>101</v>
      </c>
      <c r="P297" s="30">
        <v>43045</v>
      </c>
      <c r="Q297" t="s">
        <v>26</v>
      </c>
      <c r="R297">
        <v>158</v>
      </c>
    </row>
    <row r="298" spans="1:18">
      <c r="A298" s="30">
        <v>43045</v>
      </c>
      <c r="B298" t="s">
        <v>37</v>
      </c>
      <c r="C298">
        <v>80</v>
      </c>
      <c r="P298" s="30">
        <v>43046</v>
      </c>
      <c r="Q298" t="s">
        <v>24</v>
      </c>
      <c r="R298">
        <v>107</v>
      </c>
    </row>
    <row r="299" spans="1:18">
      <c r="A299" s="30">
        <v>43040</v>
      </c>
      <c r="B299" t="s">
        <v>24</v>
      </c>
      <c r="C299">
        <v>9</v>
      </c>
      <c r="P299" s="30">
        <v>43043</v>
      </c>
      <c r="Q299" t="s">
        <v>36</v>
      </c>
      <c r="R299">
        <v>127</v>
      </c>
    </row>
    <row r="300" spans="1:18">
      <c r="A300" s="30">
        <v>43040</v>
      </c>
      <c r="B300" t="s">
        <v>24</v>
      </c>
      <c r="C300">
        <v>50</v>
      </c>
      <c r="P300" s="30">
        <v>43047</v>
      </c>
      <c r="Q300" t="s">
        <v>24</v>
      </c>
      <c r="R300">
        <v>120</v>
      </c>
    </row>
    <row r="301" spans="1:18">
      <c r="A301" s="30">
        <v>43046</v>
      </c>
      <c r="B301" t="s">
        <v>37</v>
      </c>
      <c r="C301">
        <v>94</v>
      </c>
      <c r="P301" s="30">
        <v>43045</v>
      </c>
      <c r="Q301" t="s">
        <v>26</v>
      </c>
      <c r="R301">
        <v>69</v>
      </c>
    </row>
    <row r="302" spans="1:18">
      <c r="A302" s="30">
        <v>43043</v>
      </c>
      <c r="B302" t="s">
        <v>26</v>
      </c>
      <c r="C302">
        <v>103</v>
      </c>
      <c r="P302" s="30">
        <v>43047</v>
      </c>
      <c r="Q302" t="s">
        <v>26</v>
      </c>
      <c r="R302">
        <v>186</v>
      </c>
    </row>
    <row r="303" spans="1:18">
      <c r="A303" s="30">
        <v>43041</v>
      </c>
      <c r="B303" t="s">
        <v>26</v>
      </c>
      <c r="C303">
        <v>82</v>
      </c>
      <c r="P303" s="30">
        <v>43044</v>
      </c>
      <c r="Q303" t="s">
        <v>26</v>
      </c>
      <c r="R303">
        <v>171</v>
      </c>
    </row>
    <row r="304" spans="1:18">
      <c r="A304" s="30">
        <v>43041</v>
      </c>
      <c r="B304" t="s">
        <v>26</v>
      </c>
      <c r="C304">
        <v>116</v>
      </c>
      <c r="P304" s="30">
        <v>43044</v>
      </c>
      <c r="Q304" t="s">
        <v>37</v>
      </c>
      <c r="R304">
        <v>99</v>
      </c>
    </row>
    <row r="305" spans="1:18">
      <c r="A305" s="30">
        <v>43040</v>
      </c>
      <c r="B305" t="s">
        <v>24</v>
      </c>
      <c r="C305">
        <v>161</v>
      </c>
      <c r="P305" s="30">
        <v>43044</v>
      </c>
      <c r="Q305" t="s">
        <v>36</v>
      </c>
      <c r="R305">
        <v>164</v>
      </c>
    </row>
    <row r="306" spans="1:18">
      <c r="A306" s="30">
        <v>43046</v>
      </c>
      <c r="B306" t="s">
        <v>37</v>
      </c>
      <c r="C306">
        <v>136</v>
      </c>
      <c r="P306" s="30">
        <v>43041</v>
      </c>
      <c r="Q306" t="s">
        <v>37</v>
      </c>
      <c r="R306">
        <v>158</v>
      </c>
    </row>
    <row r="307" spans="1:18">
      <c r="A307" s="30">
        <v>43043</v>
      </c>
      <c r="B307" t="s">
        <v>24</v>
      </c>
      <c r="C307">
        <v>50</v>
      </c>
      <c r="P307" s="30">
        <v>43042</v>
      </c>
      <c r="Q307" t="s">
        <v>26</v>
      </c>
      <c r="R307">
        <v>156</v>
      </c>
    </row>
    <row r="308" spans="1:18">
      <c r="A308" s="30">
        <v>43043</v>
      </c>
      <c r="B308" t="s">
        <v>26</v>
      </c>
      <c r="C308">
        <v>149</v>
      </c>
      <c r="P308" s="30">
        <v>43041</v>
      </c>
      <c r="Q308" t="s">
        <v>36</v>
      </c>
      <c r="R308">
        <v>152</v>
      </c>
    </row>
    <row r="309" spans="1:18">
      <c r="A309" s="30">
        <v>43045</v>
      </c>
      <c r="B309" t="s">
        <v>36</v>
      </c>
      <c r="C309">
        <v>35</v>
      </c>
      <c r="P309" s="30">
        <v>43046</v>
      </c>
      <c r="Q309" t="s">
        <v>36</v>
      </c>
      <c r="R309">
        <v>158</v>
      </c>
    </row>
    <row r="310" spans="1:18">
      <c r="A310" s="30">
        <v>43047</v>
      </c>
      <c r="B310" t="s">
        <v>26</v>
      </c>
      <c r="C310">
        <v>8</v>
      </c>
      <c r="P310" s="30">
        <v>43041</v>
      </c>
      <c r="Q310" t="s">
        <v>37</v>
      </c>
      <c r="R310">
        <v>190</v>
      </c>
    </row>
    <row r="311" spans="1:18">
      <c r="A311" s="30">
        <v>43042</v>
      </c>
      <c r="B311" t="s">
        <v>37</v>
      </c>
      <c r="C311">
        <v>54</v>
      </c>
      <c r="P311" s="30">
        <v>43044</v>
      </c>
      <c r="Q311" t="s">
        <v>24</v>
      </c>
      <c r="R311">
        <v>11</v>
      </c>
    </row>
    <row r="312" spans="1:18">
      <c r="A312" s="30">
        <v>43040</v>
      </c>
      <c r="B312" t="s">
        <v>37</v>
      </c>
      <c r="C312">
        <v>88</v>
      </c>
      <c r="P312" s="30">
        <v>43045</v>
      </c>
      <c r="Q312" t="s">
        <v>26</v>
      </c>
      <c r="R312">
        <v>4</v>
      </c>
    </row>
    <row r="313" spans="1:18">
      <c r="A313" s="30">
        <v>43044</v>
      </c>
      <c r="B313" t="s">
        <v>37</v>
      </c>
      <c r="C313">
        <v>176</v>
      </c>
      <c r="P313" s="30">
        <v>43044</v>
      </c>
      <c r="Q313" t="s">
        <v>36</v>
      </c>
      <c r="R313">
        <v>101</v>
      </c>
    </row>
    <row r="314" spans="1:18">
      <c r="A314" s="30">
        <v>43040</v>
      </c>
      <c r="B314" t="s">
        <v>37</v>
      </c>
      <c r="C314">
        <v>79</v>
      </c>
      <c r="P314" s="30">
        <v>43040</v>
      </c>
      <c r="Q314" t="s">
        <v>26</v>
      </c>
      <c r="R314">
        <v>8</v>
      </c>
    </row>
    <row r="315" spans="1:18">
      <c r="A315" s="30">
        <v>43045</v>
      </c>
      <c r="B315" t="s">
        <v>24</v>
      </c>
      <c r="C315">
        <v>163</v>
      </c>
      <c r="P315" s="30">
        <v>43047</v>
      </c>
      <c r="Q315" t="s">
        <v>26</v>
      </c>
      <c r="R315">
        <v>140</v>
      </c>
    </row>
    <row r="316" spans="1:18">
      <c r="A316" s="30">
        <v>43041</v>
      </c>
      <c r="B316" t="s">
        <v>36</v>
      </c>
      <c r="C316">
        <v>8</v>
      </c>
      <c r="P316" s="30">
        <v>43042</v>
      </c>
      <c r="Q316" t="s">
        <v>37</v>
      </c>
      <c r="R316">
        <v>148</v>
      </c>
    </row>
    <row r="317" spans="1:18">
      <c r="A317" s="30">
        <v>43045</v>
      </c>
      <c r="B317" t="s">
        <v>26</v>
      </c>
      <c r="C317">
        <v>188</v>
      </c>
      <c r="P317" s="30">
        <v>43046</v>
      </c>
      <c r="Q317" t="s">
        <v>26</v>
      </c>
      <c r="R317">
        <v>174</v>
      </c>
    </row>
    <row r="318" spans="1:18">
      <c r="A318" s="30">
        <v>43040</v>
      </c>
      <c r="B318" t="s">
        <v>37</v>
      </c>
      <c r="C318">
        <v>35</v>
      </c>
      <c r="P318" s="30">
        <v>43046</v>
      </c>
      <c r="Q318" t="s">
        <v>37</v>
      </c>
      <c r="R318">
        <v>112</v>
      </c>
    </row>
    <row r="319" spans="1:18">
      <c r="A319" s="30">
        <v>43047</v>
      </c>
      <c r="B319" t="s">
        <v>36</v>
      </c>
      <c r="C319">
        <v>10</v>
      </c>
      <c r="P319" s="30">
        <v>43045</v>
      </c>
      <c r="Q319" t="s">
        <v>37</v>
      </c>
      <c r="R319">
        <v>12</v>
      </c>
    </row>
    <row r="320" spans="1:18">
      <c r="A320" s="30">
        <v>43045</v>
      </c>
      <c r="B320" t="s">
        <v>37</v>
      </c>
      <c r="C320">
        <v>36</v>
      </c>
      <c r="P320" s="30">
        <v>43041</v>
      </c>
      <c r="Q320" t="s">
        <v>26</v>
      </c>
      <c r="R320">
        <v>55</v>
      </c>
    </row>
    <row r="321" spans="1:18">
      <c r="A321" s="30">
        <v>43043</v>
      </c>
      <c r="B321" t="s">
        <v>26</v>
      </c>
      <c r="C321">
        <v>172</v>
      </c>
      <c r="P321" s="30">
        <v>43045</v>
      </c>
      <c r="Q321" t="s">
        <v>24</v>
      </c>
      <c r="R321">
        <v>29</v>
      </c>
    </row>
    <row r="322" spans="1:18">
      <c r="A322" s="30">
        <v>43044</v>
      </c>
      <c r="B322" t="s">
        <v>24</v>
      </c>
      <c r="C322">
        <v>142</v>
      </c>
      <c r="P322" s="30">
        <v>43044</v>
      </c>
      <c r="Q322" t="s">
        <v>24</v>
      </c>
      <c r="R322">
        <v>23</v>
      </c>
    </row>
    <row r="323" spans="1:18">
      <c r="A323" s="30">
        <v>43044</v>
      </c>
      <c r="B323" t="s">
        <v>36</v>
      </c>
      <c r="C323">
        <v>79</v>
      </c>
      <c r="P323" s="30">
        <v>43043</v>
      </c>
      <c r="Q323" t="s">
        <v>24</v>
      </c>
      <c r="R323">
        <v>31</v>
      </c>
    </row>
    <row r="324" spans="1:18">
      <c r="A324" s="30">
        <v>43040</v>
      </c>
      <c r="B324" t="s">
        <v>26</v>
      </c>
      <c r="C324">
        <v>3</v>
      </c>
      <c r="P324" s="30">
        <v>43041</v>
      </c>
      <c r="Q324" t="s">
        <v>26</v>
      </c>
      <c r="R324">
        <v>152</v>
      </c>
    </row>
    <row r="325" spans="1:18">
      <c r="A325" s="30">
        <v>43045</v>
      </c>
      <c r="B325" t="s">
        <v>37</v>
      </c>
      <c r="C325">
        <v>106</v>
      </c>
      <c r="P325" s="30">
        <v>43042</v>
      </c>
      <c r="Q325" t="s">
        <v>36</v>
      </c>
      <c r="R325">
        <v>113</v>
      </c>
    </row>
    <row r="326" spans="1:3">
      <c r="A326" s="30">
        <v>43041</v>
      </c>
      <c r="B326" t="s">
        <v>36</v>
      </c>
      <c r="C326">
        <v>16</v>
      </c>
    </row>
    <row r="327" spans="1:3">
      <c r="A327" s="30">
        <v>43042</v>
      </c>
      <c r="B327" t="s">
        <v>36</v>
      </c>
      <c r="C327">
        <v>123</v>
      </c>
    </row>
    <row r="328" spans="1:3">
      <c r="A328" s="30">
        <v>43045</v>
      </c>
      <c r="B328" t="s">
        <v>36</v>
      </c>
      <c r="C328">
        <v>80</v>
      </c>
    </row>
    <row r="329" spans="1:3">
      <c r="A329" s="30">
        <v>43044</v>
      </c>
      <c r="B329" t="s">
        <v>26</v>
      </c>
      <c r="C329">
        <v>155</v>
      </c>
    </row>
    <row r="330" spans="1:3">
      <c r="A330" s="30">
        <v>43047</v>
      </c>
      <c r="B330" t="s">
        <v>26</v>
      </c>
      <c r="C330">
        <v>130</v>
      </c>
    </row>
    <row r="331" spans="1:3">
      <c r="A331" s="30">
        <v>43042</v>
      </c>
      <c r="B331" t="s">
        <v>36</v>
      </c>
      <c r="C331">
        <v>87</v>
      </c>
    </row>
    <row r="332" spans="1:3">
      <c r="A332" s="30">
        <v>43042</v>
      </c>
      <c r="B332" t="s">
        <v>24</v>
      </c>
      <c r="C332">
        <v>104</v>
      </c>
    </row>
    <row r="333" spans="1:3">
      <c r="A333" s="30">
        <v>43045</v>
      </c>
      <c r="B333" t="s">
        <v>36</v>
      </c>
      <c r="C333">
        <v>83</v>
      </c>
    </row>
    <row r="334" spans="1:3">
      <c r="A334" s="30">
        <v>43047</v>
      </c>
      <c r="B334" t="s">
        <v>37</v>
      </c>
      <c r="C334">
        <v>139</v>
      </c>
    </row>
    <row r="335" spans="1:3">
      <c r="A335" s="30">
        <v>43041</v>
      </c>
      <c r="B335" t="s">
        <v>24</v>
      </c>
      <c r="C335">
        <v>139</v>
      </c>
    </row>
    <row r="336" spans="1:3">
      <c r="A336" s="30">
        <v>43042</v>
      </c>
      <c r="B336" t="s">
        <v>24</v>
      </c>
      <c r="C336">
        <v>84</v>
      </c>
    </row>
    <row r="337" spans="1:3">
      <c r="A337" s="30">
        <v>43041</v>
      </c>
      <c r="B337" t="s">
        <v>36</v>
      </c>
      <c r="C337">
        <v>128</v>
      </c>
    </row>
    <row r="338" spans="1:3">
      <c r="A338" s="30">
        <v>43045</v>
      </c>
      <c r="B338" t="s">
        <v>37</v>
      </c>
      <c r="C338">
        <v>139</v>
      </c>
    </row>
    <row r="339" spans="1:3">
      <c r="A339" s="30">
        <v>43046</v>
      </c>
      <c r="B339" t="s">
        <v>37</v>
      </c>
      <c r="C339">
        <v>66</v>
      </c>
    </row>
    <row r="340" spans="1:3">
      <c r="A340" s="30">
        <v>43047</v>
      </c>
      <c r="B340" t="s">
        <v>26</v>
      </c>
      <c r="C340">
        <v>84</v>
      </c>
    </row>
    <row r="341" spans="1:3">
      <c r="A341" s="30">
        <v>43045</v>
      </c>
      <c r="B341" t="s">
        <v>26</v>
      </c>
      <c r="C341">
        <v>149</v>
      </c>
    </row>
    <row r="342" spans="1:3">
      <c r="A342" s="30">
        <v>43043</v>
      </c>
      <c r="B342" t="s">
        <v>37</v>
      </c>
      <c r="C342">
        <v>120</v>
      </c>
    </row>
    <row r="343" spans="1:3">
      <c r="A343" s="30">
        <v>43044</v>
      </c>
      <c r="B343" t="s">
        <v>36</v>
      </c>
      <c r="C343">
        <v>135</v>
      </c>
    </row>
    <row r="344" spans="1:3">
      <c r="A344" s="30">
        <v>43043</v>
      </c>
      <c r="B344" t="s">
        <v>36</v>
      </c>
      <c r="C344">
        <v>84</v>
      </c>
    </row>
    <row r="345" spans="1:3">
      <c r="A345" s="30">
        <v>43044</v>
      </c>
      <c r="B345" t="s">
        <v>37</v>
      </c>
      <c r="C345">
        <v>120</v>
      </c>
    </row>
    <row r="346" spans="1:3">
      <c r="A346" s="30">
        <v>43041</v>
      </c>
      <c r="B346" t="s">
        <v>36</v>
      </c>
      <c r="C346">
        <v>29</v>
      </c>
    </row>
    <row r="347" spans="1:3">
      <c r="A347" s="30">
        <v>43040</v>
      </c>
      <c r="B347" t="s">
        <v>37</v>
      </c>
      <c r="C347">
        <v>113</v>
      </c>
    </row>
    <row r="348" spans="1:3">
      <c r="A348" s="30">
        <v>43046</v>
      </c>
      <c r="B348" t="s">
        <v>26</v>
      </c>
      <c r="C348">
        <v>5</v>
      </c>
    </row>
    <row r="349" spans="1:3">
      <c r="A349" s="30">
        <v>43045</v>
      </c>
      <c r="B349" t="s">
        <v>36</v>
      </c>
      <c r="C349">
        <v>10</v>
      </c>
    </row>
    <row r="350" spans="1:3">
      <c r="A350" s="30">
        <v>43041</v>
      </c>
      <c r="B350" t="s">
        <v>36</v>
      </c>
      <c r="C350">
        <v>184</v>
      </c>
    </row>
    <row r="351" spans="1:3">
      <c r="A351" s="30">
        <v>43040</v>
      </c>
      <c r="B351" t="s">
        <v>36</v>
      </c>
      <c r="C351">
        <v>45</v>
      </c>
    </row>
    <row r="352" spans="1:3">
      <c r="A352" s="30">
        <v>43042</v>
      </c>
      <c r="B352" t="s">
        <v>24</v>
      </c>
      <c r="C352">
        <v>39</v>
      </c>
    </row>
    <row r="353" spans="1:3">
      <c r="A353" s="30">
        <v>43040</v>
      </c>
      <c r="B353" t="s">
        <v>37</v>
      </c>
      <c r="C353">
        <v>55</v>
      </c>
    </row>
    <row r="354" spans="1:3">
      <c r="A354" s="30">
        <v>43042</v>
      </c>
      <c r="B354" t="s">
        <v>24</v>
      </c>
      <c r="C354">
        <v>185</v>
      </c>
    </row>
    <row r="355" spans="1:3">
      <c r="A355" s="30">
        <v>43045</v>
      </c>
      <c r="B355" t="s">
        <v>37</v>
      </c>
      <c r="C355">
        <v>22</v>
      </c>
    </row>
    <row r="356" spans="1:3">
      <c r="A356" s="30">
        <v>43040</v>
      </c>
      <c r="B356" t="s">
        <v>26</v>
      </c>
      <c r="C356">
        <v>103</v>
      </c>
    </row>
    <row r="357" spans="1:3">
      <c r="A357" s="30">
        <v>43042</v>
      </c>
      <c r="B357" t="s">
        <v>37</v>
      </c>
      <c r="C357">
        <v>149</v>
      </c>
    </row>
    <row r="358" spans="1:3">
      <c r="A358" s="30">
        <v>43046</v>
      </c>
      <c r="B358" t="s">
        <v>36</v>
      </c>
      <c r="C358">
        <v>70</v>
      </c>
    </row>
    <row r="359" spans="1:3">
      <c r="A359" s="30">
        <v>43040</v>
      </c>
      <c r="B359" t="s">
        <v>24</v>
      </c>
      <c r="C359">
        <v>30</v>
      </c>
    </row>
    <row r="360" spans="1:3">
      <c r="A360" s="30">
        <v>43047</v>
      </c>
      <c r="B360" t="s">
        <v>36</v>
      </c>
      <c r="C360">
        <v>119</v>
      </c>
    </row>
    <row r="361" spans="1:3">
      <c r="A361" s="30">
        <v>43045</v>
      </c>
      <c r="B361" t="s">
        <v>24</v>
      </c>
      <c r="C361">
        <v>136</v>
      </c>
    </row>
    <row r="362" spans="1:3">
      <c r="A362" s="30">
        <v>43044</v>
      </c>
      <c r="B362" t="s">
        <v>24</v>
      </c>
      <c r="C362">
        <v>156</v>
      </c>
    </row>
    <row r="363" spans="1:3">
      <c r="A363" s="30">
        <v>43045</v>
      </c>
      <c r="B363" t="s">
        <v>26</v>
      </c>
      <c r="C363">
        <v>87</v>
      </c>
    </row>
    <row r="364" spans="1:3">
      <c r="A364" s="30">
        <v>43040</v>
      </c>
      <c r="B364" t="s">
        <v>37</v>
      </c>
      <c r="C364">
        <v>174</v>
      </c>
    </row>
    <row r="365" spans="1:3">
      <c r="A365" s="30">
        <v>43040</v>
      </c>
      <c r="B365" t="s">
        <v>26</v>
      </c>
      <c r="C365">
        <v>188</v>
      </c>
    </row>
    <row r="366" spans="1:3">
      <c r="A366" s="30">
        <v>43046</v>
      </c>
      <c r="B366" t="s">
        <v>36</v>
      </c>
      <c r="C366">
        <v>189</v>
      </c>
    </row>
    <row r="367" spans="1:3">
      <c r="A367" s="30">
        <v>43040</v>
      </c>
      <c r="B367" t="s">
        <v>24</v>
      </c>
      <c r="C367">
        <v>154</v>
      </c>
    </row>
    <row r="368" spans="1:3">
      <c r="A368" s="30">
        <v>43040</v>
      </c>
      <c r="B368" t="s">
        <v>36</v>
      </c>
      <c r="C368">
        <v>48</v>
      </c>
    </row>
    <row r="369" spans="1:3">
      <c r="A369" s="30">
        <v>43041</v>
      </c>
      <c r="B369" t="s">
        <v>26</v>
      </c>
      <c r="C369">
        <v>61</v>
      </c>
    </row>
    <row r="370" spans="1:3">
      <c r="A370" s="30">
        <v>43043</v>
      </c>
      <c r="B370" t="s">
        <v>26</v>
      </c>
      <c r="C370">
        <v>73</v>
      </c>
    </row>
    <row r="371" spans="1:3">
      <c r="A371" s="30">
        <v>43045</v>
      </c>
      <c r="B371" t="s">
        <v>37</v>
      </c>
      <c r="C371">
        <v>122</v>
      </c>
    </row>
    <row r="372" spans="1:3">
      <c r="A372" s="30">
        <v>43045</v>
      </c>
      <c r="B372" t="s">
        <v>26</v>
      </c>
      <c r="C372">
        <v>67</v>
      </c>
    </row>
    <row r="373" spans="1:3">
      <c r="A373" s="30">
        <v>43041</v>
      </c>
      <c r="B373" t="s">
        <v>26</v>
      </c>
      <c r="C373">
        <v>190</v>
      </c>
    </row>
    <row r="374" spans="1:3">
      <c r="A374" s="30">
        <v>43047</v>
      </c>
      <c r="B374" t="s">
        <v>36</v>
      </c>
      <c r="C374">
        <v>154</v>
      </c>
    </row>
    <row r="375" spans="1:3">
      <c r="A375" s="30">
        <v>43044</v>
      </c>
      <c r="B375" t="s">
        <v>24</v>
      </c>
      <c r="C375">
        <v>177</v>
      </c>
    </row>
    <row r="376" spans="1:3">
      <c r="A376" s="30">
        <v>43046</v>
      </c>
      <c r="B376" t="s">
        <v>24</v>
      </c>
      <c r="C376">
        <v>48</v>
      </c>
    </row>
    <row r="377" spans="1:3">
      <c r="A377" s="30">
        <v>43043</v>
      </c>
      <c r="B377" t="s">
        <v>26</v>
      </c>
      <c r="C377">
        <v>83</v>
      </c>
    </row>
    <row r="378" spans="1:3">
      <c r="A378" s="30">
        <v>43043</v>
      </c>
      <c r="B378" t="s">
        <v>36</v>
      </c>
      <c r="C378">
        <v>116</v>
      </c>
    </row>
    <row r="379" spans="1:3">
      <c r="A379" s="30">
        <v>43043</v>
      </c>
      <c r="B379" t="s">
        <v>37</v>
      </c>
      <c r="C379">
        <v>20</v>
      </c>
    </row>
    <row r="380" spans="1:3">
      <c r="A380" s="30">
        <v>43042</v>
      </c>
      <c r="B380" t="s">
        <v>37</v>
      </c>
      <c r="C380">
        <v>146</v>
      </c>
    </row>
    <row r="381" spans="1:3">
      <c r="A381" s="30">
        <v>43041</v>
      </c>
      <c r="B381" t="s">
        <v>37</v>
      </c>
      <c r="C381">
        <v>176</v>
      </c>
    </row>
    <row r="382" spans="1:3">
      <c r="A382" s="30">
        <v>43040</v>
      </c>
      <c r="B382" t="s">
        <v>26</v>
      </c>
      <c r="C382">
        <v>40</v>
      </c>
    </row>
    <row r="383" spans="1:3">
      <c r="A383" s="30">
        <v>43043</v>
      </c>
      <c r="B383" t="s">
        <v>36</v>
      </c>
      <c r="C383">
        <v>29</v>
      </c>
    </row>
    <row r="384" spans="1:3">
      <c r="A384" s="30">
        <v>43044</v>
      </c>
      <c r="B384" t="s">
        <v>26</v>
      </c>
      <c r="C384">
        <v>65</v>
      </c>
    </row>
    <row r="385" spans="1:3">
      <c r="A385" s="30">
        <v>43045</v>
      </c>
      <c r="B385" t="s">
        <v>37</v>
      </c>
      <c r="C385">
        <v>21</v>
      </c>
    </row>
    <row r="386" spans="1:3">
      <c r="A386" s="30">
        <v>43043</v>
      </c>
      <c r="B386" t="s">
        <v>37</v>
      </c>
      <c r="C386">
        <v>64</v>
      </c>
    </row>
    <row r="387" spans="1:3">
      <c r="A387" s="30">
        <v>43040</v>
      </c>
      <c r="B387" t="s">
        <v>36</v>
      </c>
      <c r="C387">
        <v>137</v>
      </c>
    </row>
    <row r="388" spans="1:3">
      <c r="A388" s="30">
        <v>43045</v>
      </c>
      <c r="B388" t="s">
        <v>36</v>
      </c>
      <c r="C388">
        <v>46</v>
      </c>
    </row>
    <row r="389" spans="1:3">
      <c r="A389" s="30">
        <v>43046</v>
      </c>
      <c r="B389" t="s">
        <v>37</v>
      </c>
      <c r="C389">
        <v>176</v>
      </c>
    </row>
    <row r="390" spans="1:3">
      <c r="A390" s="30">
        <v>43042</v>
      </c>
      <c r="B390" t="s">
        <v>24</v>
      </c>
      <c r="C390">
        <v>58</v>
      </c>
    </row>
    <row r="391" spans="1:3">
      <c r="A391" s="30">
        <v>43040</v>
      </c>
      <c r="B391" t="s">
        <v>24</v>
      </c>
      <c r="C391">
        <v>42</v>
      </c>
    </row>
    <row r="392" spans="1:3">
      <c r="A392" s="30">
        <v>43043</v>
      </c>
      <c r="B392" t="s">
        <v>24</v>
      </c>
      <c r="C392">
        <v>160</v>
      </c>
    </row>
    <row r="393" spans="1:3">
      <c r="A393" s="30">
        <v>43045</v>
      </c>
      <c r="B393" t="s">
        <v>36</v>
      </c>
      <c r="C393">
        <v>105</v>
      </c>
    </row>
    <row r="394" spans="1:3">
      <c r="A394" s="30">
        <v>43042</v>
      </c>
      <c r="B394" t="s">
        <v>37</v>
      </c>
      <c r="C394">
        <v>139</v>
      </c>
    </row>
    <row r="395" spans="1:3">
      <c r="A395" s="30">
        <v>43042</v>
      </c>
      <c r="B395" t="s">
        <v>36</v>
      </c>
      <c r="C395">
        <v>133</v>
      </c>
    </row>
    <row r="396" spans="1:3">
      <c r="A396" s="30">
        <v>43040</v>
      </c>
      <c r="B396" t="s">
        <v>36</v>
      </c>
      <c r="C396">
        <v>21</v>
      </c>
    </row>
    <row r="397" spans="1:3">
      <c r="A397" s="30">
        <v>43047</v>
      </c>
      <c r="B397" t="s">
        <v>36</v>
      </c>
      <c r="C397">
        <v>58</v>
      </c>
    </row>
    <row r="398" spans="1:3">
      <c r="A398" s="30">
        <v>43045</v>
      </c>
      <c r="B398" t="s">
        <v>24</v>
      </c>
      <c r="C398">
        <v>81</v>
      </c>
    </row>
    <row r="399" spans="1:3">
      <c r="A399" s="30">
        <v>43040</v>
      </c>
      <c r="B399" t="s">
        <v>24</v>
      </c>
      <c r="C399">
        <v>11</v>
      </c>
    </row>
    <row r="400" spans="1:3">
      <c r="A400" s="30">
        <v>43045</v>
      </c>
      <c r="B400" t="s">
        <v>37</v>
      </c>
      <c r="C400">
        <v>132</v>
      </c>
    </row>
    <row r="401" spans="1:3">
      <c r="A401" s="30">
        <v>43043</v>
      </c>
      <c r="B401" t="s">
        <v>24</v>
      </c>
      <c r="C401">
        <v>159</v>
      </c>
    </row>
    <row r="402" spans="1:3">
      <c r="A402" s="30">
        <v>43042</v>
      </c>
      <c r="B402" t="s">
        <v>24</v>
      </c>
      <c r="C402">
        <v>87</v>
      </c>
    </row>
    <row r="403" spans="1:3">
      <c r="A403" s="30">
        <v>43042</v>
      </c>
      <c r="B403" t="s">
        <v>37</v>
      </c>
      <c r="C403">
        <v>79</v>
      </c>
    </row>
    <row r="404" spans="1:3">
      <c r="A404" s="30">
        <v>43047</v>
      </c>
      <c r="B404" t="s">
        <v>26</v>
      </c>
      <c r="C404">
        <v>39</v>
      </c>
    </row>
    <row r="405" spans="1:3">
      <c r="A405" s="30">
        <v>43047</v>
      </c>
      <c r="B405" t="s">
        <v>37</v>
      </c>
      <c r="C405">
        <v>76</v>
      </c>
    </row>
    <row r="406" spans="1:3">
      <c r="A406" s="30">
        <v>43047</v>
      </c>
      <c r="B406" t="s">
        <v>36</v>
      </c>
      <c r="C406">
        <v>147</v>
      </c>
    </row>
    <row r="407" spans="1:3">
      <c r="A407" s="30">
        <v>43043</v>
      </c>
      <c r="B407" t="s">
        <v>37</v>
      </c>
      <c r="C407">
        <v>80</v>
      </c>
    </row>
    <row r="408" spans="1:3">
      <c r="A408" s="30">
        <v>43041</v>
      </c>
      <c r="B408" t="s">
        <v>37</v>
      </c>
      <c r="C408">
        <v>4</v>
      </c>
    </row>
    <row r="409" spans="1:3">
      <c r="A409" s="30">
        <v>43041</v>
      </c>
      <c r="B409" t="s">
        <v>37</v>
      </c>
      <c r="C409">
        <v>33</v>
      </c>
    </row>
    <row r="410" spans="1:3">
      <c r="A410" s="30">
        <v>43040</v>
      </c>
      <c r="B410" t="s">
        <v>26</v>
      </c>
      <c r="C410">
        <v>154</v>
      </c>
    </row>
    <row r="411" spans="1:3">
      <c r="A411" s="30">
        <v>43046</v>
      </c>
      <c r="B411" t="s">
        <v>37</v>
      </c>
      <c r="C411">
        <v>124</v>
      </c>
    </row>
    <row r="412" spans="1:3">
      <c r="A412" s="30">
        <v>43043</v>
      </c>
      <c r="B412" t="s">
        <v>36</v>
      </c>
      <c r="C412">
        <v>48</v>
      </c>
    </row>
    <row r="413" spans="1:3">
      <c r="A413" s="30">
        <v>43043</v>
      </c>
      <c r="B413" t="s">
        <v>37</v>
      </c>
      <c r="C413">
        <v>146</v>
      </c>
    </row>
    <row r="414" spans="1:3">
      <c r="A414" s="30">
        <v>43041</v>
      </c>
      <c r="B414" t="s">
        <v>37</v>
      </c>
      <c r="C414">
        <v>27</v>
      </c>
    </row>
    <row r="415" spans="1:3">
      <c r="A415" s="30">
        <v>43045</v>
      </c>
      <c r="B415" t="s">
        <v>36</v>
      </c>
      <c r="C415">
        <v>128</v>
      </c>
    </row>
    <row r="416" spans="1:3">
      <c r="A416" s="30">
        <v>43043</v>
      </c>
      <c r="B416" t="s">
        <v>24</v>
      </c>
      <c r="C416">
        <v>5</v>
      </c>
    </row>
    <row r="417" spans="1:3">
      <c r="A417" s="30">
        <v>43042</v>
      </c>
      <c r="B417" t="s">
        <v>26</v>
      </c>
      <c r="C417">
        <v>161</v>
      </c>
    </row>
    <row r="418" spans="1:3">
      <c r="A418" s="30">
        <v>43042</v>
      </c>
      <c r="B418" t="s">
        <v>26</v>
      </c>
      <c r="C418">
        <v>121</v>
      </c>
    </row>
    <row r="419" spans="1:3">
      <c r="A419" s="30">
        <v>43043</v>
      </c>
      <c r="B419" t="s">
        <v>37</v>
      </c>
      <c r="C419">
        <v>100</v>
      </c>
    </row>
    <row r="420" spans="1:3">
      <c r="A420" s="30">
        <v>43044</v>
      </c>
      <c r="B420" t="s">
        <v>37</v>
      </c>
      <c r="C420">
        <v>149</v>
      </c>
    </row>
    <row r="421" spans="1:3">
      <c r="A421" s="30">
        <v>43045</v>
      </c>
      <c r="B421" t="s">
        <v>36</v>
      </c>
      <c r="C421">
        <v>42</v>
      </c>
    </row>
    <row r="422" spans="1:3">
      <c r="A422" s="30">
        <v>43040</v>
      </c>
      <c r="B422" t="s">
        <v>36</v>
      </c>
      <c r="C422">
        <v>28</v>
      </c>
    </row>
    <row r="423" spans="1:3">
      <c r="A423" s="30">
        <v>43044</v>
      </c>
      <c r="B423" t="s">
        <v>36</v>
      </c>
      <c r="C423">
        <v>114</v>
      </c>
    </row>
    <row r="424" spans="1:3">
      <c r="A424" s="30">
        <v>43040</v>
      </c>
      <c r="B424" t="s">
        <v>24</v>
      </c>
      <c r="C424">
        <v>14</v>
      </c>
    </row>
    <row r="425" spans="1:3">
      <c r="A425" s="30">
        <v>43045</v>
      </c>
      <c r="B425" t="s">
        <v>24</v>
      </c>
      <c r="C425">
        <v>160</v>
      </c>
    </row>
    <row r="426" spans="1:3">
      <c r="A426" s="30">
        <v>43042</v>
      </c>
      <c r="B426" t="s">
        <v>37</v>
      </c>
      <c r="C426">
        <v>14</v>
      </c>
    </row>
    <row r="427" spans="1:3">
      <c r="A427" s="30">
        <v>43040</v>
      </c>
      <c r="B427" t="s">
        <v>24</v>
      </c>
      <c r="C427">
        <v>12</v>
      </c>
    </row>
    <row r="428" spans="1:3">
      <c r="A428" s="30">
        <v>43043</v>
      </c>
      <c r="B428" t="s">
        <v>36</v>
      </c>
      <c r="C428">
        <v>20</v>
      </c>
    </row>
    <row r="429" spans="1:3">
      <c r="A429" s="30">
        <v>43040</v>
      </c>
      <c r="B429" t="s">
        <v>36</v>
      </c>
      <c r="C429">
        <v>76</v>
      </c>
    </row>
    <row r="430" spans="1:3">
      <c r="A430" s="30">
        <v>43047</v>
      </c>
      <c r="B430" t="s">
        <v>24</v>
      </c>
      <c r="C430">
        <v>112</v>
      </c>
    </row>
    <row r="431" spans="1:3">
      <c r="A431" s="30">
        <v>43041</v>
      </c>
      <c r="B431" t="s">
        <v>37</v>
      </c>
      <c r="C431">
        <v>113</v>
      </c>
    </row>
    <row r="432" spans="1:3">
      <c r="A432" s="30">
        <v>43040</v>
      </c>
      <c r="B432" t="s">
        <v>37</v>
      </c>
      <c r="C432">
        <v>76</v>
      </c>
    </row>
    <row r="433" spans="1:3">
      <c r="A433" s="30">
        <v>43047</v>
      </c>
      <c r="B433" t="s">
        <v>26</v>
      </c>
      <c r="C433">
        <v>163</v>
      </c>
    </row>
    <row r="434" spans="1:3">
      <c r="A434" s="30">
        <v>43041</v>
      </c>
      <c r="B434" t="s">
        <v>26</v>
      </c>
      <c r="C434">
        <v>76</v>
      </c>
    </row>
    <row r="435" spans="1:3">
      <c r="A435" s="30">
        <v>43047</v>
      </c>
      <c r="B435" t="s">
        <v>26</v>
      </c>
      <c r="C435">
        <v>177</v>
      </c>
    </row>
    <row r="436" spans="1:3">
      <c r="A436" s="30">
        <v>43040</v>
      </c>
      <c r="B436" t="s">
        <v>36</v>
      </c>
      <c r="C436">
        <v>41</v>
      </c>
    </row>
    <row r="437" spans="1:3">
      <c r="A437" s="30">
        <v>43045</v>
      </c>
      <c r="B437" t="s">
        <v>37</v>
      </c>
      <c r="C437">
        <v>42</v>
      </c>
    </row>
    <row r="438" spans="1:3">
      <c r="A438" s="30">
        <v>43047</v>
      </c>
      <c r="B438" t="s">
        <v>26</v>
      </c>
      <c r="C438">
        <v>152</v>
      </c>
    </row>
    <row r="439" spans="1:3">
      <c r="A439" s="30">
        <v>43043</v>
      </c>
      <c r="B439" t="s">
        <v>36</v>
      </c>
      <c r="C439">
        <v>90</v>
      </c>
    </row>
    <row r="440" spans="1:3">
      <c r="A440" s="30">
        <v>43047</v>
      </c>
      <c r="B440" t="s">
        <v>24</v>
      </c>
      <c r="C440">
        <v>103</v>
      </c>
    </row>
    <row r="441" spans="1:3">
      <c r="A441" s="30">
        <v>43044</v>
      </c>
      <c r="B441" t="s">
        <v>26</v>
      </c>
      <c r="C441">
        <v>18</v>
      </c>
    </row>
    <row r="442" spans="1:3">
      <c r="A442" s="30">
        <v>43040</v>
      </c>
      <c r="B442" t="s">
        <v>37</v>
      </c>
      <c r="C442">
        <v>185</v>
      </c>
    </row>
    <row r="443" spans="1:3">
      <c r="A443" s="30">
        <v>43040</v>
      </c>
      <c r="B443" t="s">
        <v>24</v>
      </c>
      <c r="C443">
        <v>29</v>
      </c>
    </row>
    <row r="444" spans="1:3">
      <c r="A444" s="30">
        <v>43046</v>
      </c>
      <c r="B444" t="s">
        <v>37</v>
      </c>
      <c r="C444">
        <v>140</v>
      </c>
    </row>
    <row r="445" spans="1:3">
      <c r="A445" s="30">
        <v>43040</v>
      </c>
      <c r="B445" t="s">
        <v>26</v>
      </c>
      <c r="C445">
        <v>177</v>
      </c>
    </row>
    <row r="446" spans="1:3">
      <c r="A446" s="30">
        <v>43043</v>
      </c>
      <c r="B446" t="s">
        <v>24</v>
      </c>
      <c r="C446">
        <v>74</v>
      </c>
    </row>
    <row r="447" spans="1:3">
      <c r="A447" s="30">
        <v>43040</v>
      </c>
      <c r="B447" t="s">
        <v>37</v>
      </c>
      <c r="C447">
        <v>111</v>
      </c>
    </row>
    <row r="448" spans="1:3">
      <c r="A448" s="30">
        <v>43047</v>
      </c>
      <c r="B448" t="s">
        <v>37</v>
      </c>
      <c r="C448">
        <v>11</v>
      </c>
    </row>
    <row r="449" spans="1:3">
      <c r="A449" s="30">
        <v>43040</v>
      </c>
      <c r="B449" t="s">
        <v>24</v>
      </c>
      <c r="C449">
        <v>28</v>
      </c>
    </row>
    <row r="450" spans="1:3">
      <c r="A450" s="30">
        <v>43040</v>
      </c>
      <c r="B450" t="s">
        <v>26</v>
      </c>
      <c r="C450">
        <v>80</v>
      </c>
    </row>
    <row r="451" spans="1:3">
      <c r="A451" s="30">
        <v>43040</v>
      </c>
      <c r="B451" t="s">
        <v>37</v>
      </c>
      <c r="C451">
        <v>18</v>
      </c>
    </row>
    <row r="452" spans="1:3">
      <c r="A452" s="30">
        <v>43046</v>
      </c>
      <c r="B452" t="s">
        <v>26</v>
      </c>
      <c r="C452">
        <v>28</v>
      </c>
    </row>
    <row r="453" spans="1:3">
      <c r="A453" s="30">
        <v>43043</v>
      </c>
      <c r="B453" t="s">
        <v>36</v>
      </c>
      <c r="C453">
        <v>117</v>
      </c>
    </row>
    <row r="454" spans="1:3">
      <c r="A454" s="30">
        <v>43046</v>
      </c>
      <c r="B454" t="s">
        <v>37</v>
      </c>
      <c r="C454">
        <v>145</v>
      </c>
    </row>
    <row r="455" spans="1:3">
      <c r="A455" s="30">
        <v>43040</v>
      </c>
      <c r="B455" t="s">
        <v>37</v>
      </c>
      <c r="C455">
        <v>79</v>
      </c>
    </row>
    <row r="456" spans="1:3">
      <c r="A456" s="30">
        <v>43040</v>
      </c>
      <c r="B456" t="s">
        <v>37</v>
      </c>
      <c r="C456">
        <v>99</v>
      </c>
    </row>
    <row r="457" spans="1:3">
      <c r="A457" s="30">
        <v>43044</v>
      </c>
      <c r="B457" t="s">
        <v>36</v>
      </c>
      <c r="C457">
        <v>22</v>
      </c>
    </row>
    <row r="458" spans="1:3">
      <c r="A458" s="30">
        <v>43047</v>
      </c>
      <c r="B458" t="s">
        <v>36</v>
      </c>
      <c r="C458">
        <v>63</v>
      </c>
    </row>
    <row r="459" spans="1:3">
      <c r="A459" s="30">
        <v>43040</v>
      </c>
      <c r="B459" t="s">
        <v>24</v>
      </c>
      <c r="C459">
        <v>123</v>
      </c>
    </row>
    <row r="460" spans="1:3">
      <c r="A460" s="30">
        <v>43046</v>
      </c>
      <c r="B460" t="s">
        <v>24</v>
      </c>
      <c r="C460">
        <v>48</v>
      </c>
    </row>
    <row r="461" spans="1:3">
      <c r="A461" s="30">
        <v>43040</v>
      </c>
      <c r="B461" t="s">
        <v>37</v>
      </c>
      <c r="C461">
        <v>147</v>
      </c>
    </row>
    <row r="462" spans="1:3">
      <c r="A462" s="30">
        <v>43045</v>
      </c>
      <c r="B462" t="s">
        <v>26</v>
      </c>
      <c r="C462">
        <v>136</v>
      </c>
    </row>
    <row r="463" spans="1:3">
      <c r="A463" s="30">
        <v>43040</v>
      </c>
      <c r="B463" t="s">
        <v>24</v>
      </c>
      <c r="C463">
        <v>179</v>
      </c>
    </row>
    <row r="464" spans="1:3">
      <c r="A464" s="30">
        <v>43040</v>
      </c>
      <c r="B464" t="s">
        <v>37</v>
      </c>
      <c r="C464">
        <v>85</v>
      </c>
    </row>
    <row r="465" spans="1:3">
      <c r="A465" s="30">
        <v>43044</v>
      </c>
      <c r="B465" t="s">
        <v>26</v>
      </c>
      <c r="C465">
        <v>46</v>
      </c>
    </row>
    <row r="466" spans="1:3">
      <c r="A466" s="30">
        <v>43041</v>
      </c>
      <c r="B466" t="s">
        <v>26</v>
      </c>
      <c r="C466">
        <v>85</v>
      </c>
    </row>
    <row r="467" spans="1:3">
      <c r="A467" s="30">
        <v>43047</v>
      </c>
      <c r="B467" t="s">
        <v>26</v>
      </c>
      <c r="C467">
        <v>97</v>
      </c>
    </row>
    <row r="468" spans="1:3">
      <c r="A468" s="30">
        <v>43047</v>
      </c>
      <c r="B468" t="s">
        <v>37</v>
      </c>
      <c r="C468">
        <v>60</v>
      </c>
    </row>
    <row r="469" spans="1:3">
      <c r="A469" s="30">
        <v>43041</v>
      </c>
      <c r="B469" t="s">
        <v>24</v>
      </c>
      <c r="C469">
        <v>63</v>
      </c>
    </row>
    <row r="470" spans="1:3">
      <c r="A470" s="30">
        <v>43042</v>
      </c>
      <c r="B470" t="s">
        <v>24</v>
      </c>
      <c r="C470">
        <v>74</v>
      </c>
    </row>
    <row r="471" spans="1:3">
      <c r="A471" s="30">
        <v>43045</v>
      </c>
      <c r="B471" t="s">
        <v>37</v>
      </c>
      <c r="C471">
        <v>171</v>
      </c>
    </row>
    <row r="472" spans="1:3">
      <c r="A472" s="30">
        <v>43040</v>
      </c>
      <c r="B472" t="s">
        <v>37</v>
      </c>
      <c r="C472">
        <v>73</v>
      </c>
    </row>
    <row r="473" spans="1:3">
      <c r="A473" s="30">
        <v>43046</v>
      </c>
      <c r="B473" t="s">
        <v>24</v>
      </c>
      <c r="C473">
        <v>85</v>
      </c>
    </row>
    <row r="474" spans="1:3">
      <c r="A474" s="30">
        <v>43047</v>
      </c>
      <c r="B474" t="s">
        <v>24</v>
      </c>
      <c r="C474">
        <v>35</v>
      </c>
    </row>
    <row r="475" spans="1:3">
      <c r="A475" s="30">
        <v>43045</v>
      </c>
      <c r="B475" t="s">
        <v>36</v>
      </c>
      <c r="C475">
        <v>89</v>
      </c>
    </row>
    <row r="476" spans="1:3">
      <c r="A476" s="30">
        <v>43040</v>
      </c>
      <c r="B476" t="s">
        <v>36</v>
      </c>
      <c r="C476">
        <v>95</v>
      </c>
    </row>
    <row r="477" spans="1:3">
      <c r="A477" s="30">
        <v>43047</v>
      </c>
      <c r="B477" t="s">
        <v>26</v>
      </c>
      <c r="C477">
        <v>125</v>
      </c>
    </row>
    <row r="478" spans="1:3">
      <c r="A478" s="30">
        <v>43046</v>
      </c>
      <c r="B478" t="s">
        <v>37</v>
      </c>
      <c r="C478">
        <v>78</v>
      </c>
    </row>
    <row r="479" spans="1:3">
      <c r="A479" s="30">
        <v>43046</v>
      </c>
      <c r="B479" t="s">
        <v>37</v>
      </c>
      <c r="C479">
        <v>187</v>
      </c>
    </row>
    <row r="480" spans="1:3">
      <c r="A480" s="30">
        <v>43044</v>
      </c>
      <c r="B480" t="s">
        <v>26</v>
      </c>
      <c r="C480">
        <v>33</v>
      </c>
    </row>
    <row r="481" spans="1:3">
      <c r="A481" s="30">
        <v>43042</v>
      </c>
      <c r="B481" t="s">
        <v>26</v>
      </c>
      <c r="C481">
        <v>104</v>
      </c>
    </row>
    <row r="482" spans="1:3">
      <c r="A482" s="30">
        <v>43042</v>
      </c>
      <c r="B482" t="s">
        <v>26</v>
      </c>
      <c r="C482">
        <v>25</v>
      </c>
    </row>
    <row r="483" spans="1:3">
      <c r="A483" s="30">
        <v>43044</v>
      </c>
      <c r="B483" t="s">
        <v>37</v>
      </c>
      <c r="C483">
        <v>166</v>
      </c>
    </row>
    <row r="484" spans="1:3">
      <c r="A484" s="30">
        <v>43041</v>
      </c>
      <c r="B484" t="s">
        <v>26</v>
      </c>
      <c r="C484">
        <v>58</v>
      </c>
    </row>
    <row r="485" spans="1:3">
      <c r="A485" s="30">
        <v>43043</v>
      </c>
      <c r="B485" t="s">
        <v>37</v>
      </c>
      <c r="C485">
        <v>94</v>
      </c>
    </row>
    <row r="486" spans="1:3">
      <c r="A486" s="30">
        <v>43044</v>
      </c>
      <c r="B486" t="s">
        <v>26</v>
      </c>
      <c r="C486">
        <v>49</v>
      </c>
    </row>
    <row r="487" spans="1:3">
      <c r="A487" s="30">
        <v>43041</v>
      </c>
      <c r="B487" t="s">
        <v>26</v>
      </c>
      <c r="C487">
        <v>92</v>
      </c>
    </row>
    <row r="488" spans="1:3">
      <c r="A488" s="30">
        <v>43045</v>
      </c>
      <c r="B488" t="s">
        <v>37</v>
      </c>
      <c r="C488">
        <v>71</v>
      </c>
    </row>
    <row r="489" spans="1:3">
      <c r="A489" s="30">
        <v>43041</v>
      </c>
      <c r="B489" t="s">
        <v>24</v>
      </c>
      <c r="C489">
        <v>27</v>
      </c>
    </row>
    <row r="490" spans="1:3">
      <c r="A490" s="30">
        <v>43046</v>
      </c>
      <c r="B490" t="s">
        <v>37</v>
      </c>
      <c r="C490">
        <v>5</v>
      </c>
    </row>
    <row r="491" spans="1:3">
      <c r="A491" s="30">
        <v>43043</v>
      </c>
      <c r="B491" t="s">
        <v>26</v>
      </c>
      <c r="C491">
        <v>190</v>
      </c>
    </row>
    <row r="492" spans="1:3">
      <c r="A492" s="30">
        <v>43043</v>
      </c>
      <c r="B492" t="s">
        <v>37</v>
      </c>
      <c r="C492">
        <v>146</v>
      </c>
    </row>
    <row r="493" spans="1:3">
      <c r="A493" s="30">
        <v>43046</v>
      </c>
      <c r="B493" t="s">
        <v>36</v>
      </c>
      <c r="C493">
        <v>183</v>
      </c>
    </row>
    <row r="494" spans="1:3">
      <c r="A494" s="30">
        <v>43043</v>
      </c>
      <c r="B494" t="s">
        <v>37</v>
      </c>
      <c r="C494">
        <v>163</v>
      </c>
    </row>
    <row r="495" spans="1:3">
      <c r="A495" s="30">
        <v>43046</v>
      </c>
      <c r="B495" t="s">
        <v>36</v>
      </c>
      <c r="C495">
        <v>138</v>
      </c>
    </row>
    <row r="496" spans="1:3">
      <c r="A496" s="30">
        <v>43045</v>
      </c>
      <c r="B496" t="s">
        <v>36</v>
      </c>
      <c r="C496">
        <v>151</v>
      </c>
    </row>
    <row r="497" spans="1:3">
      <c r="A497" s="30">
        <v>43040</v>
      </c>
      <c r="B497" t="s">
        <v>24</v>
      </c>
      <c r="C497">
        <v>110</v>
      </c>
    </row>
    <row r="498" spans="1:3">
      <c r="A498" s="30">
        <v>43046</v>
      </c>
      <c r="B498" t="s">
        <v>26</v>
      </c>
      <c r="C498">
        <v>95</v>
      </c>
    </row>
    <row r="499" spans="1:3">
      <c r="A499" s="30">
        <v>43042</v>
      </c>
      <c r="B499" t="s">
        <v>36</v>
      </c>
      <c r="C499">
        <v>89</v>
      </c>
    </row>
    <row r="500" spans="1:3">
      <c r="A500" s="30">
        <v>43040</v>
      </c>
      <c r="B500" t="s">
        <v>37</v>
      </c>
      <c r="C500">
        <v>181</v>
      </c>
    </row>
    <row r="501" spans="1:3">
      <c r="A501" s="30">
        <v>43047</v>
      </c>
      <c r="B501" t="s">
        <v>26</v>
      </c>
      <c r="C501">
        <v>106</v>
      </c>
    </row>
    <row r="502" spans="1:3">
      <c r="A502" s="30">
        <v>43042</v>
      </c>
      <c r="B502" t="s">
        <v>36</v>
      </c>
      <c r="C502">
        <v>97</v>
      </c>
    </row>
    <row r="503" spans="1:3">
      <c r="A503" s="30">
        <v>43041</v>
      </c>
      <c r="B503" t="s">
        <v>37</v>
      </c>
      <c r="C503">
        <v>62</v>
      </c>
    </row>
    <row r="504" spans="1:3">
      <c r="A504" s="30">
        <v>43047</v>
      </c>
      <c r="B504" t="s">
        <v>26</v>
      </c>
      <c r="C504">
        <v>124</v>
      </c>
    </row>
    <row r="505" spans="1:3">
      <c r="A505" s="30">
        <v>43045</v>
      </c>
      <c r="B505" t="s">
        <v>36</v>
      </c>
      <c r="C505">
        <v>134</v>
      </c>
    </row>
    <row r="506" spans="1:3">
      <c r="A506" s="30">
        <v>43046</v>
      </c>
      <c r="B506" t="s">
        <v>37</v>
      </c>
      <c r="C506">
        <v>175</v>
      </c>
    </row>
    <row r="507" spans="1:3">
      <c r="A507" s="30">
        <v>43045</v>
      </c>
      <c r="B507" t="s">
        <v>36</v>
      </c>
      <c r="C507">
        <v>112</v>
      </c>
    </row>
    <row r="508" spans="1:3">
      <c r="A508" s="30">
        <v>43042</v>
      </c>
      <c r="B508" t="s">
        <v>37</v>
      </c>
      <c r="C508">
        <v>15</v>
      </c>
    </row>
    <row r="509" spans="1:3">
      <c r="A509" s="30">
        <v>43046</v>
      </c>
      <c r="B509" t="s">
        <v>36</v>
      </c>
      <c r="C509">
        <v>54</v>
      </c>
    </row>
    <row r="510" spans="1:3">
      <c r="A510" s="30">
        <v>43043</v>
      </c>
      <c r="B510" t="s">
        <v>36</v>
      </c>
      <c r="C510">
        <v>138</v>
      </c>
    </row>
    <row r="511" spans="1:3">
      <c r="A511" s="30">
        <v>43044</v>
      </c>
      <c r="B511" t="s">
        <v>36</v>
      </c>
      <c r="C511">
        <v>87</v>
      </c>
    </row>
    <row r="512" spans="1:3">
      <c r="A512" s="30">
        <v>43045</v>
      </c>
      <c r="B512" t="s">
        <v>24</v>
      </c>
      <c r="C512">
        <v>13</v>
      </c>
    </row>
    <row r="513" spans="1:3">
      <c r="A513" s="30">
        <v>43047</v>
      </c>
      <c r="B513" t="s">
        <v>37</v>
      </c>
      <c r="C513">
        <v>79</v>
      </c>
    </row>
    <row r="514" spans="1:3">
      <c r="A514" s="30">
        <v>43047</v>
      </c>
      <c r="B514" t="s">
        <v>24</v>
      </c>
      <c r="C514">
        <v>60</v>
      </c>
    </row>
    <row r="515" spans="1:3">
      <c r="A515" s="30">
        <v>43042</v>
      </c>
      <c r="B515" t="s">
        <v>24</v>
      </c>
      <c r="C515">
        <v>65</v>
      </c>
    </row>
    <row r="516" spans="1:3">
      <c r="A516" s="30">
        <v>43042</v>
      </c>
      <c r="B516" t="s">
        <v>26</v>
      </c>
      <c r="C516">
        <v>85</v>
      </c>
    </row>
    <row r="517" spans="1:3">
      <c r="A517" s="30">
        <v>43044</v>
      </c>
      <c r="B517" t="s">
        <v>24</v>
      </c>
      <c r="C517">
        <v>41</v>
      </c>
    </row>
    <row r="518" spans="1:3">
      <c r="A518" s="30">
        <v>43044</v>
      </c>
      <c r="B518" t="s">
        <v>26</v>
      </c>
      <c r="C518">
        <v>7</v>
      </c>
    </row>
    <row r="519" spans="1:3">
      <c r="A519" s="30">
        <v>43043</v>
      </c>
      <c r="B519" t="s">
        <v>24</v>
      </c>
      <c r="C519">
        <v>14</v>
      </c>
    </row>
    <row r="520" spans="1:3">
      <c r="A520" s="30">
        <v>43042</v>
      </c>
      <c r="B520" t="s">
        <v>37</v>
      </c>
      <c r="C520">
        <v>156</v>
      </c>
    </row>
    <row r="521" spans="1:3">
      <c r="A521" s="30">
        <v>43040</v>
      </c>
      <c r="B521" t="s">
        <v>24</v>
      </c>
      <c r="C521">
        <v>98</v>
      </c>
    </row>
    <row r="522" spans="1:3">
      <c r="A522" s="30">
        <v>43047</v>
      </c>
      <c r="B522" t="s">
        <v>26</v>
      </c>
      <c r="C522">
        <v>4</v>
      </c>
    </row>
    <row r="523" spans="1:3">
      <c r="A523" s="30">
        <v>43044</v>
      </c>
      <c r="B523" t="s">
        <v>36</v>
      </c>
      <c r="C523">
        <v>52</v>
      </c>
    </row>
    <row r="524" spans="1:3">
      <c r="A524" s="30">
        <v>43042</v>
      </c>
      <c r="B524" t="s">
        <v>24</v>
      </c>
      <c r="C524">
        <v>35</v>
      </c>
    </row>
    <row r="525" spans="1:3">
      <c r="A525" s="30">
        <v>43046</v>
      </c>
      <c r="B525" t="s">
        <v>36</v>
      </c>
      <c r="C525">
        <v>101</v>
      </c>
    </row>
    <row r="526" spans="1:3">
      <c r="A526" s="30">
        <v>43041</v>
      </c>
      <c r="B526" t="s">
        <v>24</v>
      </c>
      <c r="C526">
        <v>177</v>
      </c>
    </row>
    <row r="527" spans="1:3">
      <c r="A527" s="30">
        <v>43043</v>
      </c>
      <c r="B527" t="s">
        <v>24</v>
      </c>
      <c r="C527">
        <v>158</v>
      </c>
    </row>
    <row r="528" spans="1:3">
      <c r="A528" s="30">
        <v>43045</v>
      </c>
      <c r="B528" t="s">
        <v>36</v>
      </c>
      <c r="C528">
        <v>183</v>
      </c>
    </row>
    <row r="529" spans="1:3">
      <c r="A529" s="30">
        <v>43041</v>
      </c>
      <c r="B529" t="s">
        <v>24</v>
      </c>
      <c r="C529">
        <v>185</v>
      </c>
    </row>
    <row r="530" spans="1:3">
      <c r="A530" s="30">
        <v>43046</v>
      </c>
      <c r="B530" t="s">
        <v>26</v>
      </c>
      <c r="C530">
        <v>87</v>
      </c>
    </row>
    <row r="531" spans="1:3">
      <c r="A531" s="30">
        <v>43046</v>
      </c>
      <c r="B531" t="s">
        <v>24</v>
      </c>
      <c r="C531">
        <v>148</v>
      </c>
    </row>
    <row r="532" spans="1:3">
      <c r="A532" s="30">
        <v>43047</v>
      </c>
      <c r="B532" t="s">
        <v>36</v>
      </c>
      <c r="C532">
        <v>141</v>
      </c>
    </row>
    <row r="533" spans="1:3">
      <c r="A533" s="30">
        <v>43046</v>
      </c>
      <c r="B533" t="s">
        <v>24</v>
      </c>
      <c r="C533">
        <v>159</v>
      </c>
    </row>
    <row r="534" spans="1:3">
      <c r="A534" s="30">
        <v>43040</v>
      </c>
      <c r="B534" t="s">
        <v>37</v>
      </c>
      <c r="C534">
        <v>97</v>
      </c>
    </row>
    <row r="535" spans="1:3">
      <c r="A535" s="30">
        <v>43043</v>
      </c>
      <c r="B535" t="s">
        <v>24</v>
      </c>
      <c r="C535">
        <v>164</v>
      </c>
    </row>
    <row r="536" spans="1:3">
      <c r="A536" s="30">
        <v>43042</v>
      </c>
      <c r="B536" t="s">
        <v>36</v>
      </c>
      <c r="C536">
        <v>174</v>
      </c>
    </row>
    <row r="537" spans="1:3">
      <c r="A537" s="30">
        <v>43046</v>
      </c>
      <c r="B537" t="s">
        <v>24</v>
      </c>
      <c r="C537">
        <v>92</v>
      </c>
    </row>
    <row r="538" spans="1:3">
      <c r="A538" s="30">
        <v>43044</v>
      </c>
      <c r="B538" t="s">
        <v>26</v>
      </c>
      <c r="C538">
        <v>132</v>
      </c>
    </row>
    <row r="539" spans="1:3">
      <c r="A539" s="30">
        <v>43044</v>
      </c>
      <c r="B539" t="s">
        <v>26</v>
      </c>
      <c r="C539">
        <v>140</v>
      </c>
    </row>
    <row r="540" spans="1:3">
      <c r="A540" s="30">
        <v>43045</v>
      </c>
      <c r="B540" t="s">
        <v>26</v>
      </c>
      <c r="C540">
        <v>165</v>
      </c>
    </row>
    <row r="541" spans="1:3">
      <c r="A541" s="30">
        <v>43044</v>
      </c>
      <c r="B541" t="s">
        <v>24</v>
      </c>
      <c r="C541">
        <v>89</v>
      </c>
    </row>
    <row r="542" spans="1:3">
      <c r="A542" s="30">
        <v>43041</v>
      </c>
      <c r="B542" t="s">
        <v>37</v>
      </c>
      <c r="C542">
        <v>95</v>
      </c>
    </row>
    <row r="543" spans="1:3">
      <c r="A543" s="30">
        <v>43045</v>
      </c>
      <c r="B543" t="s">
        <v>24</v>
      </c>
      <c r="C543">
        <v>142</v>
      </c>
    </row>
    <row r="544" spans="1:3">
      <c r="A544" s="30">
        <v>43045</v>
      </c>
      <c r="B544" t="s">
        <v>36</v>
      </c>
      <c r="C544">
        <v>60</v>
      </c>
    </row>
    <row r="545" spans="1:3">
      <c r="A545" s="30">
        <v>43042</v>
      </c>
      <c r="B545" t="s">
        <v>36</v>
      </c>
      <c r="C545">
        <v>60</v>
      </c>
    </row>
    <row r="546" spans="1:3">
      <c r="A546" s="30">
        <v>43042</v>
      </c>
      <c r="B546" t="s">
        <v>24</v>
      </c>
      <c r="C546">
        <v>108</v>
      </c>
    </row>
    <row r="547" spans="1:3">
      <c r="A547" s="30">
        <v>43041</v>
      </c>
      <c r="B547" t="s">
        <v>26</v>
      </c>
      <c r="C547">
        <v>61</v>
      </c>
    </row>
    <row r="548" spans="1:3">
      <c r="A548" s="30">
        <v>43043</v>
      </c>
      <c r="B548" t="s">
        <v>37</v>
      </c>
      <c r="C548">
        <v>132</v>
      </c>
    </row>
    <row r="549" spans="1:3">
      <c r="A549" s="30">
        <v>43045</v>
      </c>
      <c r="B549" t="s">
        <v>26</v>
      </c>
      <c r="C549">
        <v>136</v>
      </c>
    </row>
    <row r="550" spans="1:3">
      <c r="A550" s="30">
        <v>43043</v>
      </c>
      <c r="B550" t="s">
        <v>36</v>
      </c>
      <c r="C550">
        <v>75</v>
      </c>
    </row>
    <row r="551" spans="1:3">
      <c r="A551" s="30">
        <v>43043</v>
      </c>
      <c r="B551" t="s">
        <v>26</v>
      </c>
      <c r="C551">
        <v>14</v>
      </c>
    </row>
    <row r="552" spans="1:3">
      <c r="A552" s="30">
        <v>43040</v>
      </c>
      <c r="B552" t="s">
        <v>36</v>
      </c>
      <c r="C552">
        <v>19</v>
      </c>
    </row>
    <row r="553" spans="1:3">
      <c r="A553" s="30">
        <v>43047</v>
      </c>
      <c r="B553" t="s">
        <v>24</v>
      </c>
      <c r="C553">
        <v>40</v>
      </c>
    </row>
    <row r="554" spans="1:3">
      <c r="A554" s="30">
        <v>43045</v>
      </c>
      <c r="B554" t="s">
        <v>24</v>
      </c>
      <c r="C554">
        <v>54</v>
      </c>
    </row>
    <row r="555" spans="1:3">
      <c r="A555" s="30">
        <v>43041</v>
      </c>
      <c r="B555" t="s">
        <v>24</v>
      </c>
      <c r="C555">
        <v>11</v>
      </c>
    </row>
    <row r="556" spans="1:3">
      <c r="A556" s="30">
        <v>43044</v>
      </c>
      <c r="B556" t="s">
        <v>37</v>
      </c>
      <c r="C556">
        <v>49</v>
      </c>
    </row>
    <row r="557" spans="1:3">
      <c r="A557" s="30">
        <v>43046</v>
      </c>
      <c r="B557" t="s">
        <v>36</v>
      </c>
      <c r="C557">
        <v>146</v>
      </c>
    </row>
    <row r="558" spans="1:3">
      <c r="A558" s="30">
        <v>43045</v>
      </c>
      <c r="B558" t="s">
        <v>24</v>
      </c>
      <c r="C558">
        <v>162</v>
      </c>
    </row>
    <row r="559" spans="1:3">
      <c r="A559" s="30">
        <v>43040</v>
      </c>
      <c r="B559" t="s">
        <v>24</v>
      </c>
      <c r="C559">
        <v>179</v>
      </c>
    </row>
    <row r="560" spans="1:3">
      <c r="A560" s="30">
        <v>43047</v>
      </c>
      <c r="B560" t="s">
        <v>36</v>
      </c>
      <c r="C560">
        <v>88</v>
      </c>
    </row>
    <row r="561" spans="1:3">
      <c r="A561" s="30">
        <v>43040</v>
      </c>
      <c r="B561" t="s">
        <v>36</v>
      </c>
      <c r="C561">
        <v>104</v>
      </c>
    </row>
    <row r="562" spans="1:3">
      <c r="A562" s="30">
        <v>43043</v>
      </c>
      <c r="B562" t="s">
        <v>24</v>
      </c>
      <c r="C562">
        <v>56</v>
      </c>
    </row>
    <row r="563" spans="1:3">
      <c r="A563" s="30">
        <v>43043</v>
      </c>
      <c r="B563" t="s">
        <v>36</v>
      </c>
      <c r="C563">
        <v>179</v>
      </c>
    </row>
    <row r="564" spans="1:3">
      <c r="A564" s="30">
        <v>43045</v>
      </c>
      <c r="B564" t="s">
        <v>24</v>
      </c>
      <c r="C564">
        <v>177</v>
      </c>
    </row>
    <row r="565" spans="1:3">
      <c r="A565" s="30">
        <v>43046</v>
      </c>
      <c r="B565" t="s">
        <v>36</v>
      </c>
      <c r="C565">
        <v>64</v>
      </c>
    </row>
    <row r="566" spans="1:3">
      <c r="A566" s="30">
        <v>43040</v>
      </c>
      <c r="B566" t="s">
        <v>26</v>
      </c>
      <c r="C566">
        <v>172</v>
      </c>
    </row>
    <row r="567" spans="1:3">
      <c r="A567" s="30">
        <v>43044</v>
      </c>
      <c r="B567" t="s">
        <v>24</v>
      </c>
      <c r="C567">
        <v>98</v>
      </c>
    </row>
    <row r="568" spans="1:3">
      <c r="A568" s="30">
        <v>43046</v>
      </c>
      <c r="B568" t="s">
        <v>36</v>
      </c>
      <c r="C568">
        <v>131</v>
      </c>
    </row>
    <row r="569" spans="1:3">
      <c r="A569" s="30">
        <v>43043</v>
      </c>
      <c r="B569" t="s">
        <v>36</v>
      </c>
      <c r="C569">
        <v>73</v>
      </c>
    </row>
    <row r="570" spans="1:3">
      <c r="A570" s="30">
        <v>43044</v>
      </c>
      <c r="B570" t="s">
        <v>26</v>
      </c>
      <c r="C570">
        <v>168</v>
      </c>
    </row>
    <row r="571" spans="1:3">
      <c r="A571" s="30">
        <v>43044</v>
      </c>
      <c r="B571" t="s">
        <v>24</v>
      </c>
      <c r="C571">
        <v>44</v>
      </c>
    </row>
    <row r="572" spans="1:3">
      <c r="A572" s="30">
        <v>43045</v>
      </c>
      <c r="B572" t="s">
        <v>24</v>
      </c>
      <c r="C572">
        <v>163</v>
      </c>
    </row>
    <row r="573" spans="1:3">
      <c r="A573" s="30">
        <v>43043</v>
      </c>
      <c r="B573" t="s">
        <v>24</v>
      </c>
      <c r="C573">
        <v>87</v>
      </c>
    </row>
    <row r="574" spans="1:3">
      <c r="A574" s="30">
        <v>43043</v>
      </c>
      <c r="B574" t="s">
        <v>36</v>
      </c>
      <c r="C574">
        <v>47</v>
      </c>
    </row>
    <row r="575" spans="1:3">
      <c r="A575" s="30">
        <v>43046</v>
      </c>
      <c r="B575" t="s">
        <v>24</v>
      </c>
      <c r="C575">
        <v>131</v>
      </c>
    </row>
    <row r="576" spans="1:3">
      <c r="A576" s="30">
        <v>43045</v>
      </c>
      <c r="B576" t="s">
        <v>24</v>
      </c>
      <c r="C576">
        <v>146</v>
      </c>
    </row>
    <row r="577" spans="1:3">
      <c r="A577" s="30">
        <v>43042</v>
      </c>
      <c r="B577" t="s">
        <v>26</v>
      </c>
      <c r="C577">
        <v>82</v>
      </c>
    </row>
    <row r="578" spans="1:3">
      <c r="A578" s="30">
        <v>43044</v>
      </c>
      <c r="B578" t="s">
        <v>36</v>
      </c>
      <c r="C578">
        <v>129</v>
      </c>
    </row>
    <row r="579" spans="1:3">
      <c r="A579" s="30">
        <v>43045</v>
      </c>
      <c r="B579" t="s">
        <v>37</v>
      </c>
      <c r="C579">
        <v>171</v>
      </c>
    </row>
    <row r="580" spans="1:3">
      <c r="A580" s="30">
        <v>43042</v>
      </c>
      <c r="B580" t="s">
        <v>24</v>
      </c>
      <c r="C580">
        <v>18</v>
      </c>
    </row>
    <row r="581" spans="1:3">
      <c r="A581" s="30">
        <v>43043</v>
      </c>
      <c r="B581" t="s">
        <v>24</v>
      </c>
      <c r="C581">
        <v>54</v>
      </c>
    </row>
    <row r="582" spans="1:3">
      <c r="A582" s="30">
        <v>43043</v>
      </c>
      <c r="B582" t="s">
        <v>36</v>
      </c>
      <c r="C582">
        <v>185</v>
      </c>
    </row>
    <row r="583" spans="1:3">
      <c r="A583" s="30">
        <v>43040</v>
      </c>
      <c r="B583" t="s">
        <v>37</v>
      </c>
      <c r="C583">
        <v>85</v>
      </c>
    </row>
    <row r="584" spans="1:3">
      <c r="A584" s="30">
        <v>43045</v>
      </c>
      <c r="B584" t="s">
        <v>37</v>
      </c>
      <c r="C584">
        <v>106</v>
      </c>
    </row>
    <row r="585" spans="1:3">
      <c r="A585" s="30">
        <v>43047</v>
      </c>
      <c r="B585" t="s">
        <v>26</v>
      </c>
      <c r="C585">
        <v>136</v>
      </c>
    </row>
    <row r="586" spans="1:3">
      <c r="A586" s="30">
        <v>43043</v>
      </c>
      <c r="B586" t="s">
        <v>26</v>
      </c>
      <c r="C586">
        <v>96</v>
      </c>
    </row>
    <row r="587" spans="1:3">
      <c r="A587" s="30">
        <v>43043</v>
      </c>
      <c r="B587" t="s">
        <v>37</v>
      </c>
      <c r="C587">
        <v>45</v>
      </c>
    </row>
    <row r="588" spans="1:3">
      <c r="A588" s="30">
        <v>43044</v>
      </c>
      <c r="B588" t="s">
        <v>24</v>
      </c>
      <c r="C588">
        <v>190</v>
      </c>
    </row>
    <row r="589" spans="1:3">
      <c r="A589" s="30">
        <v>43042</v>
      </c>
      <c r="B589" t="s">
        <v>36</v>
      </c>
      <c r="C589">
        <v>129</v>
      </c>
    </row>
    <row r="590" spans="1:3">
      <c r="A590" s="30">
        <v>43043</v>
      </c>
      <c r="B590" t="s">
        <v>37</v>
      </c>
      <c r="C590">
        <v>140</v>
      </c>
    </row>
    <row r="591" spans="1:3">
      <c r="A591" s="30">
        <v>43047</v>
      </c>
      <c r="B591" t="s">
        <v>36</v>
      </c>
      <c r="C591">
        <v>19</v>
      </c>
    </row>
    <row r="592" spans="1:3">
      <c r="A592" s="30">
        <v>43046</v>
      </c>
      <c r="B592" t="s">
        <v>37</v>
      </c>
      <c r="C592">
        <v>88</v>
      </c>
    </row>
    <row r="593" spans="1:3">
      <c r="A593" s="30">
        <v>43040</v>
      </c>
      <c r="B593" t="s">
        <v>36</v>
      </c>
      <c r="C593">
        <v>132</v>
      </c>
    </row>
    <row r="594" spans="1:3">
      <c r="A594" s="30">
        <v>43040</v>
      </c>
      <c r="B594" t="s">
        <v>26</v>
      </c>
      <c r="C594">
        <v>38</v>
      </c>
    </row>
    <row r="595" spans="1:3">
      <c r="A595" s="30">
        <v>43046</v>
      </c>
      <c r="B595" t="s">
        <v>36</v>
      </c>
      <c r="C595">
        <v>82</v>
      </c>
    </row>
    <row r="596" spans="1:3">
      <c r="A596" s="30">
        <v>43047</v>
      </c>
      <c r="B596" t="s">
        <v>26</v>
      </c>
      <c r="C596">
        <v>101</v>
      </c>
    </row>
    <row r="597" spans="1:3">
      <c r="A597" s="30">
        <v>43046</v>
      </c>
      <c r="B597" t="s">
        <v>24</v>
      </c>
      <c r="C597">
        <v>89</v>
      </c>
    </row>
    <row r="598" spans="1:3">
      <c r="A598" s="30">
        <v>43045</v>
      </c>
      <c r="B598" t="s">
        <v>24</v>
      </c>
      <c r="C598">
        <v>59</v>
      </c>
    </row>
    <row r="599" spans="1:3">
      <c r="A599" s="30">
        <v>43042</v>
      </c>
      <c r="B599" t="s">
        <v>36</v>
      </c>
      <c r="C599">
        <v>135</v>
      </c>
    </row>
    <row r="600" spans="1:3">
      <c r="A600" s="30">
        <v>43046</v>
      </c>
      <c r="B600" t="s">
        <v>26</v>
      </c>
      <c r="C600">
        <v>151</v>
      </c>
    </row>
    <row r="601" spans="1:3">
      <c r="A601" s="30">
        <v>43045</v>
      </c>
      <c r="B601" t="s">
        <v>26</v>
      </c>
      <c r="C601">
        <v>143</v>
      </c>
    </row>
    <row r="602" spans="1:3">
      <c r="A602" s="30">
        <v>43044</v>
      </c>
      <c r="B602" t="s">
        <v>24</v>
      </c>
      <c r="C602">
        <v>50</v>
      </c>
    </row>
    <row r="603" spans="1:3">
      <c r="A603" s="30">
        <v>43043</v>
      </c>
      <c r="B603" t="s">
        <v>26</v>
      </c>
      <c r="C603">
        <v>135</v>
      </c>
    </row>
    <row r="604" spans="1:3">
      <c r="A604" s="30">
        <v>43045</v>
      </c>
      <c r="B604" t="s">
        <v>37</v>
      </c>
      <c r="C604">
        <v>64</v>
      </c>
    </row>
    <row r="605" spans="1:3">
      <c r="A605" s="30">
        <v>43042</v>
      </c>
      <c r="B605" t="s">
        <v>24</v>
      </c>
      <c r="C605">
        <v>188</v>
      </c>
    </row>
    <row r="606" spans="1:3">
      <c r="A606" s="30">
        <v>43045</v>
      </c>
      <c r="B606" t="s">
        <v>37</v>
      </c>
      <c r="C606">
        <v>40</v>
      </c>
    </row>
    <row r="607" spans="1:3">
      <c r="A607" s="30">
        <v>43042</v>
      </c>
      <c r="B607" t="s">
        <v>36</v>
      </c>
      <c r="C607">
        <v>6</v>
      </c>
    </row>
    <row r="608" spans="1:3">
      <c r="A608" s="30">
        <v>43041</v>
      </c>
      <c r="B608" t="s">
        <v>24</v>
      </c>
      <c r="C608">
        <v>18</v>
      </c>
    </row>
    <row r="609" spans="1:3">
      <c r="A609" s="30">
        <v>43045</v>
      </c>
      <c r="B609" t="s">
        <v>37</v>
      </c>
      <c r="C609">
        <v>126</v>
      </c>
    </row>
    <row r="610" spans="1:3">
      <c r="A610" s="30">
        <v>43044</v>
      </c>
      <c r="B610" t="s">
        <v>37</v>
      </c>
      <c r="C610">
        <v>136</v>
      </c>
    </row>
    <row r="611" spans="1:3">
      <c r="A611" s="30">
        <v>43047</v>
      </c>
      <c r="B611" t="s">
        <v>36</v>
      </c>
      <c r="C611">
        <v>101</v>
      </c>
    </row>
    <row r="612" spans="1:3">
      <c r="A612" s="30">
        <v>43042</v>
      </c>
      <c r="B612" t="s">
        <v>37</v>
      </c>
      <c r="C612">
        <v>23</v>
      </c>
    </row>
    <row r="613" spans="1:3">
      <c r="A613" s="30">
        <v>43040</v>
      </c>
      <c r="B613" t="s">
        <v>26</v>
      </c>
      <c r="C613">
        <v>42</v>
      </c>
    </row>
    <row r="614" spans="1:3">
      <c r="A614" s="30">
        <v>43043</v>
      </c>
      <c r="B614" t="s">
        <v>26</v>
      </c>
      <c r="C614">
        <v>98</v>
      </c>
    </row>
    <row r="615" spans="1:3">
      <c r="A615" s="30">
        <v>43040</v>
      </c>
      <c r="B615" t="s">
        <v>37</v>
      </c>
      <c r="C615">
        <v>104</v>
      </c>
    </row>
    <row r="616" spans="1:3">
      <c r="A616" s="30">
        <v>43043</v>
      </c>
      <c r="B616" t="s">
        <v>37</v>
      </c>
      <c r="C616">
        <v>113</v>
      </c>
    </row>
    <row r="617" spans="1:3">
      <c r="A617" s="30">
        <v>43042</v>
      </c>
      <c r="B617" t="s">
        <v>36</v>
      </c>
      <c r="C617">
        <v>48</v>
      </c>
    </row>
    <row r="618" spans="1:3">
      <c r="A618" s="30">
        <v>43047</v>
      </c>
      <c r="B618" t="s">
        <v>24</v>
      </c>
      <c r="C618">
        <v>168</v>
      </c>
    </row>
    <row r="619" spans="1:3">
      <c r="A619" s="30">
        <v>43040</v>
      </c>
      <c r="B619" t="s">
        <v>36</v>
      </c>
      <c r="C619">
        <v>36</v>
      </c>
    </row>
    <row r="620" spans="1:3">
      <c r="A620" s="30">
        <v>43040</v>
      </c>
      <c r="B620" t="s">
        <v>37</v>
      </c>
      <c r="C620">
        <v>122</v>
      </c>
    </row>
    <row r="621" spans="1:3">
      <c r="A621" s="30">
        <v>43041</v>
      </c>
      <c r="B621" t="s">
        <v>37</v>
      </c>
      <c r="C621">
        <v>136</v>
      </c>
    </row>
    <row r="622" spans="1:3">
      <c r="A622" s="30">
        <v>43040</v>
      </c>
      <c r="B622" t="s">
        <v>26</v>
      </c>
      <c r="C622">
        <v>76</v>
      </c>
    </row>
    <row r="623" spans="1:3">
      <c r="A623" s="30">
        <v>43041</v>
      </c>
      <c r="B623" t="s">
        <v>24</v>
      </c>
      <c r="C623">
        <v>161</v>
      </c>
    </row>
    <row r="624" spans="1:3">
      <c r="A624" s="30">
        <v>43043</v>
      </c>
      <c r="B624" t="s">
        <v>26</v>
      </c>
      <c r="C624">
        <v>187</v>
      </c>
    </row>
    <row r="625" spans="1:3">
      <c r="A625" s="30">
        <v>43044</v>
      </c>
      <c r="B625" t="s">
        <v>26</v>
      </c>
      <c r="C625">
        <v>38</v>
      </c>
    </row>
    <row r="626" spans="1:3">
      <c r="A626" s="30">
        <v>43047</v>
      </c>
      <c r="B626" t="s">
        <v>37</v>
      </c>
      <c r="C626">
        <v>5</v>
      </c>
    </row>
    <row r="627" spans="1:3">
      <c r="A627" s="30">
        <v>43045</v>
      </c>
      <c r="B627" t="s">
        <v>24</v>
      </c>
      <c r="C627">
        <v>44</v>
      </c>
    </row>
    <row r="628" spans="1:3">
      <c r="A628" s="30">
        <v>43041</v>
      </c>
      <c r="B628" t="s">
        <v>24</v>
      </c>
      <c r="C628">
        <v>101</v>
      </c>
    </row>
    <row r="629" spans="1:3">
      <c r="A629" s="30">
        <v>43046</v>
      </c>
      <c r="B629" t="s">
        <v>36</v>
      </c>
      <c r="C629">
        <v>129</v>
      </c>
    </row>
    <row r="630" spans="1:3">
      <c r="A630" s="30">
        <v>43045</v>
      </c>
      <c r="B630" t="s">
        <v>26</v>
      </c>
      <c r="C630">
        <v>170</v>
      </c>
    </row>
    <row r="631" spans="1:3">
      <c r="A631" s="30">
        <v>43047</v>
      </c>
      <c r="B631" t="s">
        <v>26</v>
      </c>
      <c r="C631">
        <v>169</v>
      </c>
    </row>
    <row r="632" spans="1:3">
      <c r="A632" s="30">
        <v>43047</v>
      </c>
      <c r="B632" t="s">
        <v>24</v>
      </c>
      <c r="C632">
        <v>173</v>
      </c>
    </row>
    <row r="633" spans="1:3">
      <c r="A633" s="30">
        <v>43044</v>
      </c>
      <c r="B633" t="s">
        <v>26</v>
      </c>
      <c r="C633">
        <v>155</v>
      </c>
    </row>
    <row r="634" spans="1:3">
      <c r="A634" s="30">
        <v>43043</v>
      </c>
      <c r="B634" t="s">
        <v>37</v>
      </c>
      <c r="C634">
        <v>40</v>
      </c>
    </row>
    <row r="635" spans="1:3">
      <c r="A635" s="30">
        <v>43046</v>
      </c>
      <c r="B635" t="s">
        <v>26</v>
      </c>
      <c r="C635">
        <v>14</v>
      </c>
    </row>
    <row r="636" spans="1:3">
      <c r="A636" s="30">
        <v>43042</v>
      </c>
      <c r="B636" t="s">
        <v>36</v>
      </c>
      <c r="C636">
        <v>172</v>
      </c>
    </row>
    <row r="637" spans="1:3">
      <c r="A637" s="30">
        <v>43044</v>
      </c>
      <c r="B637" t="s">
        <v>37</v>
      </c>
      <c r="C637">
        <v>139</v>
      </c>
    </row>
    <row r="638" spans="1:3">
      <c r="A638" s="30">
        <v>43043</v>
      </c>
      <c r="B638" t="s">
        <v>26</v>
      </c>
      <c r="C638">
        <v>167</v>
      </c>
    </row>
    <row r="639" spans="1:3">
      <c r="A639" s="30">
        <v>43044</v>
      </c>
      <c r="B639" t="s">
        <v>37</v>
      </c>
      <c r="C639">
        <v>191</v>
      </c>
    </row>
    <row r="640" spans="1:3">
      <c r="A640" s="30">
        <v>43040</v>
      </c>
      <c r="B640" t="s">
        <v>24</v>
      </c>
      <c r="C640">
        <v>84</v>
      </c>
    </row>
    <row r="641" spans="1:3">
      <c r="A641" s="30">
        <v>43043</v>
      </c>
      <c r="B641" t="s">
        <v>24</v>
      </c>
      <c r="C641">
        <v>102</v>
      </c>
    </row>
    <row r="642" spans="1:3">
      <c r="A642" s="30">
        <v>43040</v>
      </c>
      <c r="B642" t="s">
        <v>26</v>
      </c>
      <c r="C642">
        <v>100</v>
      </c>
    </row>
    <row r="643" spans="1:3">
      <c r="A643" s="30">
        <v>43044</v>
      </c>
      <c r="B643" t="s">
        <v>24</v>
      </c>
      <c r="C643">
        <v>107</v>
      </c>
    </row>
    <row r="644" spans="1:3">
      <c r="A644" s="30">
        <v>43044</v>
      </c>
      <c r="B644" t="s">
        <v>24</v>
      </c>
      <c r="C644">
        <v>1</v>
      </c>
    </row>
    <row r="645" spans="1:3">
      <c r="A645" s="30">
        <v>43043</v>
      </c>
      <c r="B645" t="s">
        <v>37</v>
      </c>
      <c r="C645">
        <v>92</v>
      </c>
    </row>
    <row r="646" spans="1:3">
      <c r="A646" s="30">
        <v>43044</v>
      </c>
      <c r="B646" t="s">
        <v>37</v>
      </c>
      <c r="C646">
        <v>18</v>
      </c>
    </row>
    <row r="647" spans="1:3">
      <c r="A647" s="30">
        <v>43045</v>
      </c>
      <c r="B647" t="s">
        <v>37</v>
      </c>
      <c r="C647">
        <v>169</v>
      </c>
    </row>
    <row r="648" spans="1:3">
      <c r="A648" s="30">
        <v>43045</v>
      </c>
      <c r="B648" t="s">
        <v>24</v>
      </c>
      <c r="C648">
        <v>129</v>
      </c>
    </row>
    <row r="649" spans="1:3">
      <c r="A649" s="30">
        <v>43042</v>
      </c>
      <c r="B649" t="s">
        <v>24</v>
      </c>
      <c r="C649">
        <v>30</v>
      </c>
    </row>
    <row r="650" spans="1:3">
      <c r="A650" s="30">
        <v>43041</v>
      </c>
      <c r="B650" t="s">
        <v>37</v>
      </c>
      <c r="C650">
        <v>12</v>
      </c>
    </row>
    <row r="651" spans="1:3">
      <c r="A651" s="30">
        <v>43044</v>
      </c>
      <c r="B651" t="s">
        <v>37</v>
      </c>
      <c r="C651">
        <v>59</v>
      </c>
    </row>
    <row r="652" spans="1:3">
      <c r="A652" s="30">
        <v>43047</v>
      </c>
      <c r="B652" t="s">
        <v>26</v>
      </c>
      <c r="C652">
        <v>120</v>
      </c>
    </row>
    <row r="653" spans="1:3">
      <c r="A653" s="30">
        <v>43043</v>
      </c>
      <c r="B653" t="s">
        <v>26</v>
      </c>
      <c r="C653">
        <v>72</v>
      </c>
    </row>
    <row r="654" spans="1:3">
      <c r="A654" s="30">
        <v>43045</v>
      </c>
      <c r="B654" t="s">
        <v>24</v>
      </c>
      <c r="C654">
        <v>111</v>
      </c>
    </row>
    <row r="655" spans="1:3">
      <c r="A655" s="30">
        <v>43040</v>
      </c>
      <c r="B655" t="s">
        <v>24</v>
      </c>
      <c r="C655">
        <v>182</v>
      </c>
    </row>
    <row r="656" spans="1:3">
      <c r="A656" s="30">
        <v>43041</v>
      </c>
      <c r="B656" t="s">
        <v>26</v>
      </c>
      <c r="C656">
        <v>175</v>
      </c>
    </row>
    <row r="657" spans="1:3">
      <c r="A657" s="30">
        <v>43043</v>
      </c>
      <c r="B657" t="s">
        <v>37</v>
      </c>
      <c r="C657">
        <v>8</v>
      </c>
    </row>
    <row r="658" spans="1:3">
      <c r="A658" s="30">
        <v>43041</v>
      </c>
      <c r="B658" t="s">
        <v>24</v>
      </c>
      <c r="C658">
        <v>69</v>
      </c>
    </row>
    <row r="659" spans="1:3">
      <c r="A659" s="30">
        <v>43044</v>
      </c>
      <c r="B659" t="s">
        <v>37</v>
      </c>
      <c r="C659">
        <v>60</v>
      </c>
    </row>
    <row r="660" spans="1:3">
      <c r="A660" s="30">
        <v>43046</v>
      </c>
      <c r="B660" t="s">
        <v>37</v>
      </c>
      <c r="C660">
        <v>25</v>
      </c>
    </row>
    <row r="661" spans="1:3">
      <c r="A661" s="30">
        <v>43045</v>
      </c>
      <c r="B661" t="s">
        <v>36</v>
      </c>
      <c r="C661">
        <v>118</v>
      </c>
    </row>
    <row r="662" spans="1:3">
      <c r="A662" s="30">
        <v>43045</v>
      </c>
      <c r="B662" t="s">
        <v>26</v>
      </c>
      <c r="C662">
        <v>63</v>
      </c>
    </row>
    <row r="663" spans="1:3">
      <c r="A663" s="30">
        <v>43047</v>
      </c>
      <c r="B663" t="s">
        <v>26</v>
      </c>
      <c r="C663">
        <v>123</v>
      </c>
    </row>
    <row r="664" spans="1:3">
      <c r="A664" s="30">
        <v>43042</v>
      </c>
      <c r="B664" t="s">
        <v>36</v>
      </c>
      <c r="C664">
        <v>90</v>
      </c>
    </row>
    <row r="665" spans="1:3">
      <c r="A665" s="30">
        <v>43047</v>
      </c>
      <c r="B665" t="s">
        <v>36</v>
      </c>
      <c r="C665">
        <v>41</v>
      </c>
    </row>
    <row r="666" spans="1:3">
      <c r="A666" s="30">
        <v>43047</v>
      </c>
      <c r="B666" t="s">
        <v>26</v>
      </c>
      <c r="C666">
        <v>162</v>
      </c>
    </row>
    <row r="667" spans="1:3">
      <c r="A667" s="30">
        <v>43046</v>
      </c>
      <c r="B667" t="s">
        <v>37</v>
      </c>
      <c r="C667">
        <v>9</v>
      </c>
    </row>
    <row r="668" spans="1:3">
      <c r="A668" s="30">
        <v>43046</v>
      </c>
      <c r="B668" t="s">
        <v>37</v>
      </c>
      <c r="C668">
        <v>161</v>
      </c>
    </row>
    <row r="669" spans="1:3">
      <c r="A669" s="30">
        <v>43046</v>
      </c>
      <c r="B669" t="s">
        <v>24</v>
      </c>
      <c r="C669">
        <v>30</v>
      </c>
    </row>
    <row r="670" spans="1:3">
      <c r="A670" s="30">
        <v>43044</v>
      </c>
      <c r="B670" t="s">
        <v>37</v>
      </c>
      <c r="C670">
        <v>120</v>
      </c>
    </row>
    <row r="671" spans="1:3">
      <c r="A671" s="30">
        <v>43044</v>
      </c>
      <c r="B671" t="s">
        <v>36</v>
      </c>
      <c r="C671">
        <v>39</v>
      </c>
    </row>
    <row r="672" spans="1:3">
      <c r="A672" s="30">
        <v>43047</v>
      </c>
      <c r="B672" t="s">
        <v>37</v>
      </c>
      <c r="C672">
        <v>131</v>
      </c>
    </row>
    <row r="673" spans="1:3">
      <c r="A673" s="30">
        <v>43045</v>
      </c>
      <c r="B673" t="s">
        <v>24</v>
      </c>
      <c r="C673">
        <v>90</v>
      </c>
    </row>
    <row r="674" spans="1:3">
      <c r="A674" s="30">
        <v>43044</v>
      </c>
      <c r="B674" t="s">
        <v>26</v>
      </c>
      <c r="C674">
        <v>171</v>
      </c>
    </row>
    <row r="675" spans="1:3">
      <c r="A675" s="30">
        <v>43045</v>
      </c>
      <c r="B675" t="s">
        <v>26</v>
      </c>
      <c r="C675">
        <v>158</v>
      </c>
    </row>
    <row r="676" spans="1:3">
      <c r="A676" s="30">
        <v>43041</v>
      </c>
      <c r="B676" t="s">
        <v>26</v>
      </c>
      <c r="C676">
        <v>130</v>
      </c>
    </row>
    <row r="677" spans="1:3">
      <c r="A677" s="30">
        <v>43046</v>
      </c>
      <c r="B677" t="s">
        <v>24</v>
      </c>
      <c r="C677">
        <v>149</v>
      </c>
    </row>
    <row r="678" spans="1:3">
      <c r="A678" s="30">
        <v>43047</v>
      </c>
      <c r="B678" t="s">
        <v>37</v>
      </c>
      <c r="C678">
        <v>143</v>
      </c>
    </row>
    <row r="679" spans="1:3">
      <c r="A679" s="30">
        <v>43040</v>
      </c>
      <c r="B679" t="s">
        <v>24</v>
      </c>
      <c r="C679">
        <v>48</v>
      </c>
    </row>
    <row r="680" spans="1:3">
      <c r="A680" s="30">
        <v>43044</v>
      </c>
      <c r="B680" t="s">
        <v>36</v>
      </c>
      <c r="C680">
        <v>17</v>
      </c>
    </row>
    <row r="681" spans="1:3">
      <c r="A681" s="30">
        <v>43042</v>
      </c>
      <c r="B681" t="s">
        <v>26</v>
      </c>
      <c r="C681">
        <v>35</v>
      </c>
    </row>
    <row r="682" spans="1:3">
      <c r="A682" s="30">
        <v>43044</v>
      </c>
      <c r="B682" t="s">
        <v>37</v>
      </c>
      <c r="C682">
        <v>168</v>
      </c>
    </row>
    <row r="683" spans="1:3">
      <c r="A683" s="30">
        <v>43041</v>
      </c>
      <c r="B683" t="s">
        <v>37</v>
      </c>
      <c r="C683">
        <v>106</v>
      </c>
    </row>
    <row r="684" spans="1:3">
      <c r="A684" s="30">
        <v>43044</v>
      </c>
      <c r="B684" t="s">
        <v>36</v>
      </c>
      <c r="C684">
        <v>36</v>
      </c>
    </row>
    <row r="685" spans="1:3">
      <c r="A685" s="30">
        <v>43041</v>
      </c>
      <c r="B685" t="s">
        <v>36</v>
      </c>
      <c r="C685">
        <v>19</v>
      </c>
    </row>
    <row r="686" spans="1:3">
      <c r="A686" s="30">
        <v>43044</v>
      </c>
      <c r="B686" t="s">
        <v>36</v>
      </c>
      <c r="C686">
        <v>173</v>
      </c>
    </row>
    <row r="687" spans="1:3">
      <c r="A687" s="30">
        <v>43042</v>
      </c>
      <c r="B687" t="s">
        <v>26</v>
      </c>
      <c r="C687">
        <v>66</v>
      </c>
    </row>
    <row r="688" spans="1:3">
      <c r="A688" s="30">
        <v>43045</v>
      </c>
      <c r="B688" t="s">
        <v>36</v>
      </c>
      <c r="C688">
        <v>25</v>
      </c>
    </row>
    <row r="689" spans="1:3">
      <c r="A689" s="30">
        <v>43043</v>
      </c>
      <c r="B689" t="s">
        <v>37</v>
      </c>
      <c r="C689">
        <v>47</v>
      </c>
    </row>
    <row r="690" spans="1:3">
      <c r="A690" s="30">
        <v>43047</v>
      </c>
      <c r="B690" t="s">
        <v>37</v>
      </c>
      <c r="C690">
        <v>49</v>
      </c>
    </row>
    <row r="691" spans="1:3">
      <c r="A691" s="30">
        <v>43047</v>
      </c>
      <c r="B691" t="s">
        <v>26</v>
      </c>
      <c r="C691">
        <v>1</v>
      </c>
    </row>
    <row r="692" spans="1:3">
      <c r="A692" s="30">
        <v>43042</v>
      </c>
      <c r="B692" t="s">
        <v>24</v>
      </c>
      <c r="C692">
        <v>75</v>
      </c>
    </row>
    <row r="693" spans="1:3">
      <c r="A693" s="30">
        <v>43045</v>
      </c>
      <c r="B693" t="s">
        <v>37</v>
      </c>
      <c r="C693">
        <v>137</v>
      </c>
    </row>
    <row r="694" spans="1:3">
      <c r="A694" s="30">
        <v>43040</v>
      </c>
      <c r="B694" t="s">
        <v>24</v>
      </c>
      <c r="C694">
        <v>101</v>
      </c>
    </row>
    <row r="695" spans="1:3">
      <c r="A695" s="30">
        <v>43046</v>
      </c>
      <c r="B695" t="s">
        <v>26</v>
      </c>
      <c r="C695">
        <v>11</v>
      </c>
    </row>
    <row r="696" spans="1:3">
      <c r="A696" s="30">
        <v>43042</v>
      </c>
      <c r="B696" t="s">
        <v>36</v>
      </c>
      <c r="C696">
        <v>42</v>
      </c>
    </row>
    <row r="697" spans="1:3">
      <c r="A697" s="30">
        <v>43040</v>
      </c>
      <c r="B697" t="s">
        <v>37</v>
      </c>
      <c r="C697">
        <v>185</v>
      </c>
    </row>
    <row r="698" spans="1:3">
      <c r="A698" s="30">
        <v>43043</v>
      </c>
      <c r="B698" t="s">
        <v>37</v>
      </c>
      <c r="C698">
        <v>160</v>
      </c>
    </row>
    <row r="699" spans="1:3">
      <c r="A699" s="30">
        <v>43043</v>
      </c>
      <c r="B699" t="s">
        <v>37</v>
      </c>
      <c r="C699">
        <v>7</v>
      </c>
    </row>
    <row r="700" spans="1:3">
      <c r="A700" s="30">
        <v>43044</v>
      </c>
      <c r="B700" t="s">
        <v>24</v>
      </c>
      <c r="C700">
        <v>1</v>
      </c>
    </row>
    <row r="701" spans="1:3">
      <c r="A701" s="30">
        <v>43045</v>
      </c>
      <c r="B701" t="s">
        <v>37</v>
      </c>
      <c r="C701">
        <v>80</v>
      </c>
    </row>
    <row r="702" spans="1:3">
      <c r="A702" s="30">
        <v>43047</v>
      </c>
      <c r="B702" t="s">
        <v>26</v>
      </c>
      <c r="C702">
        <v>117</v>
      </c>
    </row>
    <row r="703" spans="1:3">
      <c r="A703" s="30">
        <v>43041</v>
      </c>
      <c r="B703" t="s">
        <v>36</v>
      </c>
      <c r="C703">
        <v>37</v>
      </c>
    </row>
    <row r="704" spans="1:3">
      <c r="A704" s="30">
        <v>43040</v>
      </c>
      <c r="B704" t="s">
        <v>37</v>
      </c>
      <c r="C704">
        <v>179</v>
      </c>
    </row>
    <row r="705" spans="1:3">
      <c r="A705" s="30">
        <v>43046</v>
      </c>
      <c r="B705" t="s">
        <v>26</v>
      </c>
      <c r="C705">
        <v>60</v>
      </c>
    </row>
    <row r="706" spans="1:3">
      <c r="A706" s="30">
        <v>43043</v>
      </c>
      <c r="B706" t="s">
        <v>36</v>
      </c>
      <c r="C706">
        <v>60</v>
      </c>
    </row>
    <row r="707" spans="1:3">
      <c r="A707" s="30">
        <v>43044</v>
      </c>
      <c r="B707" t="s">
        <v>26</v>
      </c>
      <c r="C707">
        <v>79</v>
      </c>
    </row>
    <row r="708" spans="1:3">
      <c r="A708" s="30">
        <v>43047</v>
      </c>
      <c r="B708" t="s">
        <v>26</v>
      </c>
      <c r="C708">
        <v>63</v>
      </c>
    </row>
    <row r="709" spans="1:3">
      <c r="A709" s="30">
        <v>43040</v>
      </c>
      <c r="B709" t="s">
        <v>37</v>
      </c>
      <c r="C709">
        <v>145</v>
      </c>
    </row>
    <row r="710" spans="1:3">
      <c r="A710" s="30">
        <v>43045</v>
      </c>
      <c r="B710" t="s">
        <v>24</v>
      </c>
      <c r="C710">
        <v>39</v>
      </c>
    </row>
    <row r="711" spans="1:3">
      <c r="A711" s="30">
        <v>43043</v>
      </c>
      <c r="B711" t="s">
        <v>26</v>
      </c>
      <c r="C711">
        <v>117</v>
      </c>
    </row>
    <row r="712" spans="1:3">
      <c r="A712" s="30">
        <v>43044</v>
      </c>
      <c r="B712" t="s">
        <v>36</v>
      </c>
      <c r="C712">
        <v>127</v>
      </c>
    </row>
    <row r="713" spans="1:3">
      <c r="A713" s="30">
        <v>43047</v>
      </c>
      <c r="B713" t="s">
        <v>26</v>
      </c>
      <c r="C713">
        <v>13</v>
      </c>
    </row>
    <row r="714" spans="1:3">
      <c r="A714" s="30">
        <v>43044</v>
      </c>
      <c r="B714" t="s">
        <v>26</v>
      </c>
      <c r="C714">
        <v>92</v>
      </c>
    </row>
    <row r="715" spans="1:3">
      <c r="A715" s="30">
        <v>43047</v>
      </c>
      <c r="B715" t="s">
        <v>26</v>
      </c>
      <c r="C715">
        <v>147</v>
      </c>
    </row>
    <row r="716" spans="1:3">
      <c r="A716" s="30">
        <v>43041</v>
      </c>
      <c r="B716" t="s">
        <v>37</v>
      </c>
      <c r="C716">
        <v>175</v>
      </c>
    </row>
    <row r="717" spans="1:3">
      <c r="A717" s="30">
        <v>43041</v>
      </c>
      <c r="B717" t="s">
        <v>26</v>
      </c>
      <c r="C717">
        <v>165</v>
      </c>
    </row>
    <row r="718" spans="1:3">
      <c r="A718" s="30">
        <v>43041</v>
      </c>
      <c r="B718" t="s">
        <v>37</v>
      </c>
      <c r="C718">
        <v>10</v>
      </c>
    </row>
    <row r="719" spans="1:3">
      <c r="A719" s="30">
        <v>43042</v>
      </c>
      <c r="B719" t="s">
        <v>36</v>
      </c>
      <c r="C719">
        <v>110</v>
      </c>
    </row>
    <row r="720" spans="1:3">
      <c r="A720" s="30">
        <v>43040</v>
      </c>
      <c r="B720" t="s">
        <v>26</v>
      </c>
      <c r="C720">
        <v>133</v>
      </c>
    </row>
    <row r="721" spans="1:3">
      <c r="A721" s="30">
        <v>43041</v>
      </c>
      <c r="B721" t="s">
        <v>37</v>
      </c>
      <c r="C721">
        <v>191</v>
      </c>
    </row>
    <row r="722" spans="1:3">
      <c r="A722" s="30">
        <v>43043</v>
      </c>
      <c r="B722" t="s">
        <v>26</v>
      </c>
      <c r="C722">
        <v>123</v>
      </c>
    </row>
    <row r="723" spans="1:3">
      <c r="A723" s="30">
        <v>43046</v>
      </c>
      <c r="B723" t="s">
        <v>36</v>
      </c>
      <c r="C723">
        <v>26</v>
      </c>
    </row>
    <row r="724" spans="1:3">
      <c r="A724" s="30">
        <v>43047</v>
      </c>
      <c r="B724" t="s">
        <v>26</v>
      </c>
      <c r="C724">
        <v>88</v>
      </c>
    </row>
    <row r="725" spans="1:3">
      <c r="A725" s="30">
        <v>43046</v>
      </c>
      <c r="B725" t="s">
        <v>36</v>
      </c>
      <c r="C725">
        <v>119</v>
      </c>
    </row>
    <row r="726" spans="1:3">
      <c r="A726" s="30">
        <v>43043</v>
      </c>
      <c r="B726" t="s">
        <v>26</v>
      </c>
      <c r="C726">
        <v>78</v>
      </c>
    </row>
    <row r="727" spans="1:3">
      <c r="A727" s="30">
        <v>43040</v>
      </c>
      <c r="B727" t="s">
        <v>24</v>
      </c>
      <c r="C727">
        <v>141</v>
      </c>
    </row>
    <row r="728" spans="1:3">
      <c r="A728" s="30">
        <v>43040</v>
      </c>
      <c r="B728" t="s">
        <v>37</v>
      </c>
      <c r="C728">
        <v>187</v>
      </c>
    </row>
    <row r="729" spans="1:3">
      <c r="A729" s="30">
        <v>43043</v>
      </c>
      <c r="B729" t="s">
        <v>26</v>
      </c>
      <c r="C729">
        <v>2</v>
      </c>
    </row>
    <row r="730" spans="1:3">
      <c r="A730" s="30">
        <v>43044</v>
      </c>
      <c r="B730" t="s">
        <v>37</v>
      </c>
      <c r="C730">
        <v>163</v>
      </c>
    </row>
    <row r="731" spans="1:3">
      <c r="A731" s="30">
        <v>43045</v>
      </c>
      <c r="B731" t="s">
        <v>26</v>
      </c>
      <c r="C731">
        <v>106</v>
      </c>
    </row>
    <row r="732" spans="1:3">
      <c r="A732" s="30">
        <v>43044</v>
      </c>
      <c r="B732" t="s">
        <v>24</v>
      </c>
      <c r="C732">
        <v>9</v>
      </c>
    </row>
    <row r="733" spans="1:3">
      <c r="A733" s="30">
        <v>43040</v>
      </c>
      <c r="B733" t="s">
        <v>26</v>
      </c>
      <c r="C733">
        <v>70</v>
      </c>
    </row>
    <row r="734" spans="1:3">
      <c r="A734" s="30">
        <v>43044</v>
      </c>
      <c r="B734" t="s">
        <v>37</v>
      </c>
      <c r="C734">
        <v>88</v>
      </c>
    </row>
    <row r="735" spans="1:3">
      <c r="A735" s="30">
        <v>43040</v>
      </c>
      <c r="B735" t="s">
        <v>26</v>
      </c>
      <c r="C735">
        <v>129</v>
      </c>
    </row>
    <row r="736" spans="1:3">
      <c r="A736" s="30">
        <v>43040</v>
      </c>
      <c r="B736" t="s">
        <v>26</v>
      </c>
      <c r="C736">
        <v>50</v>
      </c>
    </row>
    <row r="737" spans="1:3">
      <c r="A737" s="30">
        <v>43041</v>
      </c>
      <c r="B737" t="s">
        <v>26</v>
      </c>
      <c r="C737">
        <v>158</v>
      </c>
    </row>
    <row r="738" spans="1:3">
      <c r="A738" s="30">
        <v>43046</v>
      </c>
      <c r="B738" t="s">
        <v>37</v>
      </c>
      <c r="C738">
        <v>166</v>
      </c>
    </row>
    <row r="739" spans="1:3">
      <c r="A739" s="30">
        <v>43047</v>
      </c>
      <c r="B739" t="s">
        <v>24</v>
      </c>
      <c r="C739">
        <v>151</v>
      </c>
    </row>
    <row r="740" spans="1:3">
      <c r="A740" s="30">
        <v>43042</v>
      </c>
      <c r="B740" t="s">
        <v>24</v>
      </c>
      <c r="C740">
        <v>110</v>
      </c>
    </row>
    <row r="741" spans="1:3">
      <c r="A741" s="30">
        <v>43040</v>
      </c>
      <c r="B741" t="s">
        <v>37</v>
      </c>
      <c r="C741">
        <v>13</v>
      </c>
    </row>
    <row r="742" spans="1:3">
      <c r="A742" s="30">
        <v>43040</v>
      </c>
      <c r="B742" t="s">
        <v>26</v>
      </c>
      <c r="C742">
        <v>85</v>
      </c>
    </row>
    <row r="743" spans="1:3">
      <c r="A743" s="30">
        <v>43046</v>
      </c>
      <c r="B743" t="s">
        <v>24</v>
      </c>
      <c r="C743">
        <v>74</v>
      </c>
    </row>
    <row r="744" spans="1:3">
      <c r="A744" s="30">
        <v>43044</v>
      </c>
      <c r="B744" t="s">
        <v>26</v>
      </c>
      <c r="C744">
        <v>169</v>
      </c>
    </row>
    <row r="745" spans="1:3">
      <c r="A745" s="30">
        <v>43044</v>
      </c>
      <c r="B745" t="s">
        <v>24</v>
      </c>
      <c r="C745">
        <v>89</v>
      </c>
    </row>
    <row r="746" spans="1:3">
      <c r="A746" s="30">
        <v>43042</v>
      </c>
      <c r="B746" t="s">
        <v>37</v>
      </c>
      <c r="C746">
        <v>189</v>
      </c>
    </row>
    <row r="747" spans="1:3">
      <c r="A747" s="30">
        <v>43042</v>
      </c>
      <c r="B747" t="s">
        <v>24</v>
      </c>
      <c r="C747">
        <v>138</v>
      </c>
    </row>
    <row r="748" spans="1:3">
      <c r="A748" s="30">
        <v>43047</v>
      </c>
      <c r="B748" t="s">
        <v>36</v>
      </c>
      <c r="C748">
        <v>6</v>
      </c>
    </row>
    <row r="749" spans="1:3">
      <c r="A749" s="30">
        <v>43042</v>
      </c>
      <c r="B749" t="s">
        <v>24</v>
      </c>
      <c r="C749">
        <v>133</v>
      </c>
    </row>
    <row r="750" spans="1:3">
      <c r="A750" s="30">
        <v>43046</v>
      </c>
      <c r="B750" t="s">
        <v>24</v>
      </c>
      <c r="C750">
        <v>95</v>
      </c>
    </row>
    <row r="751" spans="1:3">
      <c r="A751" s="30">
        <v>43045</v>
      </c>
      <c r="B751" t="s">
        <v>36</v>
      </c>
      <c r="C751">
        <v>133</v>
      </c>
    </row>
    <row r="752" spans="1:3">
      <c r="A752" s="30">
        <v>43047</v>
      </c>
      <c r="B752" t="s">
        <v>26</v>
      </c>
      <c r="C752">
        <v>164</v>
      </c>
    </row>
    <row r="753" spans="1:3">
      <c r="A753" s="30">
        <v>43046</v>
      </c>
      <c r="B753" t="s">
        <v>37</v>
      </c>
      <c r="C753">
        <v>30</v>
      </c>
    </row>
    <row r="754" spans="1:3">
      <c r="A754" s="30">
        <v>43046</v>
      </c>
      <c r="B754" t="s">
        <v>36</v>
      </c>
      <c r="C754">
        <v>113</v>
      </c>
    </row>
    <row r="755" spans="1:3">
      <c r="A755" s="30">
        <v>43043</v>
      </c>
      <c r="B755" t="s">
        <v>26</v>
      </c>
      <c r="C755">
        <v>3</v>
      </c>
    </row>
    <row r="756" spans="1:3">
      <c r="A756" s="30">
        <v>43046</v>
      </c>
      <c r="B756" t="s">
        <v>24</v>
      </c>
      <c r="C756">
        <v>167</v>
      </c>
    </row>
    <row r="757" spans="1:3">
      <c r="A757" s="30">
        <v>43046</v>
      </c>
      <c r="B757" t="s">
        <v>26</v>
      </c>
      <c r="C757">
        <v>148</v>
      </c>
    </row>
    <row r="758" spans="1:3">
      <c r="A758" s="30">
        <v>43042</v>
      </c>
      <c r="B758" t="s">
        <v>24</v>
      </c>
      <c r="C758">
        <v>167</v>
      </c>
    </row>
    <row r="759" spans="1:3">
      <c r="A759" s="30">
        <v>43047</v>
      </c>
      <c r="B759" t="s">
        <v>36</v>
      </c>
      <c r="C759">
        <v>25</v>
      </c>
    </row>
    <row r="760" spans="1:3">
      <c r="A760" s="30">
        <v>43043</v>
      </c>
      <c r="B760" t="s">
        <v>37</v>
      </c>
      <c r="C760">
        <v>130</v>
      </c>
    </row>
    <row r="761" spans="1:3">
      <c r="A761" s="30">
        <v>43043</v>
      </c>
      <c r="B761" t="s">
        <v>24</v>
      </c>
      <c r="C761">
        <v>19</v>
      </c>
    </row>
    <row r="762" spans="1:3">
      <c r="A762" s="30">
        <v>43040</v>
      </c>
      <c r="B762" t="s">
        <v>37</v>
      </c>
      <c r="C762">
        <v>33</v>
      </c>
    </row>
    <row r="763" spans="1:3">
      <c r="A763" s="30">
        <v>43046</v>
      </c>
      <c r="B763" t="s">
        <v>26</v>
      </c>
      <c r="C763">
        <v>86</v>
      </c>
    </row>
    <row r="764" spans="1:3">
      <c r="A764" s="30">
        <v>43047</v>
      </c>
      <c r="B764" t="s">
        <v>24</v>
      </c>
      <c r="C764">
        <v>50</v>
      </c>
    </row>
    <row r="765" spans="1:3">
      <c r="A765" s="30">
        <v>43044</v>
      </c>
      <c r="B765" t="s">
        <v>37</v>
      </c>
      <c r="C765">
        <v>68</v>
      </c>
    </row>
    <row r="766" spans="1:3">
      <c r="A766" s="30">
        <v>43041</v>
      </c>
      <c r="B766" t="s">
        <v>24</v>
      </c>
      <c r="C766">
        <v>77</v>
      </c>
    </row>
    <row r="767" spans="1:3">
      <c r="A767" s="30">
        <v>43042</v>
      </c>
      <c r="B767" t="s">
        <v>26</v>
      </c>
      <c r="C767">
        <v>20</v>
      </c>
    </row>
    <row r="768" spans="1:3">
      <c r="A768" s="30">
        <v>43040</v>
      </c>
      <c r="B768" t="s">
        <v>24</v>
      </c>
      <c r="C768">
        <v>132</v>
      </c>
    </row>
    <row r="769" spans="1:3">
      <c r="A769" s="30">
        <v>43047</v>
      </c>
      <c r="B769" t="s">
        <v>37</v>
      </c>
      <c r="C769">
        <v>4</v>
      </c>
    </row>
    <row r="770" spans="1:3">
      <c r="A770" s="30">
        <v>43045</v>
      </c>
      <c r="B770" t="s">
        <v>37</v>
      </c>
      <c r="C770">
        <v>153</v>
      </c>
    </row>
    <row r="771" spans="1:3">
      <c r="A771" s="30">
        <v>43047</v>
      </c>
      <c r="B771" t="s">
        <v>26</v>
      </c>
      <c r="C771">
        <v>29</v>
      </c>
    </row>
    <row r="772" spans="1:3">
      <c r="A772" s="30">
        <v>43042</v>
      </c>
      <c r="B772" t="s">
        <v>24</v>
      </c>
      <c r="C772">
        <v>98</v>
      </c>
    </row>
    <row r="773" spans="1:3">
      <c r="A773" s="30">
        <v>43046</v>
      </c>
      <c r="B773" t="s">
        <v>36</v>
      </c>
      <c r="C773">
        <v>89</v>
      </c>
    </row>
    <row r="774" spans="1:3">
      <c r="A774" s="30">
        <v>43042</v>
      </c>
      <c r="B774" t="s">
        <v>36</v>
      </c>
      <c r="C774">
        <v>129</v>
      </c>
    </row>
    <row r="775" spans="1:3">
      <c r="A775" s="30">
        <v>43046</v>
      </c>
      <c r="B775" t="s">
        <v>36</v>
      </c>
      <c r="C775">
        <v>165</v>
      </c>
    </row>
    <row r="776" spans="1:3">
      <c r="A776" s="30">
        <v>43043</v>
      </c>
      <c r="B776" t="s">
        <v>24</v>
      </c>
      <c r="C776">
        <v>169</v>
      </c>
    </row>
    <row r="777" spans="1:3">
      <c r="A777" s="30">
        <v>43040</v>
      </c>
      <c r="B777" t="s">
        <v>37</v>
      </c>
      <c r="C777">
        <v>191</v>
      </c>
    </row>
    <row r="778" spans="1:3">
      <c r="A778" s="30">
        <v>43047</v>
      </c>
      <c r="B778" t="s">
        <v>36</v>
      </c>
      <c r="C778">
        <v>120</v>
      </c>
    </row>
    <row r="779" spans="1:3">
      <c r="A779" s="30">
        <v>43046</v>
      </c>
      <c r="B779" t="s">
        <v>24</v>
      </c>
      <c r="C779">
        <v>188</v>
      </c>
    </row>
    <row r="780" spans="1:3">
      <c r="A780" s="30">
        <v>43045</v>
      </c>
      <c r="B780" t="s">
        <v>37</v>
      </c>
      <c r="C780">
        <v>101</v>
      </c>
    </row>
    <row r="781" spans="1:3">
      <c r="A781" s="30">
        <v>43044</v>
      </c>
      <c r="B781" t="s">
        <v>26</v>
      </c>
      <c r="C781">
        <v>73</v>
      </c>
    </row>
    <row r="782" spans="1:3">
      <c r="A782" s="30">
        <v>43046</v>
      </c>
      <c r="B782" t="s">
        <v>37</v>
      </c>
      <c r="C782">
        <v>139</v>
      </c>
    </row>
    <row r="783" spans="1:3">
      <c r="A783" s="30">
        <v>43042</v>
      </c>
      <c r="B783" t="s">
        <v>37</v>
      </c>
      <c r="C783">
        <v>168</v>
      </c>
    </row>
    <row r="784" spans="1:3">
      <c r="A784" s="30">
        <v>43046</v>
      </c>
      <c r="B784" t="s">
        <v>24</v>
      </c>
      <c r="C784">
        <v>150</v>
      </c>
    </row>
    <row r="785" spans="1:3">
      <c r="A785" s="30">
        <v>43046</v>
      </c>
      <c r="B785" t="s">
        <v>26</v>
      </c>
      <c r="C785">
        <v>24</v>
      </c>
    </row>
    <row r="786" spans="1:3">
      <c r="A786" s="30">
        <v>43045</v>
      </c>
      <c r="B786" t="s">
        <v>37</v>
      </c>
      <c r="C786">
        <v>94</v>
      </c>
    </row>
    <row r="787" spans="1:3">
      <c r="A787" s="30">
        <v>43040</v>
      </c>
      <c r="B787" t="s">
        <v>36</v>
      </c>
      <c r="C787">
        <v>171</v>
      </c>
    </row>
    <row r="788" spans="1:3">
      <c r="A788" s="30">
        <v>43044</v>
      </c>
      <c r="B788" t="s">
        <v>24</v>
      </c>
      <c r="C788">
        <v>119</v>
      </c>
    </row>
    <row r="789" spans="1:3">
      <c r="A789" s="30">
        <v>43047</v>
      </c>
      <c r="B789" t="s">
        <v>37</v>
      </c>
      <c r="C789">
        <v>157</v>
      </c>
    </row>
    <row r="790" spans="1:3">
      <c r="A790" s="30">
        <v>43045</v>
      </c>
      <c r="B790" t="s">
        <v>24</v>
      </c>
      <c r="C790">
        <v>46</v>
      </c>
    </row>
    <row r="791" spans="1:3">
      <c r="A791" s="30">
        <v>43047</v>
      </c>
      <c r="B791" t="s">
        <v>24</v>
      </c>
      <c r="C791">
        <v>191</v>
      </c>
    </row>
    <row r="792" spans="1:3">
      <c r="A792" s="30">
        <v>43040</v>
      </c>
      <c r="B792" t="s">
        <v>37</v>
      </c>
      <c r="C792">
        <v>83</v>
      </c>
    </row>
    <row r="793" spans="1:3">
      <c r="A793" s="30">
        <v>43042</v>
      </c>
      <c r="B793" t="s">
        <v>24</v>
      </c>
      <c r="C793">
        <v>106</v>
      </c>
    </row>
    <row r="794" spans="1:3">
      <c r="A794" s="30">
        <v>43046</v>
      </c>
      <c r="B794" t="s">
        <v>37</v>
      </c>
      <c r="C794">
        <v>53</v>
      </c>
    </row>
    <row r="795" spans="1:3">
      <c r="A795" s="30">
        <v>43046</v>
      </c>
      <c r="B795" t="s">
        <v>36</v>
      </c>
      <c r="C795">
        <v>178</v>
      </c>
    </row>
    <row r="796" spans="1:3">
      <c r="A796" s="30">
        <v>43044</v>
      </c>
      <c r="B796" t="s">
        <v>24</v>
      </c>
      <c r="C796">
        <v>134</v>
      </c>
    </row>
    <row r="797" spans="1:3">
      <c r="A797" s="30">
        <v>43045</v>
      </c>
      <c r="B797" t="s">
        <v>36</v>
      </c>
      <c r="C797">
        <v>74</v>
      </c>
    </row>
    <row r="798" spans="1:3">
      <c r="A798" s="30">
        <v>43040</v>
      </c>
      <c r="B798" t="s">
        <v>36</v>
      </c>
      <c r="C798">
        <v>38</v>
      </c>
    </row>
    <row r="799" spans="1:3">
      <c r="A799" s="30">
        <v>43043</v>
      </c>
      <c r="B799" t="s">
        <v>37</v>
      </c>
      <c r="C799">
        <v>185</v>
      </c>
    </row>
    <row r="800" spans="1:3">
      <c r="A800" s="30">
        <v>43042</v>
      </c>
      <c r="B800" t="s">
        <v>24</v>
      </c>
      <c r="C800">
        <v>145</v>
      </c>
    </row>
    <row r="801" spans="1:3">
      <c r="A801" s="30">
        <v>43046</v>
      </c>
      <c r="B801" t="s">
        <v>36</v>
      </c>
      <c r="C801">
        <v>119</v>
      </c>
    </row>
    <row r="802" spans="1:3">
      <c r="A802" s="30">
        <v>43045</v>
      </c>
      <c r="B802" t="s">
        <v>36</v>
      </c>
      <c r="C802">
        <v>178</v>
      </c>
    </row>
    <row r="803" spans="1:3">
      <c r="A803" s="30">
        <v>43041</v>
      </c>
      <c r="B803" t="s">
        <v>24</v>
      </c>
      <c r="C803">
        <v>171</v>
      </c>
    </row>
    <row r="804" spans="1:3">
      <c r="A804" s="30">
        <v>43040</v>
      </c>
      <c r="B804" t="s">
        <v>24</v>
      </c>
      <c r="C804">
        <v>33</v>
      </c>
    </row>
    <row r="805" spans="1:3">
      <c r="A805" s="30">
        <v>43044</v>
      </c>
      <c r="B805" t="s">
        <v>26</v>
      </c>
      <c r="C805">
        <v>32</v>
      </c>
    </row>
    <row r="806" spans="1:3">
      <c r="A806" s="30">
        <v>43045</v>
      </c>
      <c r="B806" t="s">
        <v>37</v>
      </c>
      <c r="C806">
        <v>24</v>
      </c>
    </row>
    <row r="807" spans="1:3">
      <c r="A807" s="30">
        <v>43043</v>
      </c>
      <c r="B807" t="s">
        <v>37</v>
      </c>
      <c r="C807">
        <v>166</v>
      </c>
    </row>
    <row r="808" spans="1:3">
      <c r="A808" s="30">
        <v>43043</v>
      </c>
      <c r="B808" t="s">
        <v>26</v>
      </c>
      <c r="C808">
        <v>107</v>
      </c>
    </row>
    <row r="809" spans="1:3">
      <c r="A809" s="30">
        <v>43040</v>
      </c>
      <c r="B809" t="s">
        <v>26</v>
      </c>
      <c r="C809">
        <v>179</v>
      </c>
    </row>
    <row r="810" spans="1:3">
      <c r="A810" s="30">
        <v>43043</v>
      </c>
      <c r="B810" t="s">
        <v>26</v>
      </c>
      <c r="C810">
        <v>164</v>
      </c>
    </row>
    <row r="811" spans="1:3">
      <c r="A811" s="30">
        <v>43045</v>
      </c>
      <c r="B811" t="s">
        <v>36</v>
      </c>
      <c r="C811">
        <v>175</v>
      </c>
    </row>
    <row r="812" spans="1:3">
      <c r="A812" s="30">
        <v>43043</v>
      </c>
      <c r="B812" t="s">
        <v>37</v>
      </c>
      <c r="C812">
        <v>55</v>
      </c>
    </row>
    <row r="813" spans="1:3">
      <c r="A813" s="30">
        <v>43046</v>
      </c>
      <c r="B813" t="s">
        <v>36</v>
      </c>
      <c r="C813">
        <v>165</v>
      </c>
    </row>
    <row r="814" spans="1:3">
      <c r="A814" s="30">
        <v>43047</v>
      </c>
      <c r="B814" t="s">
        <v>37</v>
      </c>
      <c r="C814">
        <v>142</v>
      </c>
    </row>
    <row r="815" spans="1:3">
      <c r="A815" s="30">
        <v>43041</v>
      </c>
      <c r="B815" t="s">
        <v>36</v>
      </c>
      <c r="C815">
        <v>67</v>
      </c>
    </row>
    <row r="816" spans="1:3">
      <c r="A816" s="30">
        <v>43046</v>
      </c>
      <c r="B816" t="s">
        <v>36</v>
      </c>
      <c r="C816">
        <v>73</v>
      </c>
    </row>
    <row r="817" spans="1:3">
      <c r="A817" s="30">
        <v>43044</v>
      </c>
      <c r="B817" t="s">
        <v>24</v>
      </c>
      <c r="C817">
        <v>21</v>
      </c>
    </row>
    <row r="818" spans="1:3">
      <c r="A818" s="30">
        <v>43047</v>
      </c>
      <c r="B818" t="s">
        <v>36</v>
      </c>
      <c r="C818">
        <v>40</v>
      </c>
    </row>
    <row r="819" spans="1:3">
      <c r="A819" s="30">
        <v>43042</v>
      </c>
      <c r="B819" t="s">
        <v>24</v>
      </c>
      <c r="C819">
        <v>175</v>
      </c>
    </row>
    <row r="820" spans="1:3">
      <c r="A820" s="30">
        <v>43040</v>
      </c>
      <c r="B820" t="s">
        <v>37</v>
      </c>
      <c r="C820">
        <v>187</v>
      </c>
    </row>
    <row r="821" spans="1:3">
      <c r="A821" s="30">
        <v>43045</v>
      </c>
      <c r="B821" t="s">
        <v>24</v>
      </c>
      <c r="C821">
        <v>167</v>
      </c>
    </row>
    <row r="822" spans="1:3">
      <c r="A822" s="30">
        <v>43046</v>
      </c>
      <c r="B822" t="s">
        <v>37</v>
      </c>
      <c r="C822">
        <v>70</v>
      </c>
    </row>
    <row r="823" spans="1:3">
      <c r="A823" s="30">
        <v>43043</v>
      </c>
      <c r="B823" t="s">
        <v>37</v>
      </c>
      <c r="C823">
        <v>72</v>
      </c>
    </row>
    <row r="824" spans="1:3">
      <c r="A824" s="30">
        <v>43047</v>
      </c>
      <c r="B824" t="s">
        <v>36</v>
      </c>
      <c r="C824">
        <v>103</v>
      </c>
    </row>
    <row r="825" spans="1:3">
      <c r="A825" s="30">
        <v>43044</v>
      </c>
      <c r="B825" t="s">
        <v>37</v>
      </c>
      <c r="C825">
        <v>88</v>
      </c>
    </row>
    <row r="826" spans="1:3">
      <c r="A826" s="30">
        <v>43043</v>
      </c>
      <c r="B826" t="s">
        <v>37</v>
      </c>
      <c r="C826">
        <v>134</v>
      </c>
    </row>
    <row r="827" spans="1:3">
      <c r="A827" s="30">
        <v>43045</v>
      </c>
      <c r="B827" t="s">
        <v>36</v>
      </c>
      <c r="C827">
        <v>40</v>
      </c>
    </row>
    <row r="828" spans="1:3">
      <c r="A828" s="30">
        <v>43041</v>
      </c>
      <c r="B828" t="s">
        <v>24</v>
      </c>
      <c r="C828">
        <v>19</v>
      </c>
    </row>
    <row r="829" spans="1:3">
      <c r="A829" s="30">
        <v>43043</v>
      </c>
      <c r="B829" t="s">
        <v>36</v>
      </c>
      <c r="C829">
        <v>6</v>
      </c>
    </row>
    <row r="830" spans="1:3">
      <c r="A830" s="30">
        <v>43044</v>
      </c>
      <c r="B830" t="s">
        <v>36</v>
      </c>
      <c r="C830">
        <v>93</v>
      </c>
    </row>
    <row r="831" spans="1:3">
      <c r="A831" s="30">
        <v>43045</v>
      </c>
      <c r="B831" t="s">
        <v>36</v>
      </c>
      <c r="C831">
        <v>147</v>
      </c>
    </row>
    <row r="832" spans="1:3">
      <c r="A832" s="30">
        <v>43046</v>
      </c>
      <c r="B832" t="s">
        <v>24</v>
      </c>
      <c r="C832">
        <v>37</v>
      </c>
    </row>
    <row r="833" spans="1:3">
      <c r="A833" s="30">
        <v>43045</v>
      </c>
      <c r="B833" t="s">
        <v>24</v>
      </c>
      <c r="C833">
        <v>8</v>
      </c>
    </row>
    <row r="834" spans="1:3">
      <c r="A834" s="30">
        <v>43044</v>
      </c>
      <c r="B834" t="s">
        <v>26</v>
      </c>
      <c r="C834">
        <v>137</v>
      </c>
    </row>
    <row r="835" spans="1:3">
      <c r="A835" s="30">
        <v>43041</v>
      </c>
      <c r="B835" t="s">
        <v>24</v>
      </c>
      <c r="C835">
        <v>100</v>
      </c>
    </row>
    <row r="836" spans="1:3">
      <c r="A836" s="30">
        <v>43045</v>
      </c>
      <c r="B836" t="s">
        <v>37</v>
      </c>
      <c r="C836">
        <v>143</v>
      </c>
    </row>
    <row r="837" spans="1:3">
      <c r="A837" s="30">
        <v>43046</v>
      </c>
      <c r="B837" t="s">
        <v>24</v>
      </c>
      <c r="C837">
        <v>99</v>
      </c>
    </row>
    <row r="838" spans="1:3">
      <c r="A838" s="30">
        <v>43046</v>
      </c>
      <c r="B838" t="s">
        <v>26</v>
      </c>
      <c r="C838">
        <v>171</v>
      </c>
    </row>
    <row r="839" spans="1:3">
      <c r="A839" s="30">
        <v>43047</v>
      </c>
      <c r="B839" t="s">
        <v>24</v>
      </c>
      <c r="C839">
        <v>30</v>
      </c>
    </row>
    <row r="840" spans="1:3">
      <c r="A840" s="30">
        <v>43046</v>
      </c>
      <c r="B840" t="s">
        <v>24</v>
      </c>
      <c r="C840">
        <v>145</v>
      </c>
    </row>
    <row r="841" spans="1:3">
      <c r="A841" s="30">
        <v>43041</v>
      </c>
      <c r="B841" t="s">
        <v>36</v>
      </c>
      <c r="C841">
        <v>125</v>
      </c>
    </row>
    <row r="842" spans="1:3">
      <c r="A842" s="30">
        <v>43042</v>
      </c>
      <c r="B842" t="s">
        <v>24</v>
      </c>
      <c r="C842">
        <v>25</v>
      </c>
    </row>
    <row r="843" spans="1:3">
      <c r="A843" s="30">
        <v>43045</v>
      </c>
      <c r="B843" t="s">
        <v>37</v>
      </c>
      <c r="C843">
        <v>126</v>
      </c>
    </row>
    <row r="844" spans="1:3">
      <c r="A844" s="30">
        <v>43045</v>
      </c>
      <c r="B844" t="s">
        <v>24</v>
      </c>
      <c r="C844">
        <v>18</v>
      </c>
    </row>
    <row r="845" spans="1:3">
      <c r="A845" s="30">
        <v>43044</v>
      </c>
      <c r="B845" t="s">
        <v>37</v>
      </c>
      <c r="C845">
        <v>161</v>
      </c>
    </row>
    <row r="846" spans="1:3">
      <c r="A846" s="30">
        <v>43043</v>
      </c>
      <c r="B846" t="s">
        <v>24</v>
      </c>
      <c r="C846">
        <v>166</v>
      </c>
    </row>
    <row r="847" spans="1:3">
      <c r="A847" s="30">
        <v>43042</v>
      </c>
      <c r="B847" t="s">
        <v>37</v>
      </c>
      <c r="C847">
        <v>29</v>
      </c>
    </row>
    <row r="848" spans="1:3">
      <c r="A848" s="30">
        <v>43041</v>
      </c>
      <c r="B848" t="s">
        <v>26</v>
      </c>
      <c r="C848">
        <v>63</v>
      </c>
    </row>
    <row r="849" spans="1:3">
      <c r="A849" s="30">
        <v>43043</v>
      </c>
      <c r="B849" t="s">
        <v>26</v>
      </c>
      <c r="C849">
        <v>11</v>
      </c>
    </row>
    <row r="850" spans="1:3">
      <c r="A850" s="30">
        <v>43044</v>
      </c>
      <c r="B850" t="s">
        <v>36</v>
      </c>
      <c r="C850">
        <v>157</v>
      </c>
    </row>
    <row r="851" spans="1:3">
      <c r="A851" s="30">
        <v>43042</v>
      </c>
      <c r="B851" t="s">
        <v>24</v>
      </c>
      <c r="C851">
        <v>12</v>
      </c>
    </row>
    <row r="852" spans="1:3">
      <c r="A852" s="30">
        <v>43045</v>
      </c>
      <c r="B852" t="s">
        <v>36</v>
      </c>
      <c r="C852">
        <v>71</v>
      </c>
    </row>
    <row r="853" spans="1:3">
      <c r="A853" s="30">
        <v>43043</v>
      </c>
      <c r="B853" t="s">
        <v>37</v>
      </c>
      <c r="C853">
        <v>153</v>
      </c>
    </row>
    <row r="854" spans="1:3">
      <c r="A854" s="30">
        <v>43044</v>
      </c>
      <c r="B854" t="s">
        <v>26</v>
      </c>
      <c r="C854">
        <v>95</v>
      </c>
    </row>
    <row r="855" spans="1:3">
      <c r="A855" s="30">
        <v>43044</v>
      </c>
      <c r="B855" t="s">
        <v>26</v>
      </c>
      <c r="C855">
        <v>31</v>
      </c>
    </row>
    <row r="856" spans="1:3">
      <c r="A856" s="30">
        <v>43044</v>
      </c>
      <c r="B856" t="s">
        <v>37</v>
      </c>
      <c r="C856">
        <v>47</v>
      </c>
    </row>
    <row r="857" spans="1:3">
      <c r="A857" s="30">
        <v>43044</v>
      </c>
      <c r="B857" t="s">
        <v>37</v>
      </c>
      <c r="C857">
        <v>147</v>
      </c>
    </row>
    <row r="858" spans="1:3">
      <c r="A858" s="30">
        <v>43047</v>
      </c>
      <c r="B858" t="s">
        <v>24</v>
      </c>
      <c r="C858">
        <v>135</v>
      </c>
    </row>
    <row r="859" spans="1:3">
      <c r="A859" s="30">
        <v>43040</v>
      </c>
      <c r="B859" t="s">
        <v>24</v>
      </c>
      <c r="C859">
        <v>78</v>
      </c>
    </row>
    <row r="860" spans="1:3">
      <c r="A860" s="30">
        <v>43046</v>
      </c>
      <c r="B860" t="s">
        <v>24</v>
      </c>
      <c r="C860">
        <v>94</v>
      </c>
    </row>
    <row r="861" spans="1:3">
      <c r="A861" s="30">
        <v>43040</v>
      </c>
      <c r="B861" t="s">
        <v>36</v>
      </c>
      <c r="C861">
        <v>97</v>
      </c>
    </row>
    <row r="862" spans="1:3">
      <c r="A862" s="30">
        <v>43045</v>
      </c>
      <c r="B862" t="s">
        <v>26</v>
      </c>
      <c r="C862">
        <v>170</v>
      </c>
    </row>
    <row r="863" spans="1:3">
      <c r="A863" s="30">
        <v>43046</v>
      </c>
      <c r="B863" t="s">
        <v>26</v>
      </c>
      <c r="C863">
        <v>100</v>
      </c>
    </row>
    <row r="864" spans="1:3">
      <c r="A864" s="30">
        <v>43041</v>
      </c>
      <c r="B864" t="s">
        <v>24</v>
      </c>
      <c r="C864">
        <v>57</v>
      </c>
    </row>
    <row r="865" spans="1:3">
      <c r="A865" s="30">
        <v>43044</v>
      </c>
      <c r="B865" t="s">
        <v>37</v>
      </c>
      <c r="C865">
        <v>133</v>
      </c>
    </row>
    <row r="866" spans="1:3">
      <c r="A866" s="30">
        <v>43045</v>
      </c>
      <c r="B866" t="s">
        <v>36</v>
      </c>
      <c r="C866">
        <v>176</v>
      </c>
    </row>
    <row r="867" spans="1:3">
      <c r="A867" s="30">
        <v>43041</v>
      </c>
      <c r="B867" t="s">
        <v>24</v>
      </c>
      <c r="C867">
        <v>165</v>
      </c>
    </row>
    <row r="868" spans="1:3">
      <c r="A868" s="30">
        <v>43040</v>
      </c>
      <c r="B868" t="s">
        <v>36</v>
      </c>
      <c r="C868">
        <v>182</v>
      </c>
    </row>
    <row r="869" spans="1:3">
      <c r="A869" s="30">
        <v>43043</v>
      </c>
      <c r="B869" t="s">
        <v>26</v>
      </c>
      <c r="C869">
        <v>72</v>
      </c>
    </row>
    <row r="870" spans="1:3">
      <c r="A870" s="30">
        <v>43045</v>
      </c>
      <c r="B870" t="s">
        <v>26</v>
      </c>
      <c r="C870">
        <v>45</v>
      </c>
    </row>
    <row r="871" spans="1:3">
      <c r="A871" s="30">
        <v>43047</v>
      </c>
      <c r="B871" t="s">
        <v>37</v>
      </c>
      <c r="C871">
        <v>52</v>
      </c>
    </row>
    <row r="872" spans="1:3">
      <c r="A872" s="30">
        <v>43047</v>
      </c>
      <c r="B872" t="s">
        <v>36</v>
      </c>
      <c r="C872">
        <v>10</v>
      </c>
    </row>
    <row r="873" spans="1:3">
      <c r="A873" s="30">
        <v>43046</v>
      </c>
      <c r="B873" t="s">
        <v>24</v>
      </c>
      <c r="C873">
        <v>167</v>
      </c>
    </row>
    <row r="874" spans="1:3">
      <c r="A874" s="30">
        <v>43041</v>
      </c>
      <c r="B874" t="s">
        <v>24</v>
      </c>
      <c r="C874">
        <v>49</v>
      </c>
    </row>
    <row r="875" spans="1:3">
      <c r="A875" s="30">
        <v>43044</v>
      </c>
      <c r="B875" t="s">
        <v>36</v>
      </c>
      <c r="C875">
        <v>51</v>
      </c>
    </row>
    <row r="876" spans="1:3">
      <c r="A876" s="30">
        <v>43044</v>
      </c>
      <c r="B876" t="s">
        <v>36</v>
      </c>
      <c r="C876">
        <v>146</v>
      </c>
    </row>
    <row r="877" spans="1:3">
      <c r="A877" s="30">
        <v>43043</v>
      </c>
      <c r="B877" t="s">
        <v>26</v>
      </c>
      <c r="C877">
        <v>138</v>
      </c>
    </row>
    <row r="878" spans="1:3">
      <c r="A878" s="30">
        <v>43047</v>
      </c>
      <c r="B878" t="s">
        <v>26</v>
      </c>
      <c r="C878">
        <v>162</v>
      </c>
    </row>
    <row r="879" spans="1:3">
      <c r="A879" s="30">
        <v>43046</v>
      </c>
      <c r="B879" t="s">
        <v>36</v>
      </c>
      <c r="C879">
        <v>134</v>
      </c>
    </row>
    <row r="880" spans="1:3">
      <c r="A880" s="30">
        <v>43046</v>
      </c>
      <c r="B880" t="s">
        <v>26</v>
      </c>
      <c r="C880">
        <v>177</v>
      </c>
    </row>
    <row r="881" spans="1:3">
      <c r="A881" s="30">
        <v>43046</v>
      </c>
      <c r="B881" t="s">
        <v>24</v>
      </c>
      <c r="C881">
        <v>131</v>
      </c>
    </row>
    <row r="882" spans="1:3">
      <c r="A882" s="30">
        <v>43045</v>
      </c>
      <c r="B882" t="s">
        <v>24</v>
      </c>
      <c r="C882">
        <v>97</v>
      </c>
    </row>
    <row r="883" spans="1:3">
      <c r="A883" s="30">
        <v>43040</v>
      </c>
      <c r="B883" t="s">
        <v>36</v>
      </c>
      <c r="C883">
        <v>67</v>
      </c>
    </row>
    <row r="884" spans="1:3">
      <c r="A884" s="30">
        <v>43047</v>
      </c>
      <c r="B884" t="s">
        <v>36</v>
      </c>
      <c r="C884">
        <v>91</v>
      </c>
    </row>
    <row r="885" spans="1:3">
      <c r="A885" s="30">
        <v>43045</v>
      </c>
      <c r="B885" t="s">
        <v>26</v>
      </c>
      <c r="C885">
        <v>24</v>
      </c>
    </row>
    <row r="886" spans="1:3">
      <c r="A886" s="30">
        <v>43047</v>
      </c>
      <c r="B886" t="s">
        <v>36</v>
      </c>
      <c r="C886">
        <v>84</v>
      </c>
    </row>
    <row r="887" spans="1:3">
      <c r="A887" s="30">
        <v>43042</v>
      </c>
      <c r="B887" t="s">
        <v>26</v>
      </c>
      <c r="C887">
        <v>137</v>
      </c>
    </row>
    <row r="888" spans="1:3">
      <c r="A888" s="30">
        <v>43045</v>
      </c>
      <c r="B888" t="s">
        <v>36</v>
      </c>
      <c r="C888">
        <v>176</v>
      </c>
    </row>
    <row r="889" spans="1:3">
      <c r="A889" s="30">
        <v>43045</v>
      </c>
      <c r="B889" t="s">
        <v>24</v>
      </c>
      <c r="C889">
        <v>30</v>
      </c>
    </row>
    <row r="890" spans="1:3">
      <c r="A890" s="30">
        <v>43042</v>
      </c>
      <c r="B890" t="s">
        <v>26</v>
      </c>
      <c r="C890">
        <v>7</v>
      </c>
    </row>
    <row r="891" spans="1:3">
      <c r="A891" s="30">
        <v>43046</v>
      </c>
      <c r="B891" t="s">
        <v>36</v>
      </c>
      <c r="C891">
        <v>168</v>
      </c>
    </row>
    <row r="892" spans="1:3">
      <c r="A892" s="30">
        <v>43045</v>
      </c>
      <c r="B892" t="s">
        <v>37</v>
      </c>
      <c r="C892">
        <v>23</v>
      </c>
    </row>
    <row r="893" spans="1:3">
      <c r="A893" s="30">
        <v>43040</v>
      </c>
      <c r="B893" t="s">
        <v>24</v>
      </c>
      <c r="C893">
        <v>109</v>
      </c>
    </row>
    <row r="894" spans="1:3">
      <c r="A894" s="30">
        <v>43043</v>
      </c>
      <c r="B894" t="s">
        <v>36</v>
      </c>
      <c r="C894">
        <v>45</v>
      </c>
    </row>
    <row r="895" spans="1:3">
      <c r="A895" s="30">
        <v>43040</v>
      </c>
      <c r="B895" t="s">
        <v>37</v>
      </c>
      <c r="C895">
        <v>86</v>
      </c>
    </row>
    <row r="896" spans="1:3">
      <c r="A896" s="30">
        <v>43043</v>
      </c>
      <c r="B896" t="s">
        <v>36</v>
      </c>
      <c r="C896">
        <v>130</v>
      </c>
    </row>
    <row r="897" spans="1:3">
      <c r="A897" s="30">
        <v>43041</v>
      </c>
      <c r="B897" t="s">
        <v>36</v>
      </c>
      <c r="C897">
        <v>61</v>
      </c>
    </row>
    <row r="898" spans="1:3">
      <c r="A898" s="30">
        <v>43044</v>
      </c>
      <c r="B898" t="s">
        <v>36</v>
      </c>
      <c r="C898">
        <v>134</v>
      </c>
    </row>
    <row r="899" spans="1:3">
      <c r="A899" s="30">
        <v>43047</v>
      </c>
      <c r="B899" t="s">
        <v>37</v>
      </c>
      <c r="C899">
        <v>62</v>
      </c>
    </row>
    <row r="900" spans="1:3">
      <c r="A900" s="30">
        <v>43044</v>
      </c>
      <c r="B900" t="s">
        <v>26</v>
      </c>
      <c r="C900">
        <v>85</v>
      </c>
    </row>
    <row r="901" spans="1:3">
      <c r="A901" s="30">
        <v>43042</v>
      </c>
      <c r="B901" t="s">
        <v>24</v>
      </c>
      <c r="C901">
        <v>22</v>
      </c>
    </row>
    <row r="902" spans="1:3">
      <c r="A902" s="30">
        <v>43040</v>
      </c>
      <c r="B902" t="s">
        <v>26</v>
      </c>
      <c r="C902">
        <v>2</v>
      </c>
    </row>
    <row r="903" spans="1:3">
      <c r="A903" s="30">
        <v>43047</v>
      </c>
      <c r="B903" t="s">
        <v>37</v>
      </c>
      <c r="C903">
        <v>89</v>
      </c>
    </row>
    <row r="904" spans="1:3">
      <c r="A904" s="30">
        <v>43044</v>
      </c>
      <c r="B904" t="s">
        <v>37</v>
      </c>
      <c r="C904">
        <v>142</v>
      </c>
    </row>
    <row r="905" spans="1:3">
      <c r="A905" s="30">
        <v>43040</v>
      </c>
      <c r="B905" t="s">
        <v>24</v>
      </c>
      <c r="C905">
        <v>182</v>
      </c>
    </row>
    <row r="906" spans="1:3">
      <c r="A906" s="30">
        <v>43043</v>
      </c>
      <c r="B906" t="s">
        <v>37</v>
      </c>
      <c r="C906">
        <v>165</v>
      </c>
    </row>
    <row r="907" spans="1:3">
      <c r="A907" s="30">
        <v>43040</v>
      </c>
      <c r="B907" t="s">
        <v>37</v>
      </c>
      <c r="C907">
        <v>128</v>
      </c>
    </row>
    <row r="908" spans="1:3">
      <c r="A908" s="30">
        <v>43042</v>
      </c>
      <c r="B908" t="s">
        <v>26</v>
      </c>
      <c r="C908">
        <v>180</v>
      </c>
    </row>
    <row r="909" spans="1:3">
      <c r="A909" s="30">
        <v>43040</v>
      </c>
      <c r="B909" t="s">
        <v>36</v>
      </c>
      <c r="C909">
        <v>89</v>
      </c>
    </row>
    <row r="910" spans="1:3">
      <c r="A910" s="30">
        <v>43045</v>
      </c>
      <c r="B910" t="s">
        <v>37</v>
      </c>
      <c r="C910">
        <v>134</v>
      </c>
    </row>
    <row r="911" spans="1:3">
      <c r="A911" s="30">
        <v>43043</v>
      </c>
      <c r="B911" t="s">
        <v>26</v>
      </c>
      <c r="C911">
        <v>191</v>
      </c>
    </row>
    <row r="912" spans="1:3">
      <c r="A912" s="30">
        <v>43041</v>
      </c>
      <c r="B912" t="s">
        <v>24</v>
      </c>
      <c r="C912">
        <v>191</v>
      </c>
    </row>
    <row r="913" spans="1:3">
      <c r="A913" s="30">
        <v>43046</v>
      </c>
      <c r="B913" t="s">
        <v>24</v>
      </c>
      <c r="C913">
        <v>81</v>
      </c>
    </row>
    <row r="914" spans="1:3">
      <c r="A914" s="30">
        <v>43044</v>
      </c>
      <c r="B914" t="s">
        <v>36</v>
      </c>
      <c r="C914">
        <v>164</v>
      </c>
    </row>
    <row r="915" spans="1:3">
      <c r="A915" s="30">
        <v>43043</v>
      </c>
      <c r="B915" t="s">
        <v>26</v>
      </c>
      <c r="C915">
        <v>65</v>
      </c>
    </row>
    <row r="916" spans="1:3">
      <c r="A916" s="30">
        <v>43043</v>
      </c>
      <c r="B916" t="s">
        <v>26</v>
      </c>
      <c r="C916">
        <v>183</v>
      </c>
    </row>
    <row r="917" spans="1:3">
      <c r="A917" s="30">
        <v>43040</v>
      </c>
      <c r="B917" t="s">
        <v>37</v>
      </c>
      <c r="C917">
        <v>82</v>
      </c>
    </row>
    <row r="918" spans="1:3">
      <c r="A918" s="30">
        <v>43041</v>
      </c>
      <c r="B918" t="s">
        <v>26</v>
      </c>
      <c r="C918">
        <v>75</v>
      </c>
    </row>
    <row r="919" spans="1:3">
      <c r="A919" s="30">
        <v>43041</v>
      </c>
      <c r="B919" t="s">
        <v>37</v>
      </c>
      <c r="C919">
        <v>88</v>
      </c>
    </row>
    <row r="920" spans="1:3">
      <c r="A920" s="30">
        <v>43047</v>
      </c>
      <c r="B920" t="s">
        <v>37</v>
      </c>
      <c r="C920">
        <v>14</v>
      </c>
    </row>
    <row r="921" spans="1:3">
      <c r="A921" s="30">
        <v>43044</v>
      </c>
      <c r="B921" t="s">
        <v>37</v>
      </c>
      <c r="C921">
        <v>124</v>
      </c>
    </row>
    <row r="922" spans="1:3">
      <c r="A922" s="30">
        <v>43043</v>
      </c>
      <c r="B922" t="s">
        <v>26</v>
      </c>
      <c r="C922">
        <v>153</v>
      </c>
    </row>
    <row r="923" spans="1:3">
      <c r="A923" s="30">
        <v>43043</v>
      </c>
      <c r="B923" t="s">
        <v>24</v>
      </c>
      <c r="C923">
        <v>113</v>
      </c>
    </row>
    <row r="924" spans="1:3">
      <c r="A924" s="30">
        <v>43047</v>
      </c>
      <c r="B924" t="s">
        <v>37</v>
      </c>
      <c r="C924">
        <v>94</v>
      </c>
    </row>
    <row r="925" spans="1:3">
      <c r="A925" s="30">
        <v>43042</v>
      </c>
      <c r="B925" t="s">
        <v>26</v>
      </c>
      <c r="C925">
        <v>16</v>
      </c>
    </row>
    <row r="926" spans="1:3">
      <c r="A926" s="30">
        <v>43046</v>
      </c>
      <c r="B926" t="s">
        <v>24</v>
      </c>
      <c r="C926">
        <v>156</v>
      </c>
    </row>
    <row r="927" spans="1:3">
      <c r="A927" s="30">
        <v>43042</v>
      </c>
      <c r="B927" t="s">
        <v>24</v>
      </c>
      <c r="C927">
        <v>16</v>
      </c>
    </row>
    <row r="928" spans="1:3">
      <c r="A928" s="30">
        <v>43041</v>
      </c>
      <c r="B928" t="s">
        <v>24</v>
      </c>
      <c r="C928">
        <v>165</v>
      </c>
    </row>
    <row r="929" spans="1:3">
      <c r="A929" s="30">
        <v>43042</v>
      </c>
      <c r="B929" t="s">
        <v>37</v>
      </c>
      <c r="C929">
        <v>108</v>
      </c>
    </row>
    <row r="930" spans="1:3">
      <c r="A930" s="30">
        <v>43045</v>
      </c>
      <c r="B930" t="s">
        <v>26</v>
      </c>
      <c r="C930">
        <v>158</v>
      </c>
    </row>
    <row r="931" spans="1:3">
      <c r="A931" s="30">
        <v>43046</v>
      </c>
      <c r="B931" t="s">
        <v>24</v>
      </c>
      <c r="C931">
        <v>107</v>
      </c>
    </row>
    <row r="932" spans="1:3">
      <c r="A932" s="30">
        <v>43043</v>
      </c>
      <c r="B932" t="s">
        <v>36</v>
      </c>
      <c r="C932">
        <v>127</v>
      </c>
    </row>
    <row r="933" spans="1:3">
      <c r="A933" s="30">
        <v>43047</v>
      </c>
      <c r="B933" t="s">
        <v>24</v>
      </c>
      <c r="C933">
        <v>120</v>
      </c>
    </row>
    <row r="934" spans="1:3">
      <c r="A934" s="30">
        <v>43045</v>
      </c>
      <c r="B934" t="s">
        <v>26</v>
      </c>
      <c r="C934">
        <v>69</v>
      </c>
    </row>
    <row r="935" spans="1:3">
      <c r="A935" s="30">
        <v>43047</v>
      </c>
      <c r="B935" t="s">
        <v>26</v>
      </c>
      <c r="C935">
        <v>186</v>
      </c>
    </row>
    <row r="936" spans="1:3">
      <c r="A936" s="30">
        <v>43044</v>
      </c>
      <c r="B936" t="s">
        <v>26</v>
      </c>
      <c r="C936">
        <v>171</v>
      </c>
    </row>
    <row r="937" spans="1:3">
      <c r="A937" s="30">
        <v>43044</v>
      </c>
      <c r="B937" t="s">
        <v>37</v>
      </c>
      <c r="C937">
        <v>99</v>
      </c>
    </row>
    <row r="938" spans="1:3">
      <c r="A938" s="30">
        <v>43044</v>
      </c>
      <c r="B938" t="s">
        <v>36</v>
      </c>
      <c r="C938">
        <v>164</v>
      </c>
    </row>
    <row r="939" spans="1:3">
      <c r="A939" s="30">
        <v>43041</v>
      </c>
      <c r="B939" t="s">
        <v>37</v>
      </c>
      <c r="C939">
        <v>158</v>
      </c>
    </row>
    <row r="940" spans="1:3">
      <c r="A940" s="30">
        <v>43042</v>
      </c>
      <c r="B940" t="s">
        <v>26</v>
      </c>
      <c r="C940">
        <v>156</v>
      </c>
    </row>
    <row r="941" spans="1:3">
      <c r="A941" s="30">
        <v>43041</v>
      </c>
      <c r="B941" t="s">
        <v>36</v>
      </c>
      <c r="C941">
        <v>152</v>
      </c>
    </row>
    <row r="942" spans="1:3">
      <c r="A942" s="30">
        <v>43046</v>
      </c>
      <c r="B942" t="s">
        <v>36</v>
      </c>
      <c r="C942">
        <v>158</v>
      </c>
    </row>
    <row r="943" spans="1:3">
      <c r="A943" s="30">
        <v>43041</v>
      </c>
      <c r="B943" t="s">
        <v>37</v>
      </c>
      <c r="C943">
        <v>190</v>
      </c>
    </row>
    <row r="944" spans="1:3">
      <c r="A944" s="30">
        <v>43044</v>
      </c>
      <c r="B944" t="s">
        <v>24</v>
      </c>
      <c r="C944">
        <v>11</v>
      </c>
    </row>
    <row r="945" spans="1:3">
      <c r="A945" s="30">
        <v>43045</v>
      </c>
      <c r="B945" t="s">
        <v>26</v>
      </c>
      <c r="C945">
        <v>4</v>
      </c>
    </row>
    <row r="946" spans="1:3">
      <c r="A946" s="30">
        <v>43044</v>
      </c>
      <c r="B946" t="s">
        <v>36</v>
      </c>
      <c r="C946">
        <v>101</v>
      </c>
    </row>
    <row r="947" spans="1:3">
      <c r="A947" s="30">
        <v>43040</v>
      </c>
      <c r="B947" t="s">
        <v>26</v>
      </c>
      <c r="C947">
        <v>8</v>
      </c>
    </row>
    <row r="948" spans="1:3">
      <c r="A948" s="30">
        <v>43047</v>
      </c>
      <c r="B948" t="s">
        <v>26</v>
      </c>
      <c r="C948">
        <v>140</v>
      </c>
    </row>
    <row r="949" spans="1:3">
      <c r="A949" s="30">
        <v>43042</v>
      </c>
      <c r="B949" t="s">
        <v>37</v>
      </c>
      <c r="C949">
        <v>148</v>
      </c>
    </row>
    <row r="950" spans="1:3">
      <c r="A950" s="30">
        <v>43046</v>
      </c>
      <c r="B950" t="s">
        <v>26</v>
      </c>
      <c r="C950">
        <v>174</v>
      </c>
    </row>
    <row r="951" spans="1:3">
      <c r="A951" s="30">
        <v>43046</v>
      </c>
      <c r="B951" t="s">
        <v>37</v>
      </c>
      <c r="C951">
        <v>112</v>
      </c>
    </row>
    <row r="952" spans="1:3">
      <c r="A952" s="30">
        <v>43045</v>
      </c>
      <c r="B952" t="s">
        <v>37</v>
      </c>
      <c r="C952">
        <v>12</v>
      </c>
    </row>
    <row r="953" spans="1:3">
      <c r="A953" s="30">
        <v>43041</v>
      </c>
      <c r="B953" t="s">
        <v>26</v>
      </c>
      <c r="C953">
        <v>55</v>
      </c>
    </row>
    <row r="954" spans="1:3">
      <c r="A954" s="30">
        <v>43045</v>
      </c>
      <c r="B954" t="s">
        <v>24</v>
      </c>
      <c r="C954">
        <v>29</v>
      </c>
    </row>
    <row r="955" spans="1:3">
      <c r="A955" s="30">
        <v>43044</v>
      </c>
      <c r="B955" t="s">
        <v>24</v>
      </c>
      <c r="C955">
        <v>23</v>
      </c>
    </row>
    <row r="956" spans="1:3">
      <c r="A956" s="30">
        <v>43043</v>
      </c>
      <c r="B956" t="s">
        <v>24</v>
      </c>
      <c r="C956">
        <v>31</v>
      </c>
    </row>
    <row r="957" spans="1:3">
      <c r="A957" s="30">
        <v>43041</v>
      </c>
      <c r="B957" t="s">
        <v>26</v>
      </c>
      <c r="C957">
        <v>152</v>
      </c>
    </row>
    <row r="958" spans="1:3">
      <c r="A958" s="30">
        <v>43042</v>
      </c>
      <c r="B958" t="s">
        <v>36</v>
      </c>
      <c r="C958">
        <v>113</v>
      </c>
    </row>
  </sheetData>
  <pageMargins left="0.7" right="0.7" top="0.75" bottom="0.75" header="0.3" footer="0.3"/>
  <headerFooter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AN655"/>
  <sheetViews>
    <sheetView zoomScale="80" zoomScaleNormal="80" workbookViewId="0">
      <selection activeCell="M26" sqref="M26"/>
    </sheetView>
  </sheetViews>
  <sheetFormatPr defaultColWidth="9" defaultRowHeight="15"/>
  <cols>
    <col min="1" max="5" width="15.7142857142857" customWidth="1"/>
    <col min="6" max="6" width="27.7142857142857" customWidth="1"/>
    <col min="7" max="7" width="15.1428571428571" customWidth="1"/>
    <col min="8" max="9" width="11.2857142857143" customWidth="1"/>
    <col min="10" max="11" width="10.1428571428571" customWidth="1"/>
    <col min="13" max="13" width="12.5714285714286" customWidth="1"/>
    <col min="23" max="23" width="10.2857142857143" customWidth="1"/>
    <col min="31" max="31" width="55" customWidth="1"/>
  </cols>
  <sheetData>
    <row r="1" spans="1:40">
      <c r="A1" s="21" t="s">
        <v>43</v>
      </c>
      <c r="B1" s="22"/>
      <c r="C1" s="22"/>
      <c r="D1" s="22"/>
      <c r="E1" s="22"/>
      <c r="F1" s="22"/>
      <c r="G1" s="22"/>
      <c r="H1" s="22"/>
      <c r="I1" s="32"/>
      <c r="AM1" s="1" t="s">
        <v>44</v>
      </c>
      <c r="AN1" s="1" t="s">
        <v>45</v>
      </c>
    </row>
    <row r="2" spans="1:40">
      <c r="A2" s="23" t="s">
        <v>46</v>
      </c>
      <c r="B2" s="24"/>
      <c r="C2" s="24"/>
      <c r="D2" s="24"/>
      <c r="E2" s="24"/>
      <c r="F2" s="24"/>
      <c r="G2" s="24"/>
      <c r="H2" s="24"/>
      <c r="I2" s="33"/>
      <c r="AM2">
        <v>0</v>
      </c>
      <c r="AN2">
        <v>0</v>
      </c>
    </row>
    <row r="3" spans="1:40">
      <c r="A3" s="25" t="s">
        <v>47</v>
      </c>
      <c r="B3" s="24"/>
      <c r="C3" s="24"/>
      <c r="D3" s="24"/>
      <c r="E3" s="24"/>
      <c r="F3" s="24"/>
      <c r="G3" s="24"/>
      <c r="H3" s="24"/>
      <c r="I3" s="33"/>
      <c r="AM3">
        <v>12</v>
      </c>
      <c r="AN3">
        <v>0.25</v>
      </c>
    </row>
    <row r="4" spans="1:40">
      <c r="A4" s="26" t="str">
        <f>"If the customer purchased between "&amp;AM3&amp;" and "&amp;AM4-1&amp;" units, then they get a "&amp;TEXT(AN3,"0.00%")&amp;" discount."</f>
        <v>If the customer purchased between 12 and 47 units, then they get a 25.00% discount.</v>
      </c>
      <c r="B4" s="24"/>
      <c r="C4" s="24"/>
      <c r="D4" s="24"/>
      <c r="E4" s="24"/>
      <c r="F4" s="24"/>
      <c r="G4" s="24"/>
      <c r="H4" s="24"/>
      <c r="I4" s="33"/>
      <c r="AM4">
        <v>48</v>
      </c>
      <c r="AN4">
        <v>0.375</v>
      </c>
    </row>
    <row r="5" spans="1:40">
      <c r="A5" s="26" t="str">
        <f>"If the customer purchased between "&amp;AM4&amp;" and "&amp;AM5-1&amp;" units, then they get a "&amp;TEXT(AN4,"0.00%")&amp;" discount."</f>
        <v>If the customer purchased between 48 and 95 units, then they get a 37.50% discount.</v>
      </c>
      <c r="B5" s="24"/>
      <c r="C5" s="24"/>
      <c r="D5" s="24"/>
      <c r="E5" s="24"/>
      <c r="F5" s="24"/>
      <c r="G5" s="24"/>
      <c r="H5" s="24"/>
      <c r="I5" s="33"/>
      <c r="AM5">
        <v>96</v>
      </c>
      <c r="AN5">
        <v>0.4375</v>
      </c>
    </row>
    <row r="6" spans="1:40">
      <c r="A6" s="26" t="str">
        <f>"If the customer purchased between "&amp;AM5&amp;" and "&amp;AM6-1&amp;" units, then they get a "&amp;TEXT(AN5,"0.00%")&amp;" discount."</f>
        <v>If the customer purchased between 96 and 143 units, then they get a 43.75% discount.</v>
      </c>
      <c r="B6" s="24"/>
      <c r="C6" s="24"/>
      <c r="D6" s="24"/>
      <c r="E6" s="24"/>
      <c r="F6" s="24"/>
      <c r="G6" s="24"/>
      <c r="H6" s="24"/>
      <c r="I6" s="33"/>
      <c r="AM6">
        <v>144</v>
      </c>
      <c r="AN6">
        <v>0.5</v>
      </c>
    </row>
    <row r="7" spans="1:9">
      <c r="A7" s="26" t="str">
        <f>"If the customer purchased "&amp;AM6&amp;" or more units, then they get a "&amp;TEXT(AN6,"0.00%")&amp;" discount."</f>
        <v>If the customer purchased 144 or more units, then they get a 50.00% discount.</v>
      </c>
      <c r="B7" s="24"/>
      <c r="C7" s="24"/>
      <c r="D7" s="24"/>
      <c r="E7" s="24"/>
      <c r="F7" s="24"/>
      <c r="G7" s="24"/>
      <c r="H7" s="24"/>
      <c r="I7" s="33"/>
    </row>
    <row r="8" spans="1:9">
      <c r="A8" s="25" t="s">
        <v>48</v>
      </c>
      <c r="B8" s="24"/>
      <c r="C8" s="24"/>
      <c r="D8" s="24"/>
      <c r="E8" s="24"/>
      <c r="F8" s="24"/>
      <c r="G8" s="24"/>
      <c r="H8" s="24"/>
      <c r="I8" s="33"/>
    </row>
    <row r="9" spans="1:9">
      <c r="A9" s="27" t="s">
        <v>49</v>
      </c>
      <c r="B9" s="24"/>
      <c r="C9" s="24"/>
      <c r="D9" s="24"/>
      <c r="E9" s="24"/>
      <c r="F9" s="24"/>
      <c r="G9" s="24"/>
      <c r="H9" s="24"/>
      <c r="I9" s="33"/>
    </row>
    <row r="10" spans="1:13">
      <c r="A10" s="25" t="s">
        <v>50</v>
      </c>
      <c r="B10" s="24"/>
      <c r="C10" s="24"/>
      <c r="D10" s="24"/>
      <c r="E10" s="24"/>
      <c r="F10" s="24"/>
      <c r="G10" s="24"/>
      <c r="H10" s="24"/>
      <c r="I10" s="33"/>
      <c r="M10" s="1" t="s">
        <v>34</v>
      </c>
    </row>
    <row r="11" spans="1:9">
      <c r="A11" s="25" t="str">
        <f>""&amp;ROWS(A$11:A11)+3&amp;") In Cell "&amp;ADDRESS(ROW(RevenueTable[[#Headers],[Total Revenue]]),COLUMN(RevenueTable[[#Headers],[Total Revenue]]),4)&amp;" type the Column Name 'Discount on Total Revenue'"</f>
        <v>4) In Cell E19 type the Column Name 'Discount on Total Revenue'</v>
      </c>
      <c r="B11" s="24"/>
      <c r="C11" s="24"/>
      <c r="D11" s="24"/>
      <c r="E11" s="24"/>
      <c r="F11" s="24"/>
      <c r="G11" s="24"/>
      <c r="H11" s="24"/>
      <c r="I11" s="33"/>
    </row>
    <row r="12" spans="1:9">
      <c r="A12" s="25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24"/>
      <c r="C12" s="24"/>
      <c r="D12" s="24"/>
      <c r="E12" s="24"/>
      <c r="F12" s="24"/>
      <c r="G12" s="24"/>
      <c r="H12" s="24"/>
      <c r="I12" s="33"/>
    </row>
    <row r="13" spans="1:17">
      <c r="A13" s="23" t="s">
        <v>51</v>
      </c>
      <c r="B13" s="24"/>
      <c r="C13" s="24"/>
      <c r="D13" s="24"/>
      <c r="E13" s="24"/>
      <c r="F13" s="24"/>
      <c r="G13" s="24"/>
      <c r="H13" s="24"/>
      <c r="I13" s="33"/>
      <c r="M13" s="30">
        <v>43042</v>
      </c>
      <c r="N13" t="s">
        <v>37</v>
      </c>
      <c r="O13">
        <v>15</v>
      </c>
      <c r="P13">
        <v>22.95</v>
      </c>
      <c r="Q13">
        <v>344.25</v>
      </c>
    </row>
    <row r="14" spans="1:17">
      <c r="A14" s="23"/>
      <c r="B14" s="24"/>
      <c r="C14" s="24"/>
      <c r="D14" s="24"/>
      <c r="E14" s="24"/>
      <c r="F14" s="24"/>
      <c r="G14" s="24"/>
      <c r="H14" s="24"/>
      <c r="I14" s="33"/>
      <c r="M14" s="30">
        <v>43040</v>
      </c>
      <c r="N14" t="s">
        <v>26</v>
      </c>
      <c r="O14">
        <v>46</v>
      </c>
      <c r="P14">
        <v>22.95</v>
      </c>
      <c r="Q14">
        <v>1055.7</v>
      </c>
    </row>
    <row r="15" spans="1:17">
      <c r="A15" s="28"/>
      <c r="B15" s="29"/>
      <c r="C15" s="29"/>
      <c r="D15" s="29"/>
      <c r="E15" s="29"/>
      <c r="F15" s="29"/>
      <c r="G15" s="29"/>
      <c r="H15" s="29"/>
      <c r="I15" s="34"/>
      <c r="M15" s="30">
        <v>43046</v>
      </c>
      <c r="N15" t="s">
        <v>37</v>
      </c>
      <c r="O15">
        <v>17</v>
      </c>
      <c r="P15">
        <v>43.95</v>
      </c>
      <c r="Q15">
        <v>747.15</v>
      </c>
    </row>
    <row r="17" spans="1:1">
      <c r="A17" s="1" t="s">
        <v>52</v>
      </c>
    </row>
    <row r="19" spans="1:10">
      <c r="A19" s="1" t="s">
        <v>31</v>
      </c>
      <c r="B19" s="1" t="s">
        <v>16</v>
      </c>
      <c r="C19" s="1" t="s">
        <v>35</v>
      </c>
      <c r="D19" s="1" t="s">
        <v>53</v>
      </c>
      <c r="E19" s="1" t="s">
        <v>54</v>
      </c>
      <c r="F19" t="s">
        <v>55</v>
      </c>
      <c r="G19" t="s">
        <v>56</v>
      </c>
      <c r="I19" s="1" t="s">
        <v>44</v>
      </c>
      <c r="J19" s="1" t="s">
        <v>45</v>
      </c>
    </row>
    <row r="20" spans="1:10">
      <c r="A20" s="30">
        <v>43045</v>
      </c>
      <c r="B20" t="s">
        <v>37</v>
      </c>
      <c r="C20">
        <v>190</v>
      </c>
      <c r="D20" s="31">
        <v>22.95</v>
      </c>
      <c r="E20" s="31">
        <v>4360.5</v>
      </c>
      <c r="F20">
        <f>VLOOKUP(C20:C655,$I$19:$J$25,2)</f>
        <v>0.55</v>
      </c>
      <c r="G20">
        <f>ROUND((1-F20:F655)*E20:E655,2)</f>
        <v>1962.23</v>
      </c>
      <c r="I20">
        <v>0</v>
      </c>
      <c r="J20">
        <v>0</v>
      </c>
    </row>
    <row r="21" spans="1:10">
      <c r="A21" s="30">
        <v>43040</v>
      </c>
      <c r="B21" t="s">
        <v>37</v>
      </c>
      <c r="C21">
        <v>138</v>
      </c>
      <c r="D21" s="31">
        <v>22.95</v>
      </c>
      <c r="E21" s="31">
        <v>3167.1</v>
      </c>
      <c r="F21">
        <f t="shared" ref="F21:F84" si="0">VLOOKUP(C21:C656,$I$19:$J$25,2)</f>
        <v>0.4375</v>
      </c>
      <c r="G21">
        <f>ROUND((1-F21:F653)*E21:E653,2)</f>
        <v>1781.49</v>
      </c>
      <c r="I21">
        <v>12</v>
      </c>
      <c r="J21">
        <v>0.25</v>
      </c>
    </row>
    <row r="22" spans="1:10">
      <c r="A22" s="30">
        <v>43043</v>
      </c>
      <c r="B22" t="s">
        <v>26</v>
      </c>
      <c r="C22">
        <v>12</v>
      </c>
      <c r="D22" s="31">
        <v>43.95</v>
      </c>
      <c r="E22" s="31">
        <v>527.4</v>
      </c>
      <c r="F22">
        <f t="shared" si="0"/>
        <v>0.25</v>
      </c>
      <c r="G22">
        <f>ROUND((1-F22:F654)*E22:E654,2)</f>
        <v>395.55</v>
      </c>
      <c r="I22">
        <v>48</v>
      </c>
      <c r="J22">
        <v>0.375</v>
      </c>
    </row>
    <row r="23" spans="1:10">
      <c r="A23" s="30">
        <v>43041</v>
      </c>
      <c r="B23" t="s">
        <v>24</v>
      </c>
      <c r="C23">
        <v>45</v>
      </c>
      <c r="D23" s="31">
        <v>14.95</v>
      </c>
      <c r="E23" s="31">
        <v>672.75</v>
      </c>
      <c r="F23">
        <f t="shared" si="0"/>
        <v>0.25</v>
      </c>
      <c r="G23">
        <f>ROUND((1-F23:F655)*E23:E655,2)</f>
        <v>504.56</v>
      </c>
      <c r="I23">
        <v>96</v>
      </c>
      <c r="J23">
        <v>0.4375</v>
      </c>
    </row>
    <row r="24" spans="1:10">
      <c r="A24" s="30">
        <v>43043</v>
      </c>
      <c r="B24" t="s">
        <v>37</v>
      </c>
      <c r="C24">
        <v>187</v>
      </c>
      <c r="D24" s="31">
        <v>22.95</v>
      </c>
      <c r="E24" s="31">
        <v>4291.65</v>
      </c>
      <c r="F24">
        <f t="shared" si="0"/>
        <v>0.55</v>
      </c>
      <c r="G24">
        <f>ROUND((1-F24:F656)*E24:E656,2)</f>
        <v>1931.24</v>
      </c>
      <c r="I24">
        <v>144</v>
      </c>
      <c r="J24">
        <v>0.5</v>
      </c>
    </row>
    <row r="25" spans="1:10">
      <c r="A25" s="30">
        <v>43042</v>
      </c>
      <c r="B25" t="s">
        <v>24</v>
      </c>
      <c r="C25">
        <v>29</v>
      </c>
      <c r="D25" s="31">
        <v>14.95</v>
      </c>
      <c r="E25" s="31">
        <v>433.55</v>
      </c>
      <c r="F25">
        <f t="shared" si="0"/>
        <v>0.25</v>
      </c>
      <c r="G25">
        <f>ROUND((1-F25:F657)*E25:E657,2)</f>
        <v>325.16</v>
      </c>
      <c r="I25">
        <v>168</v>
      </c>
      <c r="J25">
        <v>0.55</v>
      </c>
    </row>
    <row r="26" spans="1:7">
      <c r="A26" s="30">
        <v>43046</v>
      </c>
      <c r="B26" t="s">
        <v>24</v>
      </c>
      <c r="C26">
        <v>106</v>
      </c>
      <c r="D26" s="31">
        <v>14.95</v>
      </c>
      <c r="E26" s="31">
        <v>1584.7</v>
      </c>
      <c r="F26">
        <f t="shared" si="0"/>
        <v>0.4375</v>
      </c>
      <c r="G26">
        <f>ROUND((1-F26:F658)*E26:E658,2)</f>
        <v>891.39</v>
      </c>
    </row>
    <row r="27" spans="1:7">
      <c r="A27" s="30">
        <v>43041</v>
      </c>
      <c r="B27" t="s">
        <v>37</v>
      </c>
      <c r="C27">
        <v>147</v>
      </c>
      <c r="D27" s="31">
        <v>22.95</v>
      </c>
      <c r="E27" s="31">
        <v>3373.65</v>
      </c>
      <c r="F27">
        <f t="shared" si="0"/>
        <v>0.5</v>
      </c>
      <c r="G27">
        <f>ROUND((1-F27:F659)*E27:E659,2)</f>
        <v>1686.83</v>
      </c>
    </row>
    <row r="28" spans="1:7">
      <c r="A28" s="30">
        <v>43043</v>
      </c>
      <c r="B28" t="s">
        <v>26</v>
      </c>
      <c r="C28">
        <v>143</v>
      </c>
      <c r="D28" s="31">
        <v>43.95</v>
      </c>
      <c r="E28" s="31">
        <v>6284.85</v>
      </c>
      <c r="F28">
        <f t="shared" si="0"/>
        <v>0.4375</v>
      </c>
      <c r="G28">
        <f>ROUND((1-F28:F660)*E28:E660,2)</f>
        <v>3535.23</v>
      </c>
    </row>
    <row r="29" spans="1:7">
      <c r="A29" s="30">
        <v>43044</v>
      </c>
      <c r="B29" t="s">
        <v>36</v>
      </c>
      <c r="C29">
        <v>33</v>
      </c>
      <c r="D29" s="31">
        <v>21.95</v>
      </c>
      <c r="E29" s="31">
        <v>724.35</v>
      </c>
      <c r="F29">
        <f t="shared" si="0"/>
        <v>0.25</v>
      </c>
      <c r="G29">
        <f>ROUND((1-F29:F661)*E29:E661,2)</f>
        <v>543.26</v>
      </c>
    </row>
    <row r="30" spans="1:7">
      <c r="A30" s="30">
        <v>43045</v>
      </c>
      <c r="B30" t="s">
        <v>36</v>
      </c>
      <c r="C30">
        <v>99</v>
      </c>
      <c r="D30" s="31">
        <v>21.95</v>
      </c>
      <c r="E30" s="31">
        <v>2173.05</v>
      </c>
      <c r="F30">
        <f t="shared" si="0"/>
        <v>0.4375</v>
      </c>
      <c r="G30">
        <f>ROUND((1-F30:F662)*E30:E662,2)</f>
        <v>1222.34</v>
      </c>
    </row>
    <row r="31" spans="1:7">
      <c r="A31" s="30">
        <v>43047</v>
      </c>
      <c r="B31" t="s">
        <v>37</v>
      </c>
      <c r="C31">
        <v>35</v>
      </c>
      <c r="D31" s="31">
        <v>22.95</v>
      </c>
      <c r="E31" s="31">
        <v>803.25</v>
      </c>
      <c r="F31">
        <f t="shared" si="0"/>
        <v>0.25</v>
      </c>
      <c r="G31">
        <f>ROUND((1-F31:F663)*E31:E663,2)</f>
        <v>602.44</v>
      </c>
    </row>
    <row r="32" spans="1:7">
      <c r="A32" s="30">
        <v>43045</v>
      </c>
      <c r="B32" t="s">
        <v>36</v>
      </c>
      <c r="C32">
        <v>21</v>
      </c>
      <c r="D32" s="31">
        <v>21.95</v>
      </c>
      <c r="E32" s="31">
        <v>460.95</v>
      </c>
      <c r="F32">
        <f t="shared" si="0"/>
        <v>0.25</v>
      </c>
      <c r="G32">
        <f>ROUND((1-F32:F664)*E32:E664,2)</f>
        <v>345.71</v>
      </c>
    </row>
    <row r="33" spans="1:7">
      <c r="A33" s="30">
        <v>43047</v>
      </c>
      <c r="B33" t="s">
        <v>26</v>
      </c>
      <c r="C33">
        <v>60</v>
      </c>
      <c r="D33" s="31">
        <v>43.95</v>
      </c>
      <c r="E33" s="31">
        <v>2637</v>
      </c>
      <c r="F33">
        <f t="shared" si="0"/>
        <v>0.375</v>
      </c>
      <c r="G33">
        <f>ROUND((1-F33:F665)*E33:E665,2)</f>
        <v>1648.13</v>
      </c>
    </row>
    <row r="34" spans="1:7">
      <c r="A34" s="30">
        <v>43045</v>
      </c>
      <c r="B34" t="s">
        <v>37</v>
      </c>
      <c r="C34">
        <v>132</v>
      </c>
      <c r="D34" s="31">
        <v>22.95</v>
      </c>
      <c r="E34" s="31">
        <v>3029.4</v>
      </c>
      <c r="F34">
        <f t="shared" si="0"/>
        <v>0.4375</v>
      </c>
      <c r="G34">
        <f>ROUND((1-F34:F666)*E34:E666,2)</f>
        <v>1704.04</v>
      </c>
    </row>
    <row r="35" spans="1:7">
      <c r="A35" s="30">
        <v>43047</v>
      </c>
      <c r="B35" t="s">
        <v>24</v>
      </c>
      <c r="C35">
        <v>156</v>
      </c>
      <c r="D35" s="31">
        <v>14.95</v>
      </c>
      <c r="E35" s="31">
        <v>2332.2</v>
      </c>
      <c r="F35">
        <f t="shared" si="0"/>
        <v>0.5</v>
      </c>
      <c r="G35">
        <f>ROUND((1-F35:F667)*E35:E667,2)</f>
        <v>1166.1</v>
      </c>
    </row>
    <row r="36" spans="1:7">
      <c r="A36" s="30">
        <v>43045</v>
      </c>
      <c r="B36" t="s">
        <v>24</v>
      </c>
      <c r="C36">
        <v>120</v>
      </c>
      <c r="D36" s="31">
        <v>14.95</v>
      </c>
      <c r="E36" s="31">
        <v>1794</v>
      </c>
      <c r="F36">
        <f t="shared" si="0"/>
        <v>0.4375</v>
      </c>
      <c r="G36">
        <f>ROUND((1-F36:F668)*E36:E668,2)</f>
        <v>1009.13</v>
      </c>
    </row>
    <row r="37" spans="1:7">
      <c r="A37" s="30">
        <v>43043</v>
      </c>
      <c r="B37" t="s">
        <v>36</v>
      </c>
      <c r="C37">
        <v>55</v>
      </c>
      <c r="D37" s="31">
        <v>21.95</v>
      </c>
      <c r="E37" s="31">
        <v>1207.25</v>
      </c>
      <c r="F37">
        <f t="shared" si="0"/>
        <v>0.375</v>
      </c>
      <c r="G37">
        <f>ROUND((1-F37:F669)*E37:E669,2)</f>
        <v>754.53</v>
      </c>
    </row>
    <row r="38" spans="1:7">
      <c r="A38" s="30">
        <v>43042</v>
      </c>
      <c r="B38" t="s">
        <v>36</v>
      </c>
      <c r="C38">
        <v>165</v>
      </c>
      <c r="D38" s="31">
        <v>21.95</v>
      </c>
      <c r="E38" s="31">
        <v>3621.75</v>
      </c>
      <c r="F38">
        <f t="shared" si="0"/>
        <v>0.5</v>
      </c>
      <c r="G38">
        <f>ROUND((1-F38:F670)*E38:E670,2)</f>
        <v>1810.88</v>
      </c>
    </row>
    <row r="39" spans="1:7">
      <c r="A39" s="30">
        <v>43046</v>
      </c>
      <c r="B39" t="s">
        <v>36</v>
      </c>
      <c r="C39">
        <v>124</v>
      </c>
      <c r="D39" s="31">
        <v>21.95</v>
      </c>
      <c r="E39" s="31">
        <v>2721.8</v>
      </c>
      <c r="F39">
        <f t="shared" si="0"/>
        <v>0.4375</v>
      </c>
      <c r="G39">
        <f>ROUND((1-F39:F671)*E39:E671,2)</f>
        <v>1531.01</v>
      </c>
    </row>
    <row r="40" spans="1:7">
      <c r="A40" s="30">
        <v>43046</v>
      </c>
      <c r="B40" t="s">
        <v>24</v>
      </c>
      <c r="C40">
        <v>155</v>
      </c>
      <c r="D40" s="31">
        <v>14.95</v>
      </c>
      <c r="E40" s="31">
        <v>2317.25</v>
      </c>
      <c r="F40">
        <f t="shared" si="0"/>
        <v>0.5</v>
      </c>
      <c r="G40">
        <f>ROUND((1-F40:F672)*E40:E672,2)</f>
        <v>1158.63</v>
      </c>
    </row>
    <row r="41" spans="1:7">
      <c r="A41" s="30">
        <v>43045</v>
      </c>
      <c r="B41" t="s">
        <v>37</v>
      </c>
      <c r="C41">
        <v>33</v>
      </c>
      <c r="D41" s="31">
        <v>22.95</v>
      </c>
      <c r="E41" s="31">
        <v>757.35</v>
      </c>
      <c r="F41">
        <f t="shared" si="0"/>
        <v>0.25</v>
      </c>
      <c r="G41">
        <f>ROUND((1-F41:F673)*E41:E673,2)</f>
        <v>568.01</v>
      </c>
    </row>
    <row r="42" spans="1:7">
      <c r="A42" s="30">
        <v>43047</v>
      </c>
      <c r="B42" t="s">
        <v>36</v>
      </c>
      <c r="C42">
        <v>76</v>
      </c>
      <c r="D42" s="31">
        <v>21.95</v>
      </c>
      <c r="E42" s="31">
        <v>1668.2</v>
      </c>
      <c r="F42">
        <f t="shared" si="0"/>
        <v>0.375</v>
      </c>
      <c r="G42">
        <f>ROUND((1-F42:F674)*E42:E674,2)</f>
        <v>1042.63</v>
      </c>
    </row>
    <row r="43" spans="1:7">
      <c r="A43" s="30">
        <v>43044</v>
      </c>
      <c r="B43" t="s">
        <v>36</v>
      </c>
      <c r="C43">
        <v>49</v>
      </c>
      <c r="D43" s="31">
        <v>21.95</v>
      </c>
      <c r="E43" s="31">
        <v>1075.55</v>
      </c>
      <c r="F43">
        <f t="shared" si="0"/>
        <v>0.375</v>
      </c>
      <c r="G43">
        <f>ROUND((1-F43:F675)*E43:E675,2)</f>
        <v>672.22</v>
      </c>
    </row>
    <row r="44" spans="1:7">
      <c r="A44" s="30">
        <v>43042</v>
      </c>
      <c r="B44" t="s">
        <v>24</v>
      </c>
      <c r="C44">
        <v>26</v>
      </c>
      <c r="D44" s="31">
        <v>14.95</v>
      </c>
      <c r="E44" s="31">
        <v>388.7</v>
      </c>
      <c r="F44">
        <f t="shared" si="0"/>
        <v>0.25</v>
      </c>
      <c r="G44">
        <f>ROUND((1-F44:F676)*E44:E676,2)</f>
        <v>291.53</v>
      </c>
    </row>
    <row r="45" spans="1:7">
      <c r="A45" s="30">
        <v>43041</v>
      </c>
      <c r="B45" t="s">
        <v>36</v>
      </c>
      <c r="C45">
        <v>30</v>
      </c>
      <c r="D45" s="31">
        <v>21.95</v>
      </c>
      <c r="E45" s="31">
        <v>658.5</v>
      </c>
      <c r="F45">
        <f t="shared" si="0"/>
        <v>0.25</v>
      </c>
      <c r="G45">
        <f>ROUND((1-F45:F677)*E45:E677,2)</f>
        <v>493.88</v>
      </c>
    </row>
    <row r="46" spans="1:7">
      <c r="A46" s="30">
        <v>43042</v>
      </c>
      <c r="B46" t="s">
        <v>26</v>
      </c>
      <c r="C46">
        <v>116</v>
      </c>
      <c r="D46" s="31">
        <v>43.95</v>
      </c>
      <c r="E46" s="31">
        <v>5098.2</v>
      </c>
      <c r="F46">
        <f t="shared" si="0"/>
        <v>0.4375</v>
      </c>
      <c r="G46">
        <f>ROUND((1-F46:F678)*E46:E678,2)</f>
        <v>2867.74</v>
      </c>
    </row>
    <row r="47" spans="1:7">
      <c r="A47" s="30">
        <v>43041</v>
      </c>
      <c r="B47" t="s">
        <v>37</v>
      </c>
      <c r="C47">
        <v>45</v>
      </c>
      <c r="D47" s="31">
        <v>22.95</v>
      </c>
      <c r="E47" s="31">
        <v>1032.75</v>
      </c>
      <c r="F47">
        <f t="shared" si="0"/>
        <v>0.25</v>
      </c>
      <c r="G47">
        <f>ROUND((1-F47:F679)*E47:E679,2)</f>
        <v>774.56</v>
      </c>
    </row>
    <row r="48" spans="1:7">
      <c r="A48" s="30">
        <v>43041</v>
      </c>
      <c r="B48" t="s">
        <v>24</v>
      </c>
      <c r="C48">
        <v>47</v>
      </c>
      <c r="D48" s="31">
        <v>14.95</v>
      </c>
      <c r="E48" s="31">
        <v>702.65</v>
      </c>
      <c r="F48">
        <f t="shared" si="0"/>
        <v>0.25</v>
      </c>
      <c r="G48">
        <f>ROUND((1-F48:F680)*E48:E680,2)</f>
        <v>526.99</v>
      </c>
    </row>
    <row r="49" spans="1:7">
      <c r="A49" s="30">
        <v>43044</v>
      </c>
      <c r="B49" t="s">
        <v>26</v>
      </c>
      <c r="C49">
        <v>113</v>
      </c>
      <c r="D49" s="31">
        <v>43.95</v>
      </c>
      <c r="E49" s="31">
        <v>4966.35</v>
      </c>
      <c r="F49">
        <f t="shared" si="0"/>
        <v>0.4375</v>
      </c>
      <c r="G49">
        <f>ROUND((1-F49:F681)*E49:E681,2)</f>
        <v>2793.57</v>
      </c>
    </row>
    <row r="50" spans="1:7">
      <c r="A50" s="30">
        <v>43043</v>
      </c>
      <c r="B50" t="s">
        <v>26</v>
      </c>
      <c r="C50">
        <v>70</v>
      </c>
      <c r="D50" s="31">
        <v>43.95</v>
      </c>
      <c r="E50" s="31">
        <v>3076.5</v>
      </c>
      <c r="F50">
        <f t="shared" si="0"/>
        <v>0.375</v>
      </c>
      <c r="G50">
        <f>ROUND((1-F50:F682)*E50:E682,2)</f>
        <v>1922.81</v>
      </c>
    </row>
    <row r="51" spans="1:7">
      <c r="A51" s="30">
        <v>43043</v>
      </c>
      <c r="B51" t="s">
        <v>26</v>
      </c>
      <c r="C51">
        <v>173</v>
      </c>
      <c r="D51" s="31">
        <v>43.95</v>
      </c>
      <c r="E51" s="31">
        <v>7603.35</v>
      </c>
      <c r="F51">
        <f t="shared" si="0"/>
        <v>0.55</v>
      </c>
      <c r="G51">
        <f>ROUND((1-F51:F683)*E51:E683,2)</f>
        <v>3421.51</v>
      </c>
    </row>
    <row r="52" spans="1:7">
      <c r="A52" s="30">
        <v>43044</v>
      </c>
      <c r="B52" t="s">
        <v>37</v>
      </c>
      <c r="C52">
        <v>54</v>
      </c>
      <c r="D52" s="31">
        <v>22.95</v>
      </c>
      <c r="E52" s="31">
        <v>1239.3</v>
      </c>
      <c r="F52">
        <f t="shared" si="0"/>
        <v>0.375</v>
      </c>
      <c r="G52">
        <f>ROUND((1-F52:F684)*E52:E684,2)</f>
        <v>774.56</v>
      </c>
    </row>
    <row r="53" spans="1:7">
      <c r="A53" s="30">
        <v>43041</v>
      </c>
      <c r="B53" t="s">
        <v>37</v>
      </c>
      <c r="C53">
        <v>122</v>
      </c>
      <c r="D53" s="31">
        <v>22.95</v>
      </c>
      <c r="E53" s="31">
        <v>2799.9</v>
      </c>
      <c r="F53">
        <f t="shared" si="0"/>
        <v>0.4375</v>
      </c>
      <c r="G53">
        <f>ROUND((1-F53:F685)*E53:E685,2)</f>
        <v>1574.94</v>
      </c>
    </row>
    <row r="54" spans="1:7">
      <c r="A54" s="30">
        <v>43040</v>
      </c>
      <c r="B54" t="s">
        <v>24</v>
      </c>
      <c r="C54">
        <v>3</v>
      </c>
      <c r="D54" s="31">
        <v>14.95</v>
      </c>
      <c r="E54" s="31">
        <v>44.85</v>
      </c>
      <c r="F54">
        <f t="shared" si="0"/>
        <v>0</v>
      </c>
      <c r="G54">
        <f>ROUND((1-F54:F686)*E54:E686,2)</f>
        <v>44.85</v>
      </c>
    </row>
    <row r="55" spans="1:7">
      <c r="A55" s="30">
        <v>43042</v>
      </c>
      <c r="B55" t="s">
        <v>36</v>
      </c>
      <c r="C55">
        <v>122</v>
      </c>
      <c r="D55" s="31">
        <v>21.95</v>
      </c>
      <c r="E55" s="31">
        <v>2677.9</v>
      </c>
      <c r="F55">
        <f t="shared" si="0"/>
        <v>0.4375</v>
      </c>
      <c r="G55">
        <f>ROUND((1-F55:F687)*E55:E687,2)</f>
        <v>1506.32</v>
      </c>
    </row>
    <row r="56" spans="1:7">
      <c r="A56" s="30">
        <v>43041</v>
      </c>
      <c r="B56" t="s">
        <v>36</v>
      </c>
      <c r="C56">
        <v>81</v>
      </c>
      <c r="D56" s="31">
        <v>21.95</v>
      </c>
      <c r="E56" s="31">
        <v>1777.95</v>
      </c>
      <c r="F56">
        <f t="shared" si="0"/>
        <v>0.375</v>
      </c>
      <c r="G56">
        <f>ROUND((1-F56:F688)*E56:E688,2)</f>
        <v>1111.22</v>
      </c>
    </row>
    <row r="57" spans="1:7">
      <c r="A57" s="30">
        <v>43045</v>
      </c>
      <c r="B57" t="s">
        <v>36</v>
      </c>
      <c r="C57">
        <v>21</v>
      </c>
      <c r="D57" s="31">
        <v>21.95</v>
      </c>
      <c r="E57" s="31">
        <v>460.95</v>
      </c>
      <c r="F57">
        <f t="shared" si="0"/>
        <v>0.25</v>
      </c>
      <c r="G57">
        <f>ROUND((1-F57:F689)*E57:E689,2)</f>
        <v>345.71</v>
      </c>
    </row>
    <row r="58" spans="1:7">
      <c r="A58" s="30">
        <v>43042</v>
      </c>
      <c r="B58" t="s">
        <v>37</v>
      </c>
      <c r="C58">
        <v>144</v>
      </c>
      <c r="D58" s="31">
        <v>22.95</v>
      </c>
      <c r="E58" s="31">
        <v>3304.8</v>
      </c>
      <c r="F58">
        <f t="shared" si="0"/>
        <v>0.5</v>
      </c>
      <c r="G58">
        <f>ROUND((1-F58:F690)*E58:E690,2)</f>
        <v>1652.4</v>
      </c>
    </row>
    <row r="59" spans="1:7">
      <c r="A59" s="30">
        <v>43046</v>
      </c>
      <c r="B59" t="s">
        <v>24</v>
      </c>
      <c r="C59">
        <v>139</v>
      </c>
      <c r="D59" s="31">
        <v>14.95</v>
      </c>
      <c r="E59" s="31">
        <v>2078.05</v>
      </c>
      <c r="F59">
        <f t="shared" si="0"/>
        <v>0.4375</v>
      </c>
      <c r="G59">
        <f>ROUND((1-F59:F691)*E59:E691,2)</f>
        <v>1168.9</v>
      </c>
    </row>
    <row r="60" spans="1:7">
      <c r="A60" s="30">
        <v>43042</v>
      </c>
      <c r="B60" t="s">
        <v>24</v>
      </c>
      <c r="C60">
        <v>105</v>
      </c>
      <c r="D60" s="31">
        <v>14.95</v>
      </c>
      <c r="E60" s="31">
        <v>1569.75</v>
      </c>
      <c r="F60">
        <f t="shared" si="0"/>
        <v>0.4375</v>
      </c>
      <c r="G60">
        <f>ROUND((1-F60:F692)*E60:E692,2)</f>
        <v>882.98</v>
      </c>
    </row>
    <row r="61" spans="1:7">
      <c r="A61" s="30">
        <v>43043</v>
      </c>
      <c r="B61" t="s">
        <v>37</v>
      </c>
      <c r="C61">
        <v>14</v>
      </c>
      <c r="D61" s="31">
        <v>22.95</v>
      </c>
      <c r="E61" s="31">
        <v>321.3</v>
      </c>
      <c r="F61">
        <f t="shared" si="0"/>
        <v>0.25</v>
      </c>
      <c r="G61">
        <f>ROUND((1-F61:F693)*E61:E693,2)</f>
        <v>240.98</v>
      </c>
    </row>
    <row r="62" spans="1:7">
      <c r="A62" s="30">
        <v>43043</v>
      </c>
      <c r="B62" t="s">
        <v>37</v>
      </c>
      <c r="C62">
        <v>95</v>
      </c>
      <c r="D62" s="31">
        <v>22.95</v>
      </c>
      <c r="E62" s="31">
        <v>2180.25</v>
      </c>
      <c r="F62">
        <f t="shared" si="0"/>
        <v>0.375</v>
      </c>
      <c r="G62">
        <f>ROUND((1-F62:F694)*E62:E694,2)</f>
        <v>1362.66</v>
      </c>
    </row>
    <row r="63" spans="1:7">
      <c r="A63" s="30">
        <v>43042</v>
      </c>
      <c r="B63" t="s">
        <v>26</v>
      </c>
      <c r="C63">
        <v>142</v>
      </c>
      <c r="D63" s="31">
        <v>43.95</v>
      </c>
      <c r="E63" s="31">
        <v>6240.9</v>
      </c>
      <c r="F63">
        <f t="shared" si="0"/>
        <v>0.4375</v>
      </c>
      <c r="G63">
        <f>ROUND((1-F63:F695)*E63:E695,2)</f>
        <v>3510.51</v>
      </c>
    </row>
    <row r="64" spans="1:7">
      <c r="A64" s="30">
        <v>43040</v>
      </c>
      <c r="B64" t="s">
        <v>24</v>
      </c>
      <c r="C64">
        <v>150</v>
      </c>
      <c r="D64" s="31">
        <v>14.95</v>
      </c>
      <c r="E64" s="31">
        <v>2242.5</v>
      </c>
      <c r="F64">
        <f t="shared" si="0"/>
        <v>0.5</v>
      </c>
      <c r="G64">
        <f>ROUND((1-F64:F696)*E64:E696,2)</f>
        <v>1121.25</v>
      </c>
    </row>
    <row r="65" spans="1:7">
      <c r="A65" s="30">
        <v>43045</v>
      </c>
      <c r="B65" t="s">
        <v>36</v>
      </c>
      <c r="C65">
        <v>79</v>
      </c>
      <c r="D65" s="31">
        <v>21.95</v>
      </c>
      <c r="E65" s="31">
        <v>1734.05</v>
      </c>
      <c r="F65">
        <f t="shared" si="0"/>
        <v>0.375</v>
      </c>
      <c r="G65">
        <f>ROUND((1-F65:F697)*E65:E697,2)</f>
        <v>1083.78</v>
      </c>
    </row>
    <row r="66" spans="1:7">
      <c r="A66" s="30">
        <v>43040</v>
      </c>
      <c r="B66" t="s">
        <v>24</v>
      </c>
      <c r="C66">
        <v>57</v>
      </c>
      <c r="D66" s="31">
        <v>14.95</v>
      </c>
      <c r="E66" s="31">
        <v>852.15</v>
      </c>
      <c r="F66">
        <f t="shared" si="0"/>
        <v>0.375</v>
      </c>
      <c r="G66">
        <f>ROUND((1-F66:F698)*E66:E698,2)</f>
        <v>532.59</v>
      </c>
    </row>
    <row r="67" spans="1:7">
      <c r="A67" s="30">
        <v>43043</v>
      </c>
      <c r="B67" t="s">
        <v>24</v>
      </c>
      <c r="C67">
        <v>62</v>
      </c>
      <c r="D67" s="31">
        <v>14.95</v>
      </c>
      <c r="E67" s="31">
        <v>926.9</v>
      </c>
      <c r="F67">
        <f t="shared" si="0"/>
        <v>0.375</v>
      </c>
      <c r="G67">
        <f>ROUND((1-F67:F699)*E67:E699,2)</f>
        <v>579.31</v>
      </c>
    </row>
    <row r="68" spans="1:7">
      <c r="A68" s="30">
        <v>43041</v>
      </c>
      <c r="B68" t="s">
        <v>24</v>
      </c>
      <c r="C68">
        <v>177</v>
      </c>
      <c r="D68" s="31">
        <v>14.95</v>
      </c>
      <c r="E68" s="31">
        <v>2646.15</v>
      </c>
      <c r="F68">
        <f t="shared" si="0"/>
        <v>0.55</v>
      </c>
      <c r="G68">
        <f>ROUND((1-F68:F700)*E68:E700,2)</f>
        <v>1190.77</v>
      </c>
    </row>
    <row r="69" spans="1:7">
      <c r="A69" s="30">
        <v>43044</v>
      </c>
      <c r="B69" t="s">
        <v>37</v>
      </c>
      <c r="C69">
        <v>165</v>
      </c>
      <c r="D69" s="31">
        <v>22.95</v>
      </c>
      <c r="E69" s="31">
        <v>3786.75</v>
      </c>
      <c r="F69">
        <f t="shared" si="0"/>
        <v>0.5</v>
      </c>
      <c r="G69">
        <f>ROUND((1-F69:F701)*E69:E701,2)</f>
        <v>1893.38</v>
      </c>
    </row>
    <row r="70" spans="1:7">
      <c r="A70" s="30">
        <v>43041</v>
      </c>
      <c r="B70" t="s">
        <v>36</v>
      </c>
      <c r="C70">
        <v>37</v>
      </c>
      <c r="D70" s="31">
        <v>21.95</v>
      </c>
      <c r="E70" s="31">
        <v>812.15</v>
      </c>
      <c r="F70">
        <f t="shared" si="0"/>
        <v>0.25</v>
      </c>
      <c r="G70">
        <f>ROUND((1-F70:F702)*E70:E702,2)</f>
        <v>609.11</v>
      </c>
    </row>
    <row r="71" spans="1:7">
      <c r="A71" s="30">
        <v>43044</v>
      </c>
      <c r="B71" t="s">
        <v>36</v>
      </c>
      <c r="C71">
        <v>181</v>
      </c>
      <c r="D71" s="31">
        <v>21.95</v>
      </c>
      <c r="E71" s="31">
        <v>3972.95</v>
      </c>
      <c r="F71">
        <f t="shared" si="0"/>
        <v>0.55</v>
      </c>
      <c r="G71">
        <f>ROUND((1-F71:F703)*E71:E703,2)</f>
        <v>1787.83</v>
      </c>
    </row>
    <row r="72" spans="1:7">
      <c r="A72" s="30">
        <v>43043</v>
      </c>
      <c r="B72" t="s">
        <v>36</v>
      </c>
      <c r="C72">
        <v>148</v>
      </c>
      <c r="D72" s="31">
        <v>21.95</v>
      </c>
      <c r="E72" s="31">
        <v>3248.6</v>
      </c>
      <c r="F72">
        <f t="shared" si="0"/>
        <v>0.5</v>
      </c>
      <c r="G72">
        <f>ROUND((1-F72:F704)*E72:E704,2)</f>
        <v>1624.3</v>
      </c>
    </row>
    <row r="73" spans="1:7">
      <c r="A73" s="30">
        <v>43047</v>
      </c>
      <c r="B73" t="s">
        <v>37</v>
      </c>
      <c r="C73">
        <v>132</v>
      </c>
      <c r="D73" s="31">
        <v>22.95</v>
      </c>
      <c r="E73" s="31">
        <v>3029.4</v>
      </c>
      <c r="F73">
        <f t="shared" si="0"/>
        <v>0.4375</v>
      </c>
      <c r="G73">
        <f>ROUND((1-F73:F705)*E73:E705,2)</f>
        <v>1704.04</v>
      </c>
    </row>
    <row r="74" spans="1:7">
      <c r="A74" s="30">
        <v>43045</v>
      </c>
      <c r="B74" t="s">
        <v>24</v>
      </c>
      <c r="C74">
        <v>3</v>
      </c>
      <c r="D74" s="31">
        <v>14.95</v>
      </c>
      <c r="E74" s="31">
        <v>44.85</v>
      </c>
      <c r="F74">
        <f t="shared" si="0"/>
        <v>0</v>
      </c>
      <c r="G74">
        <f>ROUND((1-F74:F706)*E74:E706,2)</f>
        <v>44.85</v>
      </c>
    </row>
    <row r="75" spans="1:7">
      <c r="A75" s="30">
        <v>43040</v>
      </c>
      <c r="B75" t="s">
        <v>24</v>
      </c>
      <c r="C75">
        <v>121</v>
      </c>
      <c r="D75" s="31">
        <v>14.95</v>
      </c>
      <c r="E75" s="31">
        <v>1808.95</v>
      </c>
      <c r="F75">
        <f t="shared" si="0"/>
        <v>0.4375</v>
      </c>
      <c r="G75">
        <f>ROUND((1-F75:F707)*E75:E707,2)</f>
        <v>1017.53</v>
      </c>
    </row>
    <row r="76" spans="1:7">
      <c r="A76" s="30">
        <v>43047</v>
      </c>
      <c r="B76" t="s">
        <v>36</v>
      </c>
      <c r="C76">
        <v>104</v>
      </c>
      <c r="D76" s="31">
        <v>21.95</v>
      </c>
      <c r="E76" s="31">
        <v>2282.8</v>
      </c>
      <c r="F76">
        <f t="shared" si="0"/>
        <v>0.4375</v>
      </c>
      <c r="G76">
        <f>ROUND((1-F76:F708)*E76:E708,2)</f>
        <v>1284.08</v>
      </c>
    </row>
    <row r="77" spans="1:7">
      <c r="A77" s="30">
        <v>43047</v>
      </c>
      <c r="B77" t="s">
        <v>36</v>
      </c>
      <c r="C77">
        <v>155</v>
      </c>
      <c r="D77" s="31">
        <v>21.95</v>
      </c>
      <c r="E77" s="31">
        <v>3402.25</v>
      </c>
      <c r="F77">
        <f t="shared" si="0"/>
        <v>0.5</v>
      </c>
      <c r="G77">
        <f>ROUND((1-F77:F709)*E77:E709,2)</f>
        <v>1701.13</v>
      </c>
    </row>
    <row r="78" spans="1:7">
      <c r="A78" s="30">
        <v>43045</v>
      </c>
      <c r="B78" t="s">
        <v>24</v>
      </c>
      <c r="C78">
        <v>129</v>
      </c>
      <c r="D78" s="31">
        <v>14.95</v>
      </c>
      <c r="E78" s="31">
        <v>1928.55</v>
      </c>
      <c r="F78">
        <f t="shared" si="0"/>
        <v>0.4375</v>
      </c>
      <c r="G78">
        <f>ROUND((1-F78:F710)*E78:E710,2)</f>
        <v>1084.81</v>
      </c>
    </row>
    <row r="79" spans="1:7">
      <c r="A79" s="30">
        <v>43040</v>
      </c>
      <c r="B79" t="s">
        <v>24</v>
      </c>
      <c r="C79">
        <v>72</v>
      </c>
      <c r="D79" s="31">
        <v>14.95</v>
      </c>
      <c r="E79" s="31">
        <v>1076.4</v>
      </c>
      <c r="F79">
        <f t="shared" si="0"/>
        <v>0.375</v>
      </c>
      <c r="G79">
        <f>ROUND((1-F79:F711)*E79:E711,2)</f>
        <v>672.75</v>
      </c>
    </row>
    <row r="80" spans="1:7">
      <c r="A80" s="30">
        <v>43044</v>
      </c>
      <c r="B80" t="s">
        <v>26</v>
      </c>
      <c r="C80">
        <v>164</v>
      </c>
      <c r="D80" s="31">
        <v>43.95</v>
      </c>
      <c r="E80" s="31">
        <v>7207.8</v>
      </c>
      <c r="F80">
        <f t="shared" si="0"/>
        <v>0.5</v>
      </c>
      <c r="G80">
        <f>ROUND((1-F80:F712)*E80:E712,2)</f>
        <v>3603.9</v>
      </c>
    </row>
    <row r="81" spans="1:7">
      <c r="A81" s="30">
        <v>43042</v>
      </c>
      <c r="B81" t="s">
        <v>24</v>
      </c>
      <c r="C81">
        <v>6</v>
      </c>
      <c r="D81" s="31">
        <v>14.95</v>
      </c>
      <c r="E81" s="31">
        <v>89.7</v>
      </c>
      <c r="F81">
        <f t="shared" si="0"/>
        <v>0</v>
      </c>
      <c r="G81">
        <f>ROUND((1-F81:F713)*E81:E713,2)</f>
        <v>89.7</v>
      </c>
    </row>
    <row r="82" spans="1:7">
      <c r="A82" s="30">
        <v>43040</v>
      </c>
      <c r="B82" t="s">
        <v>36</v>
      </c>
      <c r="C82">
        <v>46</v>
      </c>
      <c r="D82" s="31">
        <v>21.95</v>
      </c>
      <c r="E82" s="31">
        <v>1009.7</v>
      </c>
      <c r="F82">
        <f t="shared" si="0"/>
        <v>0.25</v>
      </c>
      <c r="G82">
        <f>ROUND((1-F82:F714)*E82:E714,2)</f>
        <v>757.28</v>
      </c>
    </row>
    <row r="83" spans="1:7">
      <c r="A83" s="30">
        <v>43047</v>
      </c>
      <c r="B83" t="s">
        <v>24</v>
      </c>
      <c r="C83">
        <v>182</v>
      </c>
      <c r="D83" s="31">
        <v>14.95</v>
      </c>
      <c r="E83" s="31">
        <v>2720.9</v>
      </c>
      <c r="F83">
        <f t="shared" si="0"/>
        <v>0.55</v>
      </c>
      <c r="G83">
        <f>ROUND((1-F83:F715)*E83:E715,2)</f>
        <v>1224.41</v>
      </c>
    </row>
    <row r="84" spans="1:7">
      <c r="A84" s="30">
        <v>43041</v>
      </c>
      <c r="B84" t="s">
        <v>24</v>
      </c>
      <c r="C84">
        <v>11</v>
      </c>
      <c r="D84" s="31">
        <v>14.95</v>
      </c>
      <c r="E84" s="31">
        <v>164.45</v>
      </c>
      <c r="F84">
        <f t="shared" si="0"/>
        <v>0</v>
      </c>
      <c r="G84">
        <f>ROUND((1-F84:F716)*E84:E716,2)</f>
        <v>164.45</v>
      </c>
    </row>
    <row r="85" spans="1:7">
      <c r="A85" s="30">
        <v>43047</v>
      </c>
      <c r="B85" t="s">
        <v>26</v>
      </c>
      <c r="C85">
        <v>18</v>
      </c>
      <c r="D85" s="31">
        <v>43.95</v>
      </c>
      <c r="E85" s="31">
        <v>791.1</v>
      </c>
      <c r="F85">
        <f t="shared" ref="F85:F148" si="1">VLOOKUP(C85:C720,$I$19:$J$25,2)</f>
        <v>0.25</v>
      </c>
      <c r="G85">
        <f>ROUND((1-F85:F717)*E85:E717,2)</f>
        <v>593.33</v>
      </c>
    </row>
    <row r="86" spans="1:7">
      <c r="A86" s="30">
        <v>43045</v>
      </c>
      <c r="B86" t="s">
        <v>24</v>
      </c>
      <c r="C86">
        <v>152</v>
      </c>
      <c r="D86" s="31">
        <v>14.95</v>
      </c>
      <c r="E86" s="31">
        <v>2272.4</v>
      </c>
      <c r="F86">
        <f t="shared" si="1"/>
        <v>0.5</v>
      </c>
      <c r="G86">
        <f>ROUND((1-F86:F718)*E86:E718,2)</f>
        <v>1136.2</v>
      </c>
    </row>
    <row r="87" spans="1:7">
      <c r="A87" s="30">
        <v>43040</v>
      </c>
      <c r="B87" t="s">
        <v>36</v>
      </c>
      <c r="C87">
        <v>41</v>
      </c>
      <c r="D87" s="31">
        <v>21.95</v>
      </c>
      <c r="E87" s="31">
        <v>899.95</v>
      </c>
      <c r="F87">
        <f t="shared" si="1"/>
        <v>0.25</v>
      </c>
      <c r="G87">
        <f>ROUND((1-F87:F719)*E87:E719,2)</f>
        <v>674.96</v>
      </c>
    </row>
    <row r="88" spans="1:7">
      <c r="A88" s="30">
        <v>43045</v>
      </c>
      <c r="B88" t="s">
        <v>24</v>
      </c>
      <c r="C88">
        <v>11</v>
      </c>
      <c r="D88" s="31">
        <v>14.95</v>
      </c>
      <c r="E88" s="31">
        <v>164.45</v>
      </c>
      <c r="F88">
        <f t="shared" si="1"/>
        <v>0</v>
      </c>
      <c r="G88">
        <f>ROUND((1-F88:F720)*E88:E720,2)</f>
        <v>164.45</v>
      </c>
    </row>
    <row r="89" spans="1:7">
      <c r="A89" s="30">
        <v>43047</v>
      </c>
      <c r="B89" t="s">
        <v>24</v>
      </c>
      <c r="C89">
        <v>148</v>
      </c>
      <c r="D89" s="31">
        <v>14.95</v>
      </c>
      <c r="E89" s="31">
        <v>2212.6</v>
      </c>
      <c r="F89">
        <f t="shared" si="1"/>
        <v>0.5</v>
      </c>
      <c r="G89">
        <f>ROUND((1-F89:F721)*E89:E721,2)</f>
        <v>1106.3</v>
      </c>
    </row>
    <row r="90" spans="1:7">
      <c r="A90" s="30">
        <v>43044</v>
      </c>
      <c r="B90" t="s">
        <v>24</v>
      </c>
      <c r="C90">
        <v>154</v>
      </c>
      <c r="D90" s="31">
        <v>14.95</v>
      </c>
      <c r="E90" s="31">
        <v>2302.3</v>
      </c>
      <c r="F90">
        <f t="shared" si="1"/>
        <v>0.5</v>
      </c>
      <c r="G90">
        <f>ROUND((1-F90:F722)*E90:E722,2)</f>
        <v>1151.15</v>
      </c>
    </row>
    <row r="91" spans="1:7">
      <c r="A91" s="30">
        <v>43041</v>
      </c>
      <c r="B91" t="s">
        <v>36</v>
      </c>
      <c r="C91">
        <v>115</v>
      </c>
      <c r="D91" s="31">
        <v>21.95</v>
      </c>
      <c r="E91" s="31">
        <v>2524.25</v>
      </c>
      <c r="F91">
        <f t="shared" si="1"/>
        <v>0.4375</v>
      </c>
      <c r="G91">
        <f>ROUND((1-F91:F723)*E91:E723,2)</f>
        <v>1419.89</v>
      </c>
    </row>
    <row r="92" spans="1:7">
      <c r="A92" s="30">
        <v>43046</v>
      </c>
      <c r="B92" t="s">
        <v>26</v>
      </c>
      <c r="C92">
        <v>122</v>
      </c>
      <c r="D92" s="31">
        <v>43.95</v>
      </c>
      <c r="E92" s="31">
        <v>5361.9</v>
      </c>
      <c r="F92">
        <f t="shared" si="1"/>
        <v>0.4375</v>
      </c>
      <c r="G92">
        <f>ROUND((1-F92:F724)*E92:E724,2)</f>
        <v>3016.07</v>
      </c>
    </row>
    <row r="93" spans="1:7">
      <c r="A93" s="30">
        <v>43047</v>
      </c>
      <c r="B93" t="s">
        <v>24</v>
      </c>
      <c r="C93">
        <v>3</v>
      </c>
      <c r="D93" s="31">
        <v>14.95</v>
      </c>
      <c r="E93" s="31">
        <v>44.85</v>
      </c>
      <c r="F93">
        <f t="shared" si="1"/>
        <v>0</v>
      </c>
      <c r="G93">
        <f>ROUND((1-F93:F725)*E93:E725,2)</f>
        <v>44.85</v>
      </c>
    </row>
    <row r="94" spans="1:7">
      <c r="A94" s="30">
        <v>43046</v>
      </c>
      <c r="B94" t="s">
        <v>26</v>
      </c>
      <c r="C94">
        <v>26</v>
      </c>
      <c r="D94" s="31">
        <v>43.95</v>
      </c>
      <c r="E94" s="31">
        <v>1142.7</v>
      </c>
      <c r="F94">
        <f t="shared" si="1"/>
        <v>0.25</v>
      </c>
      <c r="G94">
        <f>ROUND((1-F94:F726)*E94:E726,2)</f>
        <v>857.03</v>
      </c>
    </row>
    <row r="95" spans="1:7">
      <c r="A95" s="30">
        <v>43043</v>
      </c>
      <c r="B95" t="s">
        <v>37</v>
      </c>
      <c r="C95">
        <v>162</v>
      </c>
      <c r="D95" s="31">
        <v>22.95</v>
      </c>
      <c r="E95" s="31">
        <v>3717.9</v>
      </c>
      <c r="F95">
        <f t="shared" si="1"/>
        <v>0.5</v>
      </c>
      <c r="G95">
        <f>ROUND((1-F95:F727)*E95:E727,2)</f>
        <v>1858.95</v>
      </c>
    </row>
    <row r="96" spans="1:7">
      <c r="A96" s="30">
        <v>43046</v>
      </c>
      <c r="B96" t="s">
        <v>26</v>
      </c>
      <c r="C96">
        <v>21</v>
      </c>
      <c r="D96" s="31">
        <v>43.95</v>
      </c>
      <c r="E96" s="31">
        <v>922.95</v>
      </c>
      <c r="F96">
        <f t="shared" si="1"/>
        <v>0.25</v>
      </c>
      <c r="G96">
        <f>ROUND((1-F96:F728)*E96:E728,2)</f>
        <v>692.21</v>
      </c>
    </row>
    <row r="97" spans="1:7">
      <c r="A97" s="30">
        <v>43042</v>
      </c>
      <c r="B97" t="s">
        <v>26</v>
      </c>
      <c r="C97">
        <v>42</v>
      </c>
      <c r="D97" s="31">
        <v>43.95</v>
      </c>
      <c r="E97" s="31">
        <v>1845.9</v>
      </c>
      <c r="F97">
        <f t="shared" si="1"/>
        <v>0.25</v>
      </c>
      <c r="G97">
        <f>ROUND((1-F97:F729)*E97:E729,2)</f>
        <v>1384.43</v>
      </c>
    </row>
    <row r="98" spans="1:7">
      <c r="A98" s="30">
        <v>43044</v>
      </c>
      <c r="B98" t="s">
        <v>37</v>
      </c>
      <c r="C98">
        <v>82</v>
      </c>
      <c r="D98" s="31">
        <v>22.95</v>
      </c>
      <c r="E98" s="31">
        <v>1881.9</v>
      </c>
      <c r="F98">
        <f t="shared" si="1"/>
        <v>0.375</v>
      </c>
      <c r="G98">
        <f>ROUND((1-F98:F730)*E98:E730,2)</f>
        <v>1176.19</v>
      </c>
    </row>
    <row r="99" spans="1:7">
      <c r="A99" s="30">
        <v>43046</v>
      </c>
      <c r="B99" t="s">
        <v>24</v>
      </c>
      <c r="C99">
        <v>78</v>
      </c>
      <c r="D99" s="31">
        <v>14.95</v>
      </c>
      <c r="E99" s="31">
        <v>1166.1</v>
      </c>
      <c r="F99">
        <f t="shared" si="1"/>
        <v>0.375</v>
      </c>
      <c r="G99">
        <f>ROUND((1-F99:F731)*E99:E731,2)</f>
        <v>728.81</v>
      </c>
    </row>
    <row r="100" spans="1:7">
      <c r="A100" s="30">
        <v>43047</v>
      </c>
      <c r="B100" t="s">
        <v>36</v>
      </c>
      <c r="C100">
        <v>127</v>
      </c>
      <c r="D100" s="31">
        <v>21.95</v>
      </c>
      <c r="E100" s="31">
        <v>2787.65</v>
      </c>
      <c r="F100">
        <f t="shared" si="1"/>
        <v>0.4375</v>
      </c>
      <c r="G100">
        <f>ROUND((1-F100:F732)*E100:E732,2)</f>
        <v>1568.05</v>
      </c>
    </row>
    <row r="101" spans="1:7">
      <c r="A101" s="30">
        <v>43040</v>
      </c>
      <c r="B101" t="s">
        <v>26</v>
      </c>
      <c r="C101">
        <v>64</v>
      </c>
      <c r="D101" s="31">
        <v>43.95</v>
      </c>
      <c r="E101" s="31">
        <v>2812.8</v>
      </c>
      <c r="F101">
        <f t="shared" si="1"/>
        <v>0.375</v>
      </c>
      <c r="G101">
        <f>ROUND((1-F101:F733)*E101:E733,2)</f>
        <v>1758</v>
      </c>
    </row>
    <row r="102" spans="1:7">
      <c r="A102" s="30">
        <v>43044</v>
      </c>
      <c r="B102" t="s">
        <v>26</v>
      </c>
      <c r="C102">
        <v>152</v>
      </c>
      <c r="D102" s="31">
        <v>43.95</v>
      </c>
      <c r="E102" s="31">
        <v>6680.4</v>
      </c>
      <c r="F102">
        <f t="shared" si="1"/>
        <v>0.5</v>
      </c>
      <c r="G102">
        <f>ROUND((1-F102:F734)*E102:E734,2)</f>
        <v>3340.2</v>
      </c>
    </row>
    <row r="103" spans="1:7">
      <c r="A103" s="30">
        <v>43042</v>
      </c>
      <c r="B103" t="s">
        <v>24</v>
      </c>
      <c r="C103">
        <v>53</v>
      </c>
      <c r="D103" s="31">
        <v>14.95</v>
      </c>
      <c r="E103" s="31">
        <v>792.35</v>
      </c>
      <c r="F103">
        <f t="shared" si="1"/>
        <v>0.375</v>
      </c>
      <c r="G103">
        <f>ROUND((1-F103:F735)*E103:E735,2)</f>
        <v>495.22</v>
      </c>
    </row>
    <row r="104" spans="1:7">
      <c r="A104" s="30">
        <v>43044</v>
      </c>
      <c r="B104" t="s">
        <v>26</v>
      </c>
      <c r="C104">
        <v>11</v>
      </c>
      <c r="D104" s="31">
        <v>43.95</v>
      </c>
      <c r="E104" s="31">
        <v>483.45</v>
      </c>
      <c r="F104">
        <f t="shared" si="1"/>
        <v>0</v>
      </c>
      <c r="G104">
        <f>ROUND((1-F104:F736)*E104:E736,2)</f>
        <v>483.45</v>
      </c>
    </row>
    <row r="105" spans="1:7">
      <c r="A105" s="30">
        <v>43043</v>
      </c>
      <c r="B105" t="s">
        <v>37</v>
      </c>
      <c r="C105">
        <v>170</v>
      </c>
      <c r="D105" s="31">
        <v>22.95</v>
      </c>
      <c r="E105" s="31">
        <v>3901.5</v>
      </c>
      <c r="F105">
        <f t="shared" si="1"/>
        <v>0.55</v>
      </c>
      <c r="G105">
        <f>ROUND((1-F105:F737)*E105:E737,2)</f>
        <v>1755.68</v>
      </c>
    </row>
    <row r="106" spans="1:7">
      <c r="A106" s="30">
        <v>43041</v>
      </c>
      <c r="B106" t="s">
        <v>24</v>
      </c>
      <c r="C106">
        <v>170</v>
      </c>
      <c r="D106" s="31">
        <v>14.95</v>
      </c>
      <c r="E106" s="31">
        <v>2541.5</v>
      </c>
      <c r="F106">
        <f t="shared" si="1"/>
        <v>0.55</v>
      </c>
      <c r="G106">
        <f>ROUND((1-F106:F738)*E106:E738,2)</f>
        <v>1143.68</v>
      </c>
    </row>
    <row r="107" spans="1:7">
      <c r="A107" s="30">
        <v>43047</v>
      </c>
      <c r="B107" t="s">
        <v>36</v>
      </c>
      <c r="C107">
        <v>31</v>
      </c>
      <c r="D107" s="31">
        <v>21.95</v>
      </c>
      <c r="E107" s="31">
        <v>680.45</v>
      </c>
      <c r="F107">
        <f t="shared" si="1"/>
        <v>0.25</v>
      </c>
      <c r="G107">
        <f>ROUND((1-F107:F739)*E107:E739,2)</f>
        <v>510.34</v>
      </c>
    </row>
    <row r="108" spans="1:7">
      <c r="A108" s="30">
        <v>43041</v>
      </c>
      <c r="B108" t="s">
        <v>26</v>
      </c>
      <c r="C108">
        <v>7</v>
      </c>
      <c r="D108" s="31">
        <v>43.95</v>
      </c>
      <c r="E108" s="31">
        <v>307.65</v>
      </c>
      <c r="F108">
        <f t="shared" si="1"/>
        <v>0</v>
      </c>
      <c r="G108">
        <f>ROUND((1-F108:F740)*E108:E740,2)</f>
        <v>307.65</v>
      </c>
    </row>
    <row r="109" spans="1:7">
      <c r="A109" s="30">
        <v>43046</v>
      </c>
      <c r="B109" t="s">
        <v>26</v>
      </c>
      <c r="C109">
        <v>175</v>
      </c>
      <c r="D109" s="31">
        <v>43.95</v>
      </c>
      <c r="E109" s="31">
        <v>7691.25</v>
      </c>
      <c r="F109">
        <f t="shared" si="1"/>
        <v>0.55</v>
      </c>
      <c r="G109">
        <f>ROUND((1-F109:F741)*E109:E741,2)</f>
        <v>3461.06</v>
      </c>
    </row>
    <row r="110" spans="1:7">
      <c r="A110" s="30">
        <v>43047</v>
      </c>
      <c r="B110" t="s">
        <v>36</v>
      </c>
      <c r="C110">
        <v>107</v>
      </c>
      <c r="D110" s="31">
        <v>21.95</v>
      </c>
      <c r="E110" s="31">
        <v>2348.65</v>
      </c>
      <c r="F110">
        <f t="shared" si="1"/>
        <v>0.4375</v>
      </c>
      <c r="G110">
        <f>ROUND((1-F110:F742)*E110:E742,2)</f>
        <v>1321.12</v>
      </c>
    </row>
    <row r="111" spans="1:7">
      <c r="A111" s="30">
        <v>43046</v>
      </c>
      <c r="B111" t="s">
        <v>24</v>
      </c>
      <c r="C111">
        <v>123</v>
      </c>
      <c r="D111" s="31">
        <v>14.95</v>
      </c>
      <c r="E111" s="31">
        <v>1838.85</v>
      </c>
      <c r="F111">
        <f t="shared" si="1"/>
        <v>0.4375</v>
      </c>
      <c r="G111">
        <f>ROUND((1-F111:F743)*E111:E743,2)</f>
        <v>1034.35</v>
      </c>
    </row>
    <row r="112" spans="1:7">
      <c r="A112" s="30">
        <v>43045</v>
      </c>
      <c r="B112" t="s">
        <v>24</v>
      </c>
      <c r="C112">
        <v>21</v>
      </c>
      <c r="D112" s="31">
        <v>14.95</v>
      </c>
      <c r="E112" s="31">
        <v>313.95</v>
      </c>
      <c r="F112">
        <f t="shared" si="1"/>
        <v>0.25</v>
      </c>
      <c r="G112">
        <f>ROUND((1-F112:F744)*E112:E744,2)</f>
        <v>235.46</v>
      </c>
    </row>
    <row r="113" spans="1:7">
      <c r="A113" s="30">
        <v>43040</v>
      </c>
      <c r="B113" t="s">
        <v>36</v>
      </c>
      <c r="C113">
        <v>8</v>
      </c>
      <c r="D113" s="31">
        <v>21.95</v>
      </c>
      <c r="E113" s="31">
        <v>175.6</v>
      </c>
      <c r="F113">
        <f t="shared" si="1"/>
        <v>0</v>
      </c>
      <c r="G113">
        <f>ROUND((1-F113:F745)*E113:E745,2)</f>
        <v>175.6</v>
      </c>
    </row>
    <row r="114" spans="1:7">
      <c r="A114" s="30">
        <v>43042</v>
      </c>
      <c r="B114" t="s">
        <v>37</v>
      </c>
      <c r="C114">
        <v>115</v>
      </c>
      <c r="D114" s="31">
        <v>22.95</v>
      </c>
      <c r="E114" s="31">
        <v>2639.25</v>
      </c>
      <c r="F114">
        <f t="shared" si="1"/>
        <v>0.4375</v>
      </c>
      <c r="G114">
        <f>ROUND((1-F114:F746)*E114:E746,2)</f>
        <v>1484.58</v>
      </c>
    </row>
    <row r="115" spans="1:7">
      <c r="A115" s="30">
        <v>43043</v>
      </c>
      <c r="B115" t="s">
        <v>24</v>
      </c>
      <c r="C115">
        <v>50</v>
      </c>
      <c r="D115" s="31">
        <v>14.95</v>
      </c>
      <c r="E115" s="31">
        <v>747.5</v>
      </c>
      <c r="F115">
        <f t="shared" si="1"/>
        <v>0.375</v>
      </c>
      <c r="G115">
        <f>ROUND((1-F115:F747)*E115:E747,2)</f>
        <v>467.19</v>
      </c>
    </row>
    <row r="116" spans="1:7">
      <c r="A116" s="30">
        <v>43047</v>
      </c>
      <c r="B116" t="s">
        <v>24</v>
      </c>
      <c r="C116">
        <v>121</v>
      </c>
      <c r="D116" s="31">
        <v>14.95</v>
      </c>
      <c r="E116" s="31">
        <v>1808.95</v>
      </c>
      <c r="F116">
        <f t="shared" si="1"/>
        <v>0.4375</v>
      </c>
      <c r="G116">
        <f>ROUND((1-F116:F748)*E116:E748,2)</f>
        <v>1017.53</v>
      </c>
    </row>
    <row r="117" spans="1:7">
      <c r="A117" s="30">
        <v>43041</v>
      </c>
      <c r="B117" t="s">
        <v>24</v>
      </c>
      <c r="C117">
        <v>35</v>
      </c>
      <c r="D117" s="31">
        <v>14.95</v>
      </c>
      <c r="E117" s="31">
        <v>523.25</v>
      </c>
      <c r="F117">
        <f t="shared" si="1"/>
        <v>0.25</v>
      </c>
      <c r="G117">
        <f>ROUND((1-F117:F749)*E117:E749,2)</f>
        <v>392.44</v>
      </c>
    </row>
    <row r="118" spans="1:7">
      <c r="A118" s="30">
        <v>43044</v>
      </c>
      <c r="B118" t="s">
        <v>37</v>
      </c>
      <c r="C118">
        <v>106</v>
      </c>
      <c r="D118" s="31">
        <v>22.95</v>
      </c>
      <c r="E118" s="31">
        <v>2432.7</v>
      </c>
      <c r="F118">
        <f t="shared" si="1"/>
        <v>0.4375</v>
      </c>
      <c r="G118">
        <f>ROUND((1-F118:F750)*E118:E750,2)</f>
        <v>1368.39</v>
      </c>
    </row>
    <row r="119" spans="1:7">
      <c r="A119" s="30">
        <v>43041</v>
      </c>
      <c r="B119" t="s">
        <v>24</v>
      </c>
      <c r="C119">
        <v>125</v>
      </c>
      <c r="D119" s="31">
        <v>14.95</v>
      </c>
      <c r="E119" s="31">
        <v>1868.75</v>
      </c>
      <c r="F119">
        <f t="shared" si="1"/>
        <v>0.4375</v>
      </c>
      <c r="G119">
        <f>ROUND((1-F119:F751)*E119:E751,2)</f>
        <v>1051.17</v>
      </c>
    </row>
    <row r="120" spans="1:7">
      <c r="A120" s="30">
        <v>43040</v>
      </c>
      <c r="B120" t="s">
        <v>24</v>
      </c>
      <c r="C120">
        <v>182</v>
      </c>
      <c r="D120" s="31">
        <v>14.95</v>
      </c>
      <c r="E120" s="31">
        <v>2720.9</v>
      </c>
      <c r="F120">
        <f t="shared" si="1"/>
        <v>0.55</v>
      </c>
      <c r="G120">
        <f>ROUND((1-F120:F752)*E120:E752,2)</f>
        <v>1224.41</v>
      </c>
    </row>
    <row r="121" spans="1:7">
      <c r="A121" s="30">
        <v>43046</v>
      </c>
      <c r="B121" t="s">
        <v>26</v>
      </c>
      <c r="C121">
        <v>98</v>
      </c>
      <c r="D121" s="31">
        <v>43.95</v>
      </c>
      <c r="E121" s="31">
        <v>4307.1</v>
      </c>
      <c r="F121">
        <f t="shared" si="1"/>
        <v>0.4375</v>
      </c>
      <c r="G121">
        <f>ROUND((1-F121:F753)*E121:E753,2)</f>
        <v>2422.74</v>
      </c>
    </row>
    <row r="122" spans="1:7">
      <c r="A122" s="30">
        <v>43042</v>
      </c>
      <c r="B122" t="s">
        <v>24</v>
      </c>
      <c r="C122">
        <v>80</v>
      </c>
      <c r="D122" s="31">
        <v>14.95</v>
      </c>
      <c r="E122" s="31">
        <v>1196</v>
      </c>
      <c r="F122">
        <f t="shared" si="1"/>
        <v>0.375</v>
      </c>
      <c r="G122">
        <f>ROUND((1-F122:F754)*E122:E754,2)</f>
        <v>747.5</v>
      </c>
    </row>
    <row r="123" spans="1:7">
      <c r="A123" s="30">
        <v>43044</v>
      </c>
      <c r="B123" t="s">
        <v>36</v>
      </c>
      <c r="C123">
        <v>18</v>
      </c>
      <c r="D123" s="31">
        <v>21.95</v>
      </c>
      <c r="E123" s="31">
        <v>395.1</v>
      </c>
      <c r="F123">
        <f t="shared" si="1"/>
        <v>0.25</v>
      </c>
      <c r="G123">
        <f>ROUND((1-F123:F755)*E123:E755,2)</f>
        <v>296.33</v>
      </c>
    </row>
    <row r="124" spans="1:7">
      <c r="A124" s="30">
        <v>43043</v>
      </c>
      <c r="B124" t="s">
        <v>24</v>
      </c>
      <c r="C124">
        <v>80</v>
      </c>
      <c r="D124" s="31">
        <v>14.95</v>
      </c>
      <c r="E124" s="31">
        <v>1196</v>
      </c>
      <c r="F124">
        <f t="shared" si="1"/>
        <v>0.375</v>
      </c>
      <c r="G124">
        <f>ROUND((1-F124:F756)*E124:E756,2)</f>
        <v>747.5</v>
      </c>
    </row>
    <row r="125" spans="1:7">
      <c r="A125" s="30">
        <v>43041</v>
      </c>
      <c r="B125" t="s">
        <v>37</v>
      </c>
      <c r="C125">
        <v>52</v>
      </c>
      <c r="D125" s="31">
        <v>22.95</v>
      </c>
      <c r="E125" s="31">
        <v>1193.4</v>
      </c>
      <c r="F125">
        <f t="shared" si="1"/>
        <v>0.375</v>
      </c>
      <c r="G125">
        <f>ROUND((1-F125:F757)*E125:E757,2)</f>
        <v>745.88</v>
      </c>
    </row>
    <row r="126" spans="1:7">
      <c r="A126" s="30">
        <v>43042</v>
      </c>
      <c r="B126" t="s">
        <v>26</v>
      </c>
      <c r="C126">
        <v>52</v>
      </c>
      <c r="D126" s="31">
        <v>43.95</v>
      </c>
      <c r="E126" s="31">
        <v>2285.4</v>
      </c>
      <c r="F126">
        <f t="shared" si="1"/>
        <v>0.375</v>
      </c>
      <c r="G126">
        <f>ROUND((1-F126:F758)*E126:E758,2)</f>
        <v>1428.38</v>
      </c>
    </row>
    <row r="127" spans="1:7">
      <c r="A127" s="30">
        <v>43045</v>
      </c>
      <c r="B127" t="s">
        <v>37</v>
      </c>
      <c r="C127">
        <v>119</v>
      </c>
      <c r="D127" s="31">
        <v>22.95</v>
      </c>
      <c r="E127" s="31">
        <v>2731.05</v>
      </c>
      <c r="F127">
        <f t="shared" si="1"/>
        <v>0.4375</v>
      </c>
      <c r="G127">
        <f>ROUND((1-F127:F759)*E127:E759,2)</f>
        <v>1536.22</v>
      </c>
    </row>
    <row r="128" spans="1:7">
      <c r="A128" s="30">
        <v>43047</v>
      </c>
      <c r="B128" t="s">
        <v>24</v>
      </c>
      <c r="C128">
        <v>129</v>
      </c>
      <c r="D128" s="31">
        <v>14.95</v>
      </c>
      <c r="E128" s="31">
        <v>1928.55</v>
      </c>
      <c r="F128">
        <f t="shared" si="1"/>
        <v>0.4375</v>
      </c>
      <c r="G128">
        <f>ROUND((1-F128:F760)*E128:E760,2)</f>
        <v>1084.81</v>
      </c>
    </row>
    <row r="129" spans="1:7">
      <c r="A129" s="30">
        <v>43047</v>
      </c>
      <c r="B129" t="s">
        <v>24</v>
      </c>
      <c r="C129">
        <v>141</v>
      </c>
      <c r="D129" s="31">
        <v>14.95</v>
      </c>
      <c r="E129" s="31">
        <v>2107.95</v>
      </c>
      <c r="F129">
        <f t="shared" si="1"/>
        <v>0.4375</v>
      </c>
      <c r="G129">
        <f>ROUND((1-F129:F761)*E129:E761,2)</f>
        <v>1185.72</v>
      </c>
    </row>
    <row r="130" spans="1:7">
      <c r="A130" s="30">
        <v>43047</v>
      </c>
      <c r="B130" t="s">
        <v>26</v>
      </c>
      <c r="C130">
        <v>95</v>
      </c>
      <c r="D130" s="31">
        <v>43.95</v>
      </c>
      <c r="E130" s="31">
        <v>4175.25</v>
      </c>
      <c r="F130">
        <f t="shared" si="1"/>
        <v>0.375</v>
      </c>
      <c r="G130">
        <f>ROUND((1-F130:F762)*E130:E762,2)</f>
        <v>2609.53</v>
      </c>
    </row>
    <row r="131" spans="1:7">
      <c r="A131" s="30">
        <v>43041</v>
      </c>
      <c r="B131" t="s">
        <v>37</v>
      </c>
      <c r="C131">
        <v>112</v>
      </c>
      <c r="D131" s="31">
        <v>22.95</v>
      </c>
      <c r="E131" s="31">
        <v>2570.4</v>
      </c>
      <c r="F131">
        <f t="shared" si="1"/>
        <v>0.4375</v>
      </c>
      <c r="G131">
        <f>ROUND((1-F131:F763)*E131:E763,2)</f>
        <v>1445.85</v>
      </c>
    </row>
    <row r="132" spans="1:7">
      <c r="A132" s="30">
        <v>43043</v>
      </c>
      <c r="B132" t="s">
        <v>26</v>
      </c>
      <c r="C132">
        <v>40</v>
      </c>
      <c r="D132" s="31">
        <v>43.95</v>
      </c>
      <c r="E132" s="31">
        <v>1758</v>
      </c>
      <c r="F132">
        <f t="shared" si="1"/>
        <v>0.25</v>
      </c>
      <c r="G132">
        <f>ROUND((1-F132:F764)*E132:E764,2)</f>
        <v>1318.5</v>
      </c>
    </row>
    <row r="133" spans="1:7">
      <c r="A133" s="30">
        <v>43044</v>
      </c>
      <c r="B133" t="s">
        <v>26</v>
      </c>
      <c r="C133">
        <v>160</v>
      </c>
      <c r="D133" s="31">
        <v>43.95</v>
      </c>
      <c r="E133" s="31">
        <v>7032</v>
      </c>
      <c r="F133">
        <f t="shared" si="1"/>
        <v>0.5</v>
      </c>
      <c r="G133">
        <f>ROUND((1-F133:F765)*E133:E765,2)</f>
        <v>3516</v>
      </c>
    </row>
    <row r="134" spans="1:7">
      <c r="A134" s="30">
        <v>43043</v>
      </c>
      <c r="B134" t="s">
        <v>24</v>
      </c>
      <c r="C134">
        <v>81</v>
      </c>
      <c r="D134" s="31">
        <v>14.95</v>
      </c>
      <c r="E134" s="31">
        <v>1210.95</v>
      </c>
      <c r="F134">
        <f t="shared" si="1"/>
        <v>0.375</v>
      </c>
      <c r="G134">
        <f>ROUND((1-F134:F766)*E134:E766,2)</f>
        <v>756.84</v>
      </c>
    </row>
    <row r="135" spans="1:7">
      <c r="A135" s="30">
        <v>43044</v>
      </c>
      <c r="B135" t="s">
        <v>26</v>
      </c>
      <c r="C135">
        <v>157</v>
      </c>
      <c r="D135" s="31">
        <v>43.95</v>
      </c>
      <c r="E135" s="31">
        <v>6900.15</v>
      </c>
      <c r="F135">
        <f t="shared" si="1"/>
        <v>0.5</v>
      </c>
      <c r="G135">
        <f>ROUND((1-F135:F767)*E135:E767,2)</f>
        <v>3450.08</v>
      </c>
    </row>
    <row r="136" spans="1:7">
      <c r="A136" s="30">
        <v>43046</v>
      </c>
      <c r="B136" t="s">
        <v>37</v>
      </c>
      <c r="C136">
        <v>12</v>
      </c>
      <c r="D136" s="31">
        <v>22.95</v>
      </c>
      <c r="E136" s="31">
        <v>275.4</v>
      </c>
      <c r="F136">
        <f t="shared" si="1"/>
        <v>0.25</v>
      </c>
      <c r="G136">
        <f>ROUND((1-F136:F768)*E136:E768,2)</f>
        <v>206.55</v>
      </c>
    </row>
    <row r="137" spans="1:7">
      <c r="A137" s="30">
        <v>43040</v>
      </c>
      <c r="B137" t="s">
        <v>24</v>
      </c>
      <c r="C137">
        <v>117</v>
      </c>
      <c r="D137" s="31">
        <v>14.95</v>
      </c>
      <c r="E137" s="31">
        <v>1749.15</v>
      </c>
      <c r="F137">
        <f t="shared" si="1"/>
        <v>0.4375</v>
      </c>
      <c r="G137">
        <f>ROUND((1-F137:F769)*E137:E769,2)</f>
        <v>983.9</v>
      </c>
    </row>
    <row r="138" spans="1:7">
      <c r="A138" s="30">
        <v>43043</v>
      </c>
      <c r="B138" t="s">
        <v>26</v>
      </c>
      <c r="C138">
        <v>118</v>
      </c>
      <c r="D138" s="31">
        <v>43.95</v>
      </c>
      <c r="E138" s="31">
        <v>5186.1</v>
      </c>
      <c r="F138">
        <f t="shared" si="1"/>
        <v>0.4375</v>
      </c>
      <c r="G138">
        <f>ROUND((1-F138:F770)*E138:E770,2)</f>
        <v>2917.18</v>
      </c>
    </row>
    <row r="139" spans="1:7">
      <c r="A139" s="30">
        <v>43042</v>
      </c>
      <c r="B139" t="s">
        <v>37</v>
      </c>
      <c r="C139">
        <v>6</v>
      </c>
      <c r="D139" s="31">
        <v>22.95</v>
      </c>
      <c r="E139" s="31">
        <v>137.7</v>
      </c>
      <c r="F139">
        <f t="shared" si="1"/>
        <v>0</v>
      </c>
      <c r="G139">
        <f>ROUND((1-F139:F771)*E139:E771,2)</f>
        <v>137.7</v>
      </c>
    </row>
    <row r="140" spans="1:7">
      <c r="A140" s="30">
        <v>43043</v>
      </c>
      <c r="B140" t="s">
        <v>24</v>
      </c>
      <c r="C140">
        <v>107</v>
      </c>
      <c r="D140" s="31">
        <v>14.95</v>
      </c>
      <c r="E140" s="31">
        <v>1599.65</v>
      </c>
      <c r="F140">
        <f t="shared" si="1"/>
        <v>0.4375</v>
      </c>
      <c r="G140">
        <f>ROUND((1-F140:F772)*E140:E772,2)</f>
        <v>899.8</v>
      </c>
    </row>
    <row r="141" spans="1:7">
      <c r="A141" s="30">
        <v>43041</v>
      </c>
      <c r="B141" t="s">
        <v>36</v>
      </c>
      <c r="C141">
        <v>15</v>
      </c>
      <c r="D141" s="31">
        <v>21.95</v>
      </c>
      <c r="E141" s="31">
        <v>329.25</v>
      </c>
      <c r="F141">
        <f t="shared" si="1"/>
        <v>0.25</v>
      </c>
      <c r="G141">
        <f>ROUND((1-F141:F773)*E141:E773,2)</f>
        <v>246.94</v>
      </c>
    </row>
    <row r="142" spans="1:7">
      <c r="A142" s="30">
        <v>43041</v>
      </c>
      <c r="B142" t="s">
        <v>36</v>
      </c>
      <c r="C142">
        <v>7</v>
      </c>
      <c r="D142" s="31">
        <v>21.95</v>
      </c>
      <c r="E142" s="31">
        <v>153.65</v>
      </c>
      <c r="F142">
        <f t="shared" si="1"/>
        <v>0</v>
      </c>
      <c r="G142">
        <f>ROUND((1-F142:F774)*E142:E774,2)</f>
        <v>153.65</v>
      </c>
    </row>
    <row r="143" spans="1:7">
      <c r="A143" s="30">
        <v>43046</v>
      </c>
      <c r="B143" t="s">
        <v>37</v>
      </c>
      <c r="C143">
        <v>178</v>
      </c>
      <c r="D143" s="31">
        <v>22.95</v>
      </c>
      <c r="E143" s="31">
        <v>4085.1</v>
      </c>
      <c r="F143">
        <f t="shared" si="1"/>
        <v>0.55</v>
      </c>
      <c r="G143">
        <f>ROUND((1-F143:F775)*E143:E775,2)</f>
        <v>1838.3</v>
      </c>
    </row>
    <row r="144" spans="1:7">
      <c r="A144" s="30">
        <v>43042</v>
      </c>
      <c r="B144" t="s">
        <v>24</v>
      </c>
      <c r="C144">
        <v>159</v>
      </c>
      <c r="D144" s="31">
        <v>14.95</v>
      </c>
      <c r="E144" s="31">
        <v>2377.05</v>
      </c>
      <c r="F144">
        <f t="shared" si="1"/>
        <v>0.5</v>
      </c>
      <c r="G144">
        <f>ROUND((1-F144:F776)*E144:E776,2)</f>
        <v>1188.53</v>
      </c>
    </row>
    <row r="145" spans="1:7">
      <c r="A145" s="30">
        <v>43042</v>
      </c>
      <c r="B145" t="s">
        <v>36</v>
      </c>
      <c r="C145">
        <v>48</v>
      </c>
      <c r="D145" s="31">
        <v>21.95</v>
      </c>
      <c r="E145" s="31">
        <v>1053.6</v>
      </c>
      <c r="F145">
        <f t="shared" si="1"/>
        <v>0.375</v>
      </c>
      <c r="G145">
        <f>ROUND((1-F145:F777)*E145:E777,2)</f>
        <v>658.5</v>
      </c>
    </row>
    <row r="146" spans="1:7">
      <c r="A146" s="30">
        <v>43043</v>
      </c>
      <c r="B146" t="s">
        <v>26</v>
      </c>
      <c r="C146">
        <v>12</v>
      </c>
      <c r="D146" s="31">
        <v>43.95</v>
      </c>
      <c r="E146" s="31">
        <v>527.4</v>
      </c>
      <c r="F146">
        <f t="shared" si="1"/>
        <v>0.25</v>
      </c>
      <c r="G146">
        <f>ROUND((1-F146:F778)*E146:E778,2)</f>
        <v>395.55</v>
      </c>
    </row>
    <row r="147" spans="1:7">
      <c r="A147" s="30">
        <v>43041</v>
      </c>
      <c r="B147" t="s">
        <v>26</v>
      </c>
      <c r="C147">
        <v>163</v>
      </c>
      <c r="D147" s="31">
        <v>43.95</v>
      </c>
      <c r="E147" s="31">
        <v>7163.85</v>
      </c>
      <c r="F147">
        <f t="shared" si="1"/>
        <v>0.5</v>
      </c>
      <c r="G147">
        <f>ROUND((1-F147:F779)*E147:E779,2)</f>
        <v>3581.93</v>
      </c>
    </row>
    <row r="148" spans="1:7">
      <c r="A148" s="30">
        <v>43041</v>
      </c>
      <c r="B148" t="s">
        <v>36</v>
      </c>
      <c r="C148">
        <v>133</v>
      </c>
      <c r="D148" s="31">
        <v>21.95</v>
      </c>
      <c r="E148" s="31">
        <v>2919.35</v>
      </c>
      <c r="F148">
        <f t="shared" si="1"/>
        <v>0.4375</v>
      </c>
      <c r="G148">
        <f>ROUND((1-F148:F780)*E148:E780,2)</f>
        <v>1642.13</v>
      </c>
    </row>
    <row r="149" spans="1:7">
      <c r="A149" s="30">
        <v>43042</v>
      </c>
      <c r="B149" t="s">
        <v>24</v>
      </c>
      <c r="C149">
        <v>63</v>
      </c>
      <c r="D149" s="31">
        <v>14.95</v>
      </c>
      <c r="E149" s="31">
        <v>941.85</v>
      </c>
      <c r="F149">
        <f t="shared" ref="F149:F212" si="2">VLOOKUP(C149:C784,$I$19:$J$25,2)</f>
        <v>0.375</v>
      </c>
      <c r="G149">
        <f>ROUND((1-F149:F781)*E149:E781,2)</f>
        <v>588.66</v>
      </c>
    </row>
    <row r="150" spans="1:7">
      <c r="A150" s="30">
        <v>43040</v>
      </c>
      <c r="B150" t="s">
        <v>26</v>
      </c>
      <c r="C150">
        <v>95</v>
      </c>
      <c r="D150" s="31">
        <v>43.95</v>
      </c>
      <c r="E150" s="31">
        <v>4175.25</v>
      </c>
      <c r="F150">
        <f t="shared" si="2"/>
        <v>0.375</v>
      </c>
      <c r="G150">
        <f>ROUND((1-F150:F782)*E150:E782,2)</f>
        <v>2609.53</v>
      </c>
    </row>
    <row r="151" spans="1:7">
      <c r="A151" s="30">
        <v>43042</v>
      </c>
      <c r="B151" t="s">
        <v>24</v>
      </c>
      <c r="C151">
        <v>51</v>
      </c>
      <c r="D151" s="31">
        <v>14.95</v>
      </c>
      <c r="E151" s="31">
        <v>762.45</v>
      </c>
      <c r="F151">
        <f t="shared" si="2"/>
        <v>0.375</v>
      </c>
      <c r="G151">
        <f>ROUND((1-F151:F783)*E151:E783,2)</f>
        <v>476.53</v>
      </c>
    </row>
    <row r="152" spans="1:7">
      <c r="A152" s="30">
        <v>43045</v>
      </c>
      <c r="B152" t="s">
        <v>26</v>
      </c>
      <c r="C152">
        <v>75</v>
      </c>
      <c r="D152" s="31">
        <v>43.95</v>
      </c>
      <c r="E152" s="31">
        <v>3296.25</v>
      </c>
      <c r="F152">
        <f t="shared" si="2"/>
        <v>0.375</v>
      </c>
      <c r="G152">
        <f>ROUND((1-F152:F784)*E152:E784,2)</f>
        <v>2060.16</v>
      </c>
    </row>
    <row r="153" spans="1:7">
      <c r="A153" s="30">
        <v>43043</v>
      </c>
      <c r="B153" t="s">
        <v>24</v>
      </c>
      <c r="C153">
        <v>174</v>
      </c>
      <c r="D153" s="31">
        <v>14.95</v>
      </c>
      <c r="E153" s="31">
        <v>2601.3</v>
      </c>
      <c r="F153">
        <f t="shared" si="2"/>
        <v>0.55</v>
      </c>
      <c r="G153">
        <f>ROUND((1-F153:F785)*E153:E785,2)</f>
        <v>1170.59</v>
      </c>
    </row>
    <row r="154" spans="1:7">
      <c r="A154" s="30">
        <v>43040</v>
      </c>
      <c r="B154" t="s">
        <v>24</v>
      </c>
      <c r="C154">
        <v>150</v>
      </c>
      <c r="D154" s="31">
        <v>14.95</v>
      </c>
      <c r="E154" s="31">
        <v>2242.5</v>
      </c>
      <c r="F154">
        <f t="shared" si="2"/>
        <v>0.5</v>
      </c>
      <c r="G154">
        <f>ROUND((1-F154:F786)*E154:E786,2)</f>
        <v>1121.25</v>
      </c>
    </row>
    <row r="155" spans="1:7">
      <c r="A155" s="30">
        <v>43043</v>
      </c>
      <c r="B155" t="s">
        <v>24</v>
      </c>
      <c r="C155">
        <v>4</v>
      </c>
      <c r="D155" s="31">
        <v>14.95</v>
      </c>
      <c r="E155" s="31">
        <v>59.8</v>
      </c>
      <c r="F155">
        <f t="shared" si="2"/>
        <v>0</v>
      </c>
      <c r="G155">
        <f>ROUND((1-F155:F787)*E155:E787,2)</f>
        <v>59.8</v>
      </c>
    </row>
    <row r="156" spans="1:7">
      <c r="A156" s="30">
        <v>43040</v>
      </c>
      <c r="B156" t="s">
        <v>26</v>
      </c>
      <c r="C156">
        <v>87</v>
      </c>
      <c r="D156" s="31">
        <v>43.95</v>
      </c>
      <c r="E156" s="31">
        <v>3823.65</v>
      </c>
      <c r="F156">
        <f t="shared" si="2"/>
        <v>0.375</v>
      </c>
      <c r="G156">
        <f>ROUND((1-F156:F788)*E156:E788,2)</f>
        <v>2389.78</v>
      </c>
    </row>
    <row r="157" spans="1:7">
      <c r="A157" s="30">
        <v>43040</v>
      </c>
      <c r="B157" t="s">
        <v>24</v>
      </c>
      <c r="C157">
        <v>105</v>
      </c>
      <c r="D157" s="31">
        <v>14.95</v>
      </c>
      <c r="E157" s="31">
        <v>1569.75</v>
      </c>
      <c r="F157">
        <f t="shared" si="2"/>
        <v>0.4375</v>
      </c>
      <c r="G157">
        <f>ROUND((1-F157:F789)*E157:E789,2)</f>
        <v>882.98</v>
      </c>
    </row>
    <row r="158" spans="1:7">
      <c r="A158" s="30">
        <v>43045</v>
      </c>
      <c r="B158" t="s">
        <v>24</v>
      </c>
      <c r="C158">
        <v>129</v>
      </c>
      <c r="D158" s="31">
        <v>14.95</v>
      </c>
      <c r="E158" s="31">
        <v>1928.55</v>
      </c>
      <c r="F158">
        <f t="shared" si="2"/>
        <v>0.4375</v>
      </c>
      <c r="G158">
        <f>ROUND((1-F158:F790)*E158:E790,2)</f>
        <v>1084.81</v>
      </c>
    </row>
    <row r="159" spans="1:7">
      <c r="A159" s="30">
        <v>43047</v>
      </c>
      <c r="B159" t="s">
        <v>24</v>
      </c>
      <c r="C159">
        <v>9</v>
      </c>
      <c r="D159" s="31">
        <v>14.95</v>
      </c>
      <c r="E159" s="31">
        <v>134.55</v>
      </c>
      <c r="F159">
        <f t="shared" si="2"/>
        <v>0</v>
      </c>
      <c r="G159">
        <f>ROUND((1-F159:F791)*E159:E791,2)</f>
        <v>134.55</v>
      </c>
    </row>
    <row r="160" spans="1:7">
      <c r="A160" s="30">
        <v>43044</v>
      </c>
      <c r="B160" t="s">
        <v>24</v>
      </c>
      <c r="C160">
        <v>90</v>
      </c>
      <c r="D160" s="31">
        <v>14.95</v>
      </c>
      <c r="E160" s="31">
        <v>1345.5</v>
      </c>
      <c r="F160">
        <f t="shared" si="2"/>
        <v>0.375</v>
      </c>
      <c r="G160">
        <f>ROUND((1-F160:F792)*E160:E792,2)</f>
        <v>840.94</v>
      </c>
    </row>
    <row r="161" spans="1:7">
      <c r="A161" s="30">
        <v>43041</v>
      </c>
      <c r="B161" t="s">
        <v>36</v>
      </c>
      <c r="C161">
        <v>14</v>
      </c>
      <c r="D161" s="31">
        <v>21.95</v>
      </c>
      <c r="E161" s="31">
        <v>307.3</v>
      </c>
      <c r="F161">
        <f t="shared" si="2"/>
        <v>0.25</v>
      </c>
      <c r="G161">
        <f>ROUND((1-F161:F793)*E161:E793,2)</f>
        <v>230.48</v>
      </c>
    </row>
    <row r="162" spans="1:7">
      <c r="A162" s="30">
        <v>43041</v>
      </c>
      <c r="B162" t="s">
        <v>36</v>
      </c>
      <c r="C162">
        <v>134</v>
      </c>
      <c r="D162" s="31">
        <v>21.95</v>
      </c>
      <c r="E162" s="31">
        <v>2941.3</v>
      </c>
      <c r="F162">
        <f t="shared" si="2"/>
        <v>0.4375</v>
      </c>
      <c r="G162">
        <f>ROUND((1-F162:F794)*E162:E794,2)</f>
        <v>1654.48</v>
      </c>
    </row>
    <row r="163" spans="1:7">
      <c r="A163" s="30">
        <v>43047</v>
      </c>
      <c r="B163" t="s">
        <v>37</v>
      </c>
      <c r="C163">
        <v>102</v>
      </c>
      <c r="D163" s="31">
        <v>22.95</v>
      </c>
      <c r="E163" s="31">
        <v>2340.9</v>
      </c>
      <c r="F163">
        <f t="shared" si="2"/>
        <v>0.4375</v>
      </c>
      <c r="G163">
        <f>ROUND((1-F163:F795)*E163:E795,2)</f>
        <v>1316.76</v>
      </c>
    </row>
    <row r="164" spans="1:7">
      <c r="A164" s="30">
        <v>43042</v>
      </c>
      <c r="B164" t="s">
        <v>26</v>
      </c>
      <c r="C164">
        <v>46</v>
      </c>
      <c r="D164" s="31">
        <v>43.95</v>
      </c>
      <c r="E164" s="31">
        <v>2021.7</v>
      </c>
      <c r="F164">
        <f t="shared" si="2"/>
        <v>0.25</v>
      </c>
      <c r="G164">
        <f>ROUND((1-F164:F796)*E164:E796,2)</f>
        <v>1516.28</v>
      </c>
    </row>
    <row r="165" spans="1:7">
      <c r="A165" s="30">
        <v>43046</v>
      </c>
      <c r="B165" t="s">
        <v>26</v>
      </c>
      <c r="C165">
        <v>182</v>
      </c>
      <c r="D165" s="31">
        <v>43.95</v>
      </c>
      <c r="E165" s="31">
        <v>7998.9</v>
      </c>
      <c r="F165">
        <f t="shared" si="2"/>
        <v>0.55</v>
      </c>
      <c r="G165">
        <f>ROUND((1-F165:F797)*E165:E797,2)</f>
        <v>3599.51</v>
      </c>
    </row>
    <row r="166" spans="1:7">
      <c r="A166" s="30">
        <v>43041</v>
      </c>
      <c r="B166" t="s">
        <v>26</v>
      </c>
      <c r="C166">
        <v>190</v>
      </c>
      <c r="D166" s="31">
        <v>43.95</v>
      </c>
      <c r="E166" s="31">
        <v>8350.5</v>
      </c>
      <c r="F166">
        <f t="shared" si="2"/>
        <v>0.55</v>
      </c>
      <c r="G166">
        <f>ROUND((1-F166:F798)*E166:E798,2)</f>
        <v>3757.73</v>
      </c>
    </row>
    <row r="167" spans="1:7">
      <c r="A167" s="30">
        <v>43045</v>
      </c>
      <c r="B167" t="s">
        <v>37</v>
      </c>
      <c r="C167">
        <v>13</v>
      </c>
      <c r="D167" s="31">
        <v>22.95</v>
      </c>
      <c r="E167" s="31">
        <v>298.35</v>
      </c>
      <c r="F167">
        <f t="shared" si="2"/>
        <v>0.25</v>
      </c>
      <c r="G167">
        <f>ROUND((1-F167:F799)*E167:E799,2)</f>
        <v>223.76</v>
      </c>
    </row>
    <row r="168" spans="1:7">
      <c r="A168" s="30">
        <v>43045</v>
      </c>
      <c r="B168" t="s">
        <v>36</v>
      </c>
      <c r="C168">
        <v>132</v>
      </c>
      <c r="D168" s="31">
        <v>21.95</v>
      </c>
      <c r="E168" s="31">
        <v>2897.4</v>
      </c>
      <c r="F168">
        <f t="shared" si="2"/>
        <v>0.4375</v>
      </c>
      <c r="G168">
        <f>ROUND((1-F168:F800)*E168:E800,2)</f>
        <v>1629.79</v>
      </c>
    </row>
    <row r="169" spans="1:7">
      <c r="A169" s="30">
        <v>43047</v>
      </c>
      <c r="B169" t="s">
        <v>36</v>
      </c>
      <c r="C169">
        <v>52</v>
      </c>
      <c r="D169" s="31">
        <v>21.95</v>
      </c>
      <c r="E169" s="31">
        <v>1141.4</v>
      </c>
      <c r="F169">
        <f t="shared" si="2"/>
        <v>0.375</v>
      </c>
      <c r="G169">
        <f>ROUND((1-F169:F801)*E169:E801,2)</f>
        <v>713.38</v>
      </c>
    </row>
    <row r="170" spans="1:7">
      <c r="A170" s="30">
        <v>43040</v>
      </c>
      <c r="B170" t="s">
        <v>24</v>
      </c>
      <c r="C170">
        <v>105</v>
      </c>
      <c r="D170" s="31">
        <v>14.95</v>
      </c>
      <c r="E170" s="31">
        <v>1569.75</v>
      </c>
      <c r="F170">
        <f t="shared" si="2"/>
        <v>0.4375</v>
      </c>
      <c r="G170">
        <f>ROUND((1-F170:F802)*E170:E802,2)</f>
        <v>882.98</v>
      </c>
    </row>
    <row r="171" spans="1:7">
      <c r="A171" s="30">
        <v>43041</v>
      </c>
      <c r="B171" t="s">
        <v>37</v>
      </c>
      <c r="C171">
        <v>142</v>
      </c>
      <c r="D171" s="31">
        <v>22.95</v>
      </c>
      <c r="E171" s="31">
        <v>3258.9</v>
      </c>
      <c r="F171">
        <f t="shared" si="2"/>
        <v>0.4375</v>
      </c>
      <c r="G171">
        <f>ROUND((1-F171:F803)*E171:E803,2)</f>
        <v>1833.13</v>
      </c>
    </row>
    <row r="172" spans="1:7">
      <c r="A172" s="30">
        <v>43047</v>
      </c>
      <c r="B172" t="s">
        <v>37</v>
      </c>
      <c r="C172">
        <v>132</v>
      </c>
      <c r="D172" s="31">
        <v>22.95</v>
      </c>
      <c r="E172" s="31">
        <v>3029.4</v>
      </c>
      <c r="F172">
        <f t="shared" si="2"/>
        <v>0.4375</v>
      </c>
      <c r="G172">
        <f>ROUND((1-F172:F804)*E172:E804,2)</f>
        <v>1704.04</v>
      </c>
    </row>
    <row r="173" spans="1:7">
      <c r="A173" s="30">
        <v>43043</v>
      </c>
      <c r="B173" t="s">
        <v>24</v>
      </c>
      <c r="C173">
        <v>116</v>
      </c>
      <c r="D173" s="31">
        <v>14.95</v>
      </c>
      <c r="E173" s="31">
        <v>1734.2</v>
      </c>
      <c r="F173">
        <f t="shared" si="2"/>
        <v>0.4375</v>
      </c>
      <c r="G173">
        <f>ROUND((1-F173:F805)*E173:E805,2)</f>
        <v>975.49</v>
      </c>
    </row>
    <row r="174" spans="1:7">
      <c r="A174" s="30">
        <v>43047</v>
      </c>
      <c r="B174" t="s">
        <v>24</v>
      </c>
      <c r="C174">
        <v>89</v>
      </c>
      <c r="D174" s="31">
        <v>14.95</v>
      </c>
      <c r="E174" s="31">
        <v>1330.55</v>
      </c>
      <c r="F174">
        <f t="shared" si="2"/>
        <v>0.375</v>
      </c>
      <c r="G174">
        <f>ROUND((1-F174:F806)*E174:E806,2)</f>
        <v>831.59</v>
      </c>
    </row>
    <row r="175" spans="1:7">
      <c r="A175" s="30">
        <v>43042</v>
      </c>
      <c r="B175" t="s">
        <v>26</v>
      </c>
      <c r="C175">
        <v>156</v>
      </c>
      <c r="D175" s="31">
        <v>43.95</v>
      </c>
      <c r="E175" s="31">
        <v>6856.2</v>
      </c>
      <c r="F175">
        <f t="shared" si="2"/>
        <v>0.5</v>
      </c>
      <c r="G175">
        <f>ROUND((1-F175:F807)*E175:E807,2)</f>
        <v>3428.1</v>
      </c>
    </row>
    <row r="176" spans="1:7">
      <c r="A176" s="30">
        <v>43045</v>
      </c>
      <c r="B176" t="s">
        <v>26</v>
      </c>
      <c r="C176">
        <v>136</v>
      </c>
      <c r="D176" s="31">
        <v>43.95</v>
      </c>
      <c r="E176" s="31">
        <v>5977.2</v>
      </c>
      <c r="F176">
        <f t="shared" si="2"/>
        <v>0.4375</v>
      </c>
      <c r="G176">
        <f>ROUND((1-F176:F808)*E176:E808,2)</f>
        <v>3362.18</v>
      </c>
    </row>
    <row r="177" spans="1:7">
      <c r="A177" s="30">
        <v>43043</v>
      </c>
      <c r="B177" t="s">
        <v>36</v>
      </c>
      <c r="C177">
        <v>77</v>
      </c>
      <c r="D177" s="31">
        <v>21.95</v>
      </c>
      <c r="E177" s="31">
        <v>1690.15</v>
      </c>
      <c r="F177">
        <f t="shared" si="2"/>
        <v>0.375</v>
      </c>
      <c r="G177">
        <f>ROUND((1-F177:F809)*E177:E809,2)</f>
        <v>1056.34</v>
      </c>
    </row>
    <row r="178" spans="1:7">
      <c r="A178" s="30">
        <v>43044</v>
      </c>
      <c r="B178" t="s">
        <v>37</v>
      </c>
      <c r="C178">
        <v>97</v>
      </c>
      <c r="D178" s="31">
        <v>22.95</v>
      </c>
      <c r="E178" s="31">
        <v>2226.15</v>
      </c>
      <c r="F178">
        <f t="shared" si="2"/>
        <v>0.4375</v>
      </c>
      <c r="G178">
        <f>ROUND((1-F178:F810)*E178:E810,2)</f>
        <v>1252.21</v>
      </c>
    </row>
    <row r="179" spans="1:7">
      <c r="A179" s="30">
        <v>43047</v>
      </c>
      <c r="B179" t="s">
        <v>36</v>
      </c>
      <c r="C179">
        <v>121</v>
      </c>
      <c r="D179" s="31">
        <v>21.95</v>
      </c>
      <c r="E179" s="31">
        <v>2655.95</v>
      </c>
      <c r="F179">
        <f t="shared" si="2"/>
        <v>0.4375</v>
      </c>
      <c r="G179">
        <f>ROUND((1-F179:F811)*E179:E811,2)</f>
        <v>1493.97</v>
      </c>
    </row>
    <row r="180" spans="1:7">
      <c r="A180" s="30">
        <v>43041</v>
      </c>
      <c r="B180" t="s">
        <v>26</v>
      </c>
      <c r="C180">
        <v>3</v>
      </c>
      <c r="D180" s="31">
        <v>43.95</v>
      </c>
      <c r="E180" s="31">
        <v>131.85</v>
      </c>
      <c r="F180">
        <f t="shared" si="2"/>
        <v>0</v>
      </c>
      <c r="G180">
        <f>ROUND((1-F180:F812)*E180:E812,2)</f>
        <v>131.85</v>
      </c>
    </row>
    <row r="181" spans="1:7">
      <c r="A181" s="30">
        <v>43043</v>
      </c>
      <c r="B181" t="s">
        <v>37</v>
      </c>
      <c r="C181">
        <v>56</v>
      </c>
      <c r="D181" s="31">
        <v>22.95</v>
      </c>
      <c r="E181" s="31">
        <v>1285.2</v>
      </c>
      <c r="F181">
        <f t="shared" si="2"/>
        <v>0.375</v>
      </c>
      <c r="G181">
        <f>ROUND((1-F181:F813)*E181:E813,2)</f>
        <v>803.25</v>
      </c>
    </row>
    <row r="182" spans="1:7">
      <c r="A182" s="30">
        <v>43043</v>
      </c>
      <c r="B182" t="s">
        <v>26</v>
      </c>
      <c r="C182">
        <v>177</v>
      </c>
      <c r="D182" s="31">
        <v>43.95</v>
      </c>
      <c r="E182" s="31">
        <v>7779.15</v>
      </c>
      <c r="F182">
        <f t="shared" si="2"/>
        <v>0.55</v>
      </c>
      <c r="G182">
        <f>ROUND((1-F182:F814)*E182:E814,2)</f>
        <v>3500.62</v>
      </c>
    </row>
    <row r="183" spans="1:7">
      <c r="A183" s="30">
        <v>43043</v>
      </c>
      <c r="B183" t="s">
        <v>26</v>
      </c>
      <c r="C183">
        <v>140</v>
      </c>
      <c r="D183" s="31">
        <v>43.95</v>
      </c>
      <c r="E183" s="31">
        <v>6153</v>
      </c>
      <c r="F183">
        <f t="shared" si="2"/>
        <v>0.4375</v>
      </c>
      <c r="G183">
        <f>ROUND((1-F183:F815)*E183:E815,2)</f>
        <v>3461.06</v>
      </c>
    </row>
    <row r="184" spans="1:7">
      <c r="A184" s="30">
        <v>43047</v>
      </c>
      <c r="B184" t="s">
        <v>36</v>
      </c>
      <c r="C184">
        <v>173</v>
      </c>
      <c r="D184" s="31">
        <v>21.95</v>
      </c>
      <c r="E184" s="31">
        <v>3797.35</v>
      </c>
      <c r="F184">
        <f t="shared" si="2"/>
        <v>0.55</v>
      </c>
      <c r="G184">
        <f>ROUND((1-F184:F816)*E184:E816,2)</f>
        <v>1708.81</v>
      </c>
    </row>
    <row r="185" spans="1:7">
      <c r="A185" s="30">
        <v>43045</v>
      </c>
      <c r="B185" t="s">
        <v>36</v>
      </c>
      <c r="C185">
        <v>27</v>
      </c>
      <c r="D185" s="31">
        <v>21.95</v>
      </c>
      <c r="E185" s="31">
        <v>592.65</v>
      </c>
      <c r="F185">
        <f t="shared" si="2"/>
        <v>0.25</v>
      </c>
      <c r="G185">
        <f>ROUND((1-F185:F817)*E185:E817,2)</f>
        <v>444.49</v>
      </c>
    </row>
    <row r="186" spans="1:7">
      <c r="A186" s="30">
        <v>43043</v>
      </c>
      <c r="B186" t="s">
        <v>26</v>
      </c>
      <c r="C186">
        <v>87</v>
      </c>
      <c r="D186" s="31">
        <v>43.95</v>
      </c>
      <c r="E186" s="31">
        <v>3823.65</v>
      </c>
      <c r="F186">
        <f t="shared" si="2"/>
        <v>0.375</v>
      </c>
      <c r="G186">
        <f>ROUND((1-F186:F818)*E186:E818,2)</f>
        <v>2389.78</v>
      </c>
    </row>
    <row r="187" spans="1:7">
      <c r="A187" s="30">
        <v>43043</v>
      </c>
      <c r="B187" t="s">
        <v>36</v>
      </c>
      <c r="C187">
        <v>20</v>
      </c>
      <c r="D187" s="31">
        <v>21.95</v>
      </c>
      <c r="E187" s="31">
        <v>439</v>
      </c>
      <c r="F187">
        <f t="shared" si="2"/>
        <v>0.25</v>
      </c>
      <c r="G187">
        <f>ROUND((1-F187:F819)*E187:E819,2)</f>
        <v>329.25</v>
      </c>
    </row>
    <row r="188" spans="1:7">
      <c r="A188" s="30">
        <v>43043</v>
      </c>
      <c r="B188" t="s">
        <v>26</v>
      </c>
      <c r="C188">
        <v>191</v>
      </c>
      <c r="D188" s="31">
        <v>43.95</v>
      </c>
      <c r="E188" s="31">
        <v>8394.45</v>
      </c>
      <c r="F188">
        <f t="shared" si="2"/>
        <v>0.55</v>
      </c>
      <c r="G188">
        <f>ROUND((1-F188:F820)*E188:E820,2)</f>
        <v>3777.5</v>
      </c>
    </row>
    <row r="189" spans="1:7">
      <c r="A189" s="30">
        <v>43040</v>
      </c>
      <c r="B189" t="s">
        <v>26</v>
      </c>
      <c r="C189">
        <v>70</v>
      </c>
      <c r="D189" s="31">
        <v>43.95</v>
      </c>
      <c r="E189" s="31">
        <v>3076.5</v>
      </c>
      <c r="F189">
        <f t="shared" si="2"/>
        <v>0.375</v>
      </c>
      <c r="G189">
        <f>ROUND((1-F189:F821)*E189:E821,2)</f>
        <v>1922.81</v>
      </c>
    </row>
    <row r="190" spans="1:7">
      <c r="A190" s="30">
        <v>43043</v>
      </c>
      <c r="B190" t="s">
        <v>24</v>
      </c>
      <c r="C190">
        <v>186</v>
      </c>
      <c r="D190" s="31">
        <v>14.95</v>
      </c>
      <c r="E190" s="31">
        <v>2780.7</v>
      </c>
      <c r="F190">
        <f t="shared" si="2"/>
        <v>0.55</v>
      </c>
      <c r="G190">
        <f>ROUND((1-F190:F822)*E190:E822,2)</f>
        <v>1251.32</v>
      </c>
    </row>
    <row r="191" spans="1:7">
      <c r="A191" s="30">
        <v>43043</v>
      </c>
      <c r="B191" t="s">
        <v>36</v>
      </c>
      <c r="C191">
        <v>126</v>
      </c>
      <c r="D191" s="31">
        <v>21.95</v>
      </c>
      <c r="E191" s="31">
        <v>2765.7</v>
      </c>
      <c r="F191">
        <f t="shared" si="2"/>
        <v>0.4375</v>
      </c>
      <c r="G191">
        <f>ROUND((1-F191:F823)*E191:E823,2)</f>
        <v>1555.71</v>
      </c>
    </row>
    <row r="192" spans="1:7">
      <c r="A192" s="30">
        <v>43040</v>
      </c>
      <c r="B192" t="s">
        <v>24</v>
      </c>
      <c r="C192">
        <v>3</v>
      </c>
      <c r="D192" s="31">
        <v>14.95</v>
      </c>
      <c r="E192" s="31">
        <v>44.85</v>
      </c>
      <c r="F192">
        <f t="shared" si="2"/>
        <v>0</v>
      </c>
      <c r="G192">
        <f>ROUND((1-F192:F824)*E192:E824,2)</f>
        <v>44.85</v>
      </c>
    </row>
    <row r="193" spans="1:7">
      <c r="A193" s="30">
        <v>43043</v>
      </c>
      <c r="B193" t="s">
        <v>36</v>
      </c>
      <c r="C193">
        <v>92</v>
      </c>
      <c r="D193" s="31">
        <v>21.95</v>
      </c>
      <c r="E193" s="31">
        <v>2019.4</v>
      </c>
      <c r="F193">
        <f t="shared" si="2"/>
        <v>0.375</v>
      </c>
      <c r="G193">
        <f>ROUND((1-F193:F825)*E193:E825,2)</f>
        <v>1262.13</v>
      </c>
    </row>
    <row r="194" spans="1:7">
      <c r="A194" s="30">
        <v>43043</v>
      </c>
      <c r="B194" t="s">
        <v>37</v>
      </c>
      <c r="C194">
        <v>3</v>
      </c>
      <c r="D194" s="31">
        <v>22.95</v>
      </c>
      <c r="E194" s="31">
        <v>68.85</v>
      </c>
      <c r="F194">
        <f t="shared" si="2"/>
        <v>0</v>
      </c>
      <c r="G194">
        <f>ROUND((1-F194:F826)*E194:E826,2)</f>
        <v>68.85</v>
      </c>
    </row>
    <row r="195" spans="1:7">
      <c r="A195" s="30">
        <v>43044</v>
      </c>
      <c r="B195" t="s">
        <v>26</v>
      </c>
      <c r="C195">
        <v>82</v>
      </c>
      <c r="D195" s="31">
        <v>43.95</v>
      </c>
      <c r="E195" s="31">
        <v>3603.9</v>
      </c>
      <c r="F195">
        <f t="shared" si="2"/>
        <v>0.375</v>
      </c>
      <c r="G195">
        <f>ROUND((1-F195:F827)*E195:E827,2)</f>
        <v>2252.44</v>
      </c>
    </row>
    <row r="196" spans="1:7">
      <c r="A196" s="30">
        <v>43040</v>
      </c>
      <c r="B196" t="s">
        <v>26</v>
      </c>
      <c r="C196">
        <v>99</v>
      </c>
      <c r="D196" s="31">
        <v>43.95</v>
      </c>
      <c r="E196" s="31">
        <v>4351.05</v>
      </c>
      <c r="F196">
        <f t="shared" si="2"/>
        <v>0.4375</v>
      </c>
      <c r="G196">
        <f>ROUND((1-F196:F828)*E196:E828,2)</f>
        <v>2447.47</v>
      </c>
    </row>
    <row r="197" spans="1:7">
      <c r="A197" s="30">
        <v>43045</v>
      </c>
      <c r="B197" t="s">
        <v>36</v>
      </c>
      <c r="C197">
        <v>131</v>
      </c>
      <c r="D197" s="31">
        <v>21.95</v>
      </c>
      <c r="E197" s="31">
        <v>2875.45</v>
      </c>
      <c r="F197">
        <f t="shared" si="2"/>
        <v>0.4375</v>
      </c>
      <c r="G197">
        <f>ROUND((1-F197:F829)*E197:E829,2)</f>
        <v>1617.44</v>
      </c>
    </row>
    <row r="198" spans="1:7">
      <c r="A198" s="30">
        <v>43040</v>
      </c>
      <c r="B198" t="s">
        <v>37</v>
      </c>
      <c r="C198">
        <v>175</v>
      </c>
      <c r="D198" s="31">
        <v>22.95</v>
      </c>
      <c r="E198" s="31">
        <v>4016.25</v>
      </c>
      <c r="F198">
        <f t="shared" si="2"/>
        <v>0.55</v>
      </c>
      <c r="G198">
        <f>ROUND((1-F198:F830)*E198:E830,2)</f>
        <v>1807.31</v>
      </c>
    </row>
    <row r="199" spans="1:7">
      <c r="A199" s="30">
        <v>43043</v>
      </c>
      <c r="B199" t="s">
        <v>26</v>
      </c>
      <c r="C199">
        <v>41</v>
      </c>
      <c r="D199" s="31">
        <v>43.95</v>
      </c>
      <c r="E199" s="31">
        <v>1801.95</v>
      </c>
      <c r="F199">
        <f t="shared" si="2"/>
        <v>0.25</v>
      </c>
      <c r="G199">
        <f>ROUND((1-F199:F831)*E199:E831,2)</f>
        <v>1351.46</v>
      </c>
    </row>
    <row r="200" spans="1:7">
      <c r="A200" s="30">
        <v>43043</v>
      </c>
      <c r="B200" t="s">
        <v>24</v>
      </c>
      <c r="C200">
        <v>14</v>
      </c>
      <c r="D200" s="31">
        <v>14.95</v>
      </c>
      <c r="E200" s="31">
        <v>209.3</v>
      </c>
      <c r="F200">
        <f t="shared" si="2"/>
        <v>0.25</v>
      </c>
      <c r="G200">
        <f>ROUND((1-F200:F832)*E200:E832,2)</f>
        <v>156.98</v>
      </c>
    </row>
    <row r="201" spans="1:7">
      <c r="A201" s="30">
        <v>43045</v>
      </c>
      <c r="B201" t="s">
        <v>37</v>
      </c>
      <c r="C201">
        <v>122</v>
      </c>
      <c r="D201" s="31">
        <v>22.95</v>
      </c>
      <c r="E201" s="31">
        <v>2799.9</v>
      </c>
      <c r="F201">
        <f t="shared" si="2"/>
        <v>0.4375</v>
      </c>
      <c r="G201">
        <f>ROUND((1-F201:F833)*E201:E833,2)</f>
        <v>1574.94</v>
      </c>
    </row>
    <row r="202" spans="1:7">
      <c r="A202" s="30">
        <v>43041</v>
      </c>
      <c r="B202" t="s">
        <v>37</v>
      </c>
      <c r="C202">
        <v>48</v>
      </c>
      <c r="D202" s="31">
        <v>22.95</v>
      </c>
      <c r="E202" s="31">
        <v>1101.6</v>
      </c>
      <c r="F202">
        <f t="shared" si="2"/>
        <v>0.375</v>
      </c>
      <c r="G202">
        <f>ROUND((1-F202:F834)*E202:E834,2)</f>
        <v>688.5</v>
      </c>
    </row>
    <row r="203" spans="1:7">
      <c r="A203" s="30">
        <v>43042</v>
      </c>
      <c r="B203" t="s">
        <v>36</v>
      </c>
      <c r="C203">
        <v>57</v>
      </c>
      <c r="D203" s="31">
        <v>21.95</v>
      </c>
      <c r="E203" s="31">
        <v>1251.15</v>
      </c>
      <c r="F203">
        <f t="shared" si="2"/>
        <v>0.375</v>
      </c>
      <c r="G203">
        <f>ROUND((1-F203:F835)*E203:E835,2)</f>
        <v>781.97</v>
      </c>
    </row>
    <row r="204" spans="1:7">
      <c r="A204" s="30">
        <v>43047</v>
      </c>
      <c r="B204" t="s">
        <v>26</v>
      </c>
      <c r="C204">
        <v>113</v>
      </c>
      <c r="D204" s="31">
        <v>43.95</v>
      </c>
      <c r="E204" s="31">
        <v>4966.35</v>
      </c>
      <c r="F204">
        <f t="shared" si="2"/>
        <v>0.4375</v>
      </c>
      <c r="G204">
        <f>ROUND((1-F204:F836)*E204:E836,2)</f>
        <v>2793.57</v>
      </c>
    </row>
    <row r="205" spans="1:7">
      <c r="A205" s="30">
        <v>43047</v>
      </c>
      <c r="B205" t="s">
        <v>36</v>
      </c>
      <c r="C205">
        <v>186</v>
      </c>
      <c r="D205" s="31">
        <v>21.95</v>
      </c>
      <c r="E205" s="31">
        <v>4082.7</v>
      </c>
      <c r="F205">
        <f t="shared" si="2"/>
        <v>0.55</v>
      </c>
      <c r="G205">
        <f>ROUND((1-F205:F837)*E205:E837,2)</f>
        <v>1837.22</v>
      </c>
    </row>
    <row r="206" spans="1:7">
      <c r="A206" s="30">
        <v>43043</v>
      </c>
      <c r="B206" t="s">
        <v>36</v>
      </c>
      <c r="C206">
        <v>102</v>
      </c>
      <c r="D206" s="31">
        <v>21.95</v>
      </c>
      <c r="E206" s="31">
        <v>2238.9</v>
      </c>
      <c r="F206">
        <f t="shared" si="2"/>
        <v>0.4375</v>
      </c>
      <c r="G206">
        <f>ROUND((1-F206:F838)*E206:E838,2)</f>
        <v>1259.38</v>
      </c>
    </row>
    <row r="207" spans="1:7">
      <c r="A207" s="30">
        <v>43040</v>
      </c>
      <c r="B207" t="s">
        <v>37</v>
      </c>
      <c r="C207">
        <v>77</v>
      </c>
      <c r="D207" s="31">
        <v>22.95</v>
      </c>
      <c r="E207" s="31">
        <v>1767.15</v>
      </c>
      <c r="F207">
        <f t="shared" si="2"/>
        <v>0.375</v>
      </c>
      <c r="G207">
        <f>ROUND((1-F207:F839)*E207:E839,2)</f>
        <v>1104.47</v>
      </c>
    </row>
    <row r="208" spans="1:7">
      <c r="A208" s="30">
        <v>43043</v>
      </c>
      <c r="B208" t="s">
        <v>37</v>
      </c>
      <c r="C208">
        <v>4</v>
      </c>
      <c r="D208" s="31">
        <v>22.95</v>
      </c>
      <c r="E208" s="31">
        <v>91.8</v>
      </c>
      <c r="F208">
        <f t="shared" si="2"/>
        <v>0</v>
      </c>
      <c r="G208">
        <f>ROUND((1-F208:F840)*E208:E840,2)</f>
        <v>91.8</v>
      </c>
    </row>
    <row r="209" spans="1:7">
      <c r="A209" s="30">
        <v>43045</v>
      </c>
      <c r="B209" t="s">
        <v>24</v>
      </c>
      <c r="C209">
        <v>127</v>
      </c>
      <c r="D209" s="31">
        <v>14.95</v>
      </c>
      <c r="E209" s="31">
        <v>1898.65</v>
      </c>
      <c r="F209">
        <f t="shared" si="2"/>
        <v>0.4375</v>
      </c>
      <c r="G209">
        <f>ROUND((1-F209:F841)*E209:E841,2)</f>
        <v>1067.99</v>
      </c>
    </row>
    <row r="210" spans="1:7">
      <c r="A210" s="30">
        <v>43047</v>
      </c>
      <c r="B210" t="s">
        <v>37</v>
      </c>
      <c r="C210">
        <v>172</v>
      </c>
      <c r="D210" s="31">
        <v>22.95</v>
      </c>
      <c r="E210" s="31">
        <v>3947.4</v>
      </c>
      <c r="F210">
        <f t="shared" si="2"/>
        <v>0.55</v>
      </c>
      <c r="G210">
        <f>ROUND((1-F210:F842)*E210:E842,2)</f>
        <v>1776.33</v>
      </c>
    </row>
    <row r="211" spans="1:7">
      <c r="A211" s="30">
        <v>43040</v>
      </c>
      <c r="B211" t="s">
        <v>36</v>
      </c>
      <c r="C211">
        <v>86</v>
      </c>
      <c r="D211" s="31">
        <v>21.95</v>
      </c>
      <c r="E211" s="31">
        <v>1887.7</v>
      </c>
      <c r="F211">
        <f t="shared" si="2"/>
        <v>0.375</v>
      </c>
      <c r="G211">
        <f>ROUND((1-F211:F843)*E211:E843,2)</f>
        <v>1179.81</v>
      </c>
    </row>
    <row r="212" spans="1:7">
      <c r="A212" s="30">
        <v>43044</v>
      </c>
      <c r="B212" t="s">
        <v>24</v>
      </c>
      <c r="C212">
        <v>177</v>
      </c>
      <c r="D212" s="31">
        <v>14.95</v>
      </c>
      <c r="E212" s="31">
        <v>2646.15</v>
      </c>
      <c r="F212">
        <f t="shared" si="2"/>
        <v>0.55</v>
      </c>
      <c r="G212">
        <f>ROUND((1-F212:F844)*E212:E844,2)</f>
        <v>1190.77</v>
      </c>
    </row>
    <row r="213" spans="1:7">
      <c r="A213" s="30">
        <v>43041</v>
      </c>
      <c r="B213" t="s">
        <v>36</v>
      </c>
      <c r="C213">
        <v>103</v>
      </c>
      <c r="D213" s="31">
        <v>21.95</v>
      </c>
      <c r="E213" s="31">
        <v>2260.85</v>
      </c>
      <c r="F213">
        <f t="shared" ref="F213:F276" si="3">VLOOKUP(C213:C848,$I$19:$J$25,2)</f>
        <v>0.4375</v>
      </c>
      <c r="G213">
        <f>ROUND((1-F213:F845)*E213:E845,2)</f>
        <v>1271.73</v>
      </c>
    </row>
    <row r="214" spans="1:7">
      <c r="A214" s="30">
        <v>43043</v>
      </c>
      <c r="B214" t="s">
        <v>24</v>
      </c>
      <c r="C214">
        <v>84</v>
      </c>
      <c r="D214" s="31">
        <v>14.95</v>
      </c>
      <c r="E214" s="31">
        <v>1255.8</v>
      </c>
      <c r="F214">
        <f t="shared" si="3"/>
        <v>0.375</v>
      </c>
      <c r="G214">
        <f>ROUND((1-F214:F846)*E214:E846,2)</f>
        <v>784.88</v>
      </c>
    </row>
    <row r="215" spans="1:7">
      <c r="A215" s="30">
        <v>43044</v>
      </c>
      <c r="B215" t="s">
        <v>36</v>
      </c>
      <c r="C215">
        <v>118</v>
      </c>
      <c r="D215" s="31">
        <v>21.95</v>
      </c>
      <c r="E215" s="31">
        <v>2590.1</v>
      </c>
      <c r="F215">
        <f t="shared" si="3"/>
        <v>0.4375</v>
      </c>
      <c r="G215">
        <f>ROUND((1-F215:F847)*E215:E847,2)</f>
        <v>1456.93</v>
      </c>
    </row>
    <row r="216" spans="1:7">
      <c r="A216" s="30">
        <v>43046</v>
      </c>
      <c r="B216" t="s">
        <v>37</v>
      </c>
      <c r="C216">
        <v>66</v>
      </c>
      <c r="D216" s="31">
        <v>22.95</v>
      </c>
      <c r="E216" s="31">
        <v>1514.7</v>
      </c>
      <c r="F216">
        <f t="shared" si="3"/>
        <v>0.375</v>
      </c>
      <c r="G216">
        <f>ROUND((1-F216:F848)*E216:E848,2)</f>
        <v>946.69</v>
      </c>
    </row>
    <row r="217" spans="1:7">
      <c r="A217" s="30">
        <v>43042</v>
      </c>
      <c r="B217" t="s">
        <v>36</v>
      </c>
      <c r="C217">
        <v>168</v>
      </c>
      <c r="D217" s="31">
        <v>21.95</v>
      </c>
      <c r="E217" s="31">
        <v>3687.6</v>
      </c>
      <c r="F217">
        <f t="shared" si="3"/>
        <v>0.55</v>
      </c>
      <c r="G217">
        <f>ROUND((1-F217:F849)*E217:E849,2)</f>
        <v>1659.42</v>
      </c>
    </row>
    <row r="218" spans="1:7">
      <c r="A218" s="30">
        <v>43043</v>
      </c>
      <c r="B218" t="s">
        <v>24</v>
      </c>
      <c r="C218">
        <v>155</v>
      </c>
      <c r="D218" s="31">
        <v>14.95</v>
      </c>
      <c r="E218" s="31">
        <v>2317.25</v>
      </c>
      <c r="F218">
        <f t="shared" si="3"/>
        <v>0.5</v>
      </c>
      <c r="G218">
        <f>ROUND((1-F218:F850)*E218:E850,2)</f>
        <v>1158.63</v>
      </c>
    </row>
    <row r="219" spans="1:7">
      <c r="A219" s="30">
        <v>43045</v>
      </c>
      <c r="B219" t="s">
        <v>24</v>
      </c>
      <c r="C219">
        <v>145</v>
      </c>
      <c r="D219" s="31">
        <v>14.95</v>
      </c>
      <c r="E219" s="31">
        <v>2167.75</v>
      </c>
      <c r="F219">
        <f t="shared" si="3"/>
        <v>0.5</v>
      </c>
      <c r="G219">
        <f>ROUND((1-F219:F851)*E219:E851,2)</f>
        <v>1083.88</v>
      </c>
    </row>
    <row r="220" spans="1:7">
      <c r="A220" s="30">
        <v>43040</v>
      </c>
      <c r="B220" t="s">
        <v>24</v>
      </c>
      <c r="C220">
        <v>98</v>
      </c>
      <c r="D220" s="31">
        <v>14.95</v>
      </c>
      <c r="E220" s="31">
        <v>1465.1</v>
      </c>
      <c r="F220">
        <f t="shared" si="3"/>
        <v>0.4375</v>
      </c>
      <c r="G220">
        <f>ROUND((1-F220:F852)*E220:E852,2)</f>
        <v>824.12</v>
      </c>
    </row>
    <row r="221" spans="1:7">
      <c r="A221" s="30">
        <v>43045</v>
      </c>
      <c r="B221" t="s">
        <v>24</v>
      </c>
      <c r="C221">
        <v>46</v>
      </c>
      <c r="D221" s="31">
        <v>14.95</v>
      </c>
      <c r="E221" s="31">
        <v>687.7</v>
      </c>
      <c r="F221">
        <f t="shared" si="3"/>
        <v>0.25</v>
      </c>
      <c r="G221">
        <f>ROUND((1-F221:F853)*E221:E853,2)</f>
        <v>515.78</v>
      </c>
    </row>
    <row r="222" spans="1:7">
      <c r="A222" s="30">
        <v>43040</v>
      </c>
      <c r="B222" t="s">
        <v>26</v>
      </c>
      <c r="C222">
        <v>42</v>
      </c>
      <c r="D222" s="31">
        <v>43.95</v>
      </c>
      <c r="E222" s="31">
        <v>1845.9</v>
      </c>
      <c r="F222">
        <f t="shared" si="3"/>
        <v>0.25</v>
      </c>
      <c r="G222">
        <f>ROUND((1-F222:F854)*E222:E854,2)</f>
        <v>1384.43</v>
      </c>
    </row>
    <row r="223" spans="1:7">
      <c r="A223" s="30">
        <v>43047</v>
      </c>
      <c r="B223" t="s">
        <v>24</v>
      </c>
      <c r="C223">
        <v>156</v>
      </c>
      <c r="D223" s="31">
        <v>14.95</v>
      </c>
      <c r="E223" s="31">
        <v>2332.2</v>
      </c>
      <c r="F223">
        <f t="shared" si="3"/>
        <v>0.5</v>
      </c>
      <c r="G223">
        <f>ROUND((1-F223:F855)*E223:E855,2)</f>
        <v>1166.1</v>
      </c>
    </row>
    <row r="224" spans="1:7">
      <c r="A224" s="30">
        <v>43040</v>
      </c>
      <c r="B224" t="s">
        <v>36</v>
      </c>
      <c r="C224">
        <v>20</v>
      </c>
      <c r="D224" s="31">
        <v>21.95</v>
      </c>
      <c r="E224" s="31">
        <v>439</v>
      </c>
      <c r="F224">
        <f t="shared" si="3"/>
        <v>0.25</v>
      </c>
      <c r="G224">
        <f>ROUND((1-F224:F856)*E224:E856,2)</f>
        <v>329.25</v>
      </c>
    </row>
    <row r="225" spans="1:7">
      <c r="A225" s="30">
        <v>43045</v>
      </c>
      <c r="B225" t="s">
        <v>24</v>
      </c>
      <c r="C225">
        <v>75</v>
      </c>
      <c r="D225" s="31">
        <v>14.95</v>
      </c>
      <c r="E225" s="31">
        <v>1121.25</v>
      </c>
      <c r="F225">
        <f t="shared" si="3"/>
        <v>0.375</v>
      </c>
      <c r="G225">
        <f>ROUND((1-F225:F857)*E225:E857,2)</f>
        <v>700.78</v>
      </c>
    </row>
    <row r="226" spans="1:7">
      <c r="A226" s="30">
        <v>43042</v>
      </c>
      <c r="B226" t="s">
        <v>24</v>
      </c>
      <c r="C226">
        <v>108</v>
      </c>
      <c r="D226" s="31">
        <v>14.95</v>
      </c>
      <c r="E226" s="31">
        <v>1614.6</v>
      </c>
      <c r="F226">
        <f t="shared" si="3"/>
        <v>0.4375</v>
      </c>
      <c r="G226">
        <f>ROUND((1-F226:F858)*E226:E858,2)</f>
        <v>908.21</v>
      </c>
    </row>
    <row r="227" spans="1:7">
      <c r="A227" s="30">
        <v>43043</v>
      </c>
      <c r="B227" t="s">
        <v>37</v>
      </c>
      <c r="C227">
        <v>129</v>
      </c>
      <c r="D227" s="31">
        <v>22.95</v>
      </c>
      <c r="E227" s="31">
        <v>2960.55</v>
      </c>
      <c r="F227">
        <f t="shared" si="3"/>
        <v>0.4375</v>
      </c>
      <c r="G227">
        <f>ROUND((1-F227:F859)*E227:E859,2)</f>
        <v>1665.31</v>
      </c>
    </row>
    <row r="228" spans="1:7">
      <c r="A228" s="30">
        <v>43044</v>
      </c>
      <c r="B228" t="s">
        <v>26</v>
      </c>
      <c r="C228">
        <v>113</v>
      </c>
      <c r="D228" s="31">
        <v>43.95</v>
      </c>
      <c r="E228" s="31">
        <v>4966.35</v>
      </c>
      <c r="F228">
        <f t="shared" si="3"/>
        <v>0.4375</v>
      </c>
      <c r="G228">
        <f>ROUND((1-F228:F860)*E228:E860,2)</f>
        <v>2793.57</v>
      </c>
    </row>
    <row r="229" spans="1:7">
      <c r="A229" s="30">
        <v>43040</v>
      </c>
      <c r="B229" t="s">
        <v>37</v>
      </c>
      <c r="C229">
        <v>118</v>
      </c>
      <c r="D229" s="31">
        <v>22.95</v>
      </c>
      <c r="E229" s="31">
        <v>2708.1</v>
      </c>
      <c r="F229">
        <f t="shared" si="3"/>
        <v>0.4375</v>
      </c>
      <c r="G229">
        <f>ROUND((1-F229:F861)*E229:E861,2)</f>
        <v>1523.31</v>
      </c>
    </row>
    <row r="230" spans="1:7">
      <c r="A230" s="30">
        <v>43041</v>
      </c>
      <c r="B230" t="s">
        <v>26</v>
      </c>
      <c r="C230">
        <v>46</v>
      </c>
      <c r="D230" s="31">
        <v>43.95</v>
      </c>
      <c r="E230" s="31">
        <v>2021.7</v>
      </c>
      <c r="F230">
        <f t="shared" si="3"/>
        <v>0.25</v>
      </c>
      <c r="G230">
        <f>ROUND((1-F230:F862)*E230:E862,2)</f>
        <v>1516.28</v>
      </c>
    </row>
    <row r="231" spans="1:7">
      <c r="A231" s="30">
        <v>43043</v>
      </c>
      <c r="B231" t="s">
        <v>24</v>
      </c>
      <c r="C231">
        <v>72</v>
      </c>
      <c r="D231" s="31">
        <v>14.95</v>
      </c>
      <c r="E231" s="31">
        <v>1076.4</v>
      </c>
      <c r="F231">
        <f t="shared" si="3"/>
        <v>0.375</v>
      </c>
      <c r="G231">
        <f>ROUND((1-F231:F863)*E231:E863,2)</f>
        <v>672.75</v>
      </c>
    </row>
    <row r="232" spans="1:7">
      <c r="A232" s="30">
        <v>43046</v>
      </c>
      <c r="B232" t="s">
        <v>24</v>
      </c>
      <c r="C232">
        <v>96</v>
      </c>
      <c r="D232" s="31">
        <v>14.95</v>
      </c>
      <c r="E232" s="31">
        <v>1435.2</v>
      </c>
      <c r="F232">
        <f t="shared" si="3"/>
        <v>0.4375</v>
      </c>
      <c r="G232">
        <f>ROUND((1-F232:F864)*E232:E864,2)</f>
        <v>807.3</v>
      </c>
    </row>
    <row r="233" spans="1:7">
      <c r="A233" s="30">
        <v>43042</v>
      </c>
      <c r="B233" t="s">
        <v>24</v>
      </c>
      <c r="C233">
        <v>69</v>
      </c>
      <c r="D233" s="31">
        <v>14.95</v>
      </c>
      <c r="E233" s="31">
        <v>1031.55</v>
      </c>
      <c r="F233">
        <f t="shared" si="3"/>
        <v>0.375</v>
      </c>
      <c r="G233">
        <f>ROUND((1-F233:F865)*E233:E865,2)</f>
        <v>644.72</v>
      </c>
    </row>
    <row r="234" spans="1:7">
      <c r="A234" s="30">
        <v>43042</v>
      </c>
      <c r="B234" t="s">
        <v>37</v>
      </c>
      <c r="C234">
        <v>149</v>
      </c>
      <c r="D234" s="31">
        <v>22.95</v>
      </c>
      <c r="E234" s="31">
        <v>3419.55</v>
      </c>
      <c r="F234">
        <f t="shared" si="3"/>
        <v>0.5</v>
      </c>
      <c r="G234">
        <f>ROUND((1-F234:F866)*E234:E866,2)</f>
        <v>1709.78</v>
      </c>
    </row>
    <row r="235" spans="1:7">
      <c r="A235" s="30">
        <v>43040</v>
      </c>
      <c r="B235" t="s">
        <v>37</v>
      </c>
      <c r="C235">
        <v>38</v>
      </c>
      <c r="D235" s="31">
        <v>22.95</v>
      </c>
      <c r="E235" s="31">
        <v>872.1</v>
      </c>
      <c r="F235">
        <f t="shared" si="3"/>
        <v>0.25</v>
      </c>
      <c r="G235">
        <f>ROUND((1-F235:F867)*E235:E867,2)</f>
        <v>654.08</v>
      </c>
    </row>
    <row r="236" spans="1:7">
      <c r="A236" s="30">
        <v>43042</v>
      </c>
      <c r="B236" t="s">
        <v>26</v>
      </c>
      <c r="C236">
        <v>161</v>
      </c>
      <c r="D236" s="31">
        <v>43.95</v>
      </c>
      <c r="E236" s="31">
        <v>7075.95</v>
      </c>
      <c r="F236">
        <f t="shared" si="3"/>
        <v>0.5</v>
      </c>
      <c r="G236">
        <f>ROUND((1-F236:F868)*E236:E868,2)</f>
        <v>3537.98</v>
      </c>
    </row>
    <row r="237" spans="1:7">
      <c r="A237" s="30">
        <v>43043</v>
      </c>
      <c r="B237" t="s">
        <v>24</v>
      </c>
      <c r="C237">
        <v>157</v>
      </c>
      <c r="D237" s="31">
        <v>14.95</v>
      </c>
      <c r="E237" s="31">
        <v>2347.15</v>
      </c>
      <c r="F237">
        <f t="shared" si="3"/>
        <v>0.5</v>
      </c>
      <c r="G237">
        <f>ROUND((1-F237:F869)*E237:E869,2)</f>
        <v>1173.58</v>
      </c>
    </row>
    <row r="238" spans="1:7">
      <c r="A238" s="30">
        <v>43040</v>
      </c>
      <c r="B238" t="s">
        <v>26</v>
      </c>
      <c r="C238">
        <v>86</v>
      </c>
      <c r="D238" s="31">
        <v>43.95</v>
      </c>
      <c r="E238" s="31">
        <v>3779.7</v>
      </c>
      <c r="F238">
        <f t="shared" si="3"/>
        <v>0.375</v>
      </c>
      <c r="G238">
        <f>ROUND((1-F238:F870)*E238:E870,2)</f>
        <v>2362.31</v>
      </c>
    </row>
    <row r="239" spans="1:7">
      <c r="A239" s="30">
        <v>43042</v>
      </c>
      <c r="B239" t="s">
        <v>37</v>
      </c>
      <c r="C239">
        <v>78</v>
      </c>
      <c r="D239" s="31">
        <v>22.95</v>
      </c>
      <c r="E239" s="31">
        <v>1790.1</v>
      </c>
      <c r="F239">
        <f t="shared" si="3"/>
        <v>0.375</v>
      </c>
      <c r="G239">
        <f>ROUND((1-F239:F871)*E239:E871,2)</f>
        <v>1118.81</v>
      </c>
    </row>
    <row r="240" spans="1:7">
      <c r="A240" s="30">
        <v>43040</v>
      </c>
      <c r="B240" t="s">
        <v>24</v>
      </c>
      <c r="C240">
        <v>125</v>
      </c>
      <c r="D240" s="31">
        <v>14.95</v>
      </c>
      <c r="E240" s="31">
        <v>1868.75</v>
      </c>
      <c r="F240">
        <f t="shared" si="3"/>
        <v>0.4375</v>
      </c>
      <c r="G240">
        <f>ROUND((1-F240:F872)*E240:E872,2)</f>
        <v>1051.17</v>
      </c>
    </row>
    <row r="241" spans="1:7">
      <c r="A241" s="30">
        <v>43045</v>
      </c>
      <c r="B241" t="s">
        <v>24</v>
      </c>
      <c r="C241">
        <v>48</v>
      </c>
      <c r="D241" s="31">
        <v>14.95</v>
      </c>
      <c r="E241" s="31">
        <v>717.6</v>
      </c>
      <c r="F241">
        <f t="shared" si="3"/>
        <v>0.375</v>
      </c>
      <c r="G241">
        <f>ROUND((1-F241:F873)*E241:E873,2)</f>
        <v>448.5</v>
      </c>
    </row>
    <row r="242" spans="1:7">
      <c r="A242" s="30">
        <v>43047</v>
      </c>
      <c r="B242" t="s">
        <v>37</v>
      </c>
      <c r="C242">
        <v>71</v>
      </c>
      <c r="D242" s="31">
        <v>22.95</v>
      </c>
      <c r="E242" s="31">
        <v>1629.45</v>
      </c>
      <c r="F242">
        <f t="shared" si="3"/>
        <v>0.375</v>
      </c>
      <c r="G242">
        <f>ROUND((1-F242:F874)*E242:E874,2)</f>
        <v>1018.41</v>
      </c>
    </row>
    <row r="243" spans="1:7">
      <c r="A243" s="30">
        <v>43043</v>
      </c>
      <c r="B243" t="s">
        <v>24</v>
      </c>
      <c r="C243">
        <v>32</v>
      </c>
      <c r="D243" s="31">
        <v>14.95</v>
      </c>
      <c r="E243" s="31">
        <v>478.4</v>
      </c>
      <c r="F243">
        <f t="shared" si="3"/>
        <v>0.25</v>
      </c>
      <c r="G243">
        <f>ROUND((1-F243:F875)*E243:E875,2)</f>
        <v>358.8</v>
      </c>
    </row>
    <row r="244" spans="1:7">
      <c r="A244" s="30">
        <v>43045</v>
      </c>
      <c r="B244" t="s">
        <v>36</v>
      </c>
      <c r="C244">
        <v>161</v>
      </c>
      <c r="D244" s="31">
        <v>21.95</v>
      </c>
      <c r="E244" s="31">
        <v>3533.95</v>
      </c>
      <c r="F244">
        <f t="shared" si="3"/>
        <v>0.5</v>
      </c>
      <c r="G244">
        <f>ROUND((1-F244:F876)*E244:E876,2)</f>
        <v>1766.98</v>
      </c>
    </row>
    <row r="245" spans="1:7">
      <c r="A245" s="30">
        <v>43047</v>
      </c>
      <c r="B245" t="s">
        <v>24</v>
      </c>
      <c r="C245">
        <v>65</v>
      </c>
      <c r="D245" s="31">
        <v>14.95</v>
      </c>
      <c r="E245" s="31">
        <v>971.75</v>
      </c>
      <c r="F245">
        <f t="shared" si="3"/>
        <v>0.375</v>
      </c>
      <c r="G245">
        <f>ROUND((1-F245:F877)*E245:E877,2)</f>
        <v>607.34</v>
      </c>
    </row>
    <row r="246" spans="1:7">
      <c r="A246" s="30">
        <v>43040</v>
      </c>
      <c r="B246" t="s">
        <v>26</v>
      </c>
      <c r="C246">
        <v>189</v>
      </c>
      <c r="D246" s="31">
        <v>43.95</v>
      </c>
      <c r="E246" s="31">
        <v>8306.55</v>
      </c>
      <c r="F246">
        <f t="shared" si="3"/>
        <v>0.55</v>
      </c>
      <c r="G246">
        <f>ROUND((1-F246:F878)*E246:E878,2)</f>
        <v>3737.95</v>
      </c>
    </row>
    <row r="247" spans="1:7">
      <c r="A247" s="30">
        <v>43045</v>
      </c>
      <c r="B247" t="s">
        <v>37</v>
      </c>
      <c r="C247">
        <v>181</v>
      </c>
      <c r="D247" s="31">
        <v>22.95</v>
      </c>
      <c r="E247" s="31">
        <v>4153.95</v>
      </c>
      <c r="F247">
        <f t="shared" si="3"/>
        <v>0.55</v>
      </c>
      <c r="G247">
        <f>ROUND((1-F247:F879)*E247:E879,2)</f>
        <v>1869.28</v>
      </c>
    </row>
    <row r="248" spans="1:7">
      <c r="A248" s="30">
        <v>43044</v>
      </c>
      <c r="B248" t="s">
        <v>24</v>
      </c>
      <c r="C248">
        <v>48</v>
      </c>
      <c r="D248" s="31">
        <v>14.95</v>
      </c>
      <c r="E248" s="31">
        <v>717.6</v>
      </c>
      <c r="F248">
        <f t="shared" si="3"/>
        <v>0.375</v>
      </c>
      <c r="G248">
        <f>ROUND((1-F248:F880)*E248:E880,2)</f>
        <v>448.5</v>
      </c>
    </row>
    <row r="249" spans="1:7">
      <c r="A249" s="30">
        <v>43044</v>
      </c>
      <c r="B249" t="s">
        <v>24</v>
      </c>
      <c r="C249">
        <v>132</v>
      </c>
      <c r="D249" s="31">
        <v>14.95</v>
      </c>
      <c r="E249" s="31">
        <v>1973.4</v>
      </c>
      <c r="F249">
        <f t="shared" si="3"/>
        <v>0.4375</v>
      </c>
      <c r="G249">
        <f>ROUND((1-F249:F881)*E249:E881,2)</f>
        <v>1110.04</v>
      </c>
    </row>
    <row r="250" spans="1:7">
      <c r="A250" s="30">
        <v>43045</v>
      </c>
      <c r="B250" t="s">
        <v>37</v>
      </c>
      <c r="C250">
        <v>54</v>
      </c>
      <c r="D250" s="31">
        <v>22.95</v>
      </c>
      <c r="E250" s="31">
        <v>1239.3</v>
      </c>
      <c r="F250">
        <f t="shared" si="3"/>
        <v>0.375</v>
      </c>
      <c r="G250">
        <f>ROUND((1-F250:F882)*E250:E882,2)</f>
        <v>774.56</v>
      </c>
    </row>
    <row r="251" spans="1:7">
      <c r="A251" s="30">
        <v>43044</v>
      </c>
      <c r="B251" t="s">
        <v>37</v>
      </c>
      <c r="C251">
        <v>103</v>
      </c>
      <c r="D251" s="31">
        <v>22.95</v>
      </c>
      <c r="E251" s="31">
        <v>2363.85</v>
      </c>
      <c r="F251">
        <f t="shared" si="3"/>
        <v>0.4375</v>
      </c>
      <c r="G251">
        <f>ROUND((1-F251:F883)*E251:E883,2)</f>
        <v>1329.67</v>
      </c>
    </row>
    <row r="252" spans="1:7">
      <c r="A252" s="30">
        <v>43043</v>
      </c>
      <c r="B252" t="s">
        <v>36</v>
      </c>
      <c r="C252">
        <v>129</v>
      </c>
      <c r="D252" s="31">
        <v>21.95</v>
      </c>
      <c r="E252" s="31">
        <v>2831.55</v>
      </c>
      <c r="F252">
        <f t="shared" si="3"/>
        <v>0.4375</v>
      </c>
      <c r="G252">
        <f>ROUND((1-F252:F884)*E252:E884,2)</f>
        <v>1592.75</v>
      </c>
    </row>
    <row r="253" spans="1:7">
      <c r="A253" s="30">
        <v>43042</v>
      </c>
      <c r="B253" t="s">
        <v>37</v>
      </c>
      <c r="C253">
        <v>104</v>
      </c>
      <c r="D253" s="31">
        <v>22.95</v>
      </c>
      <c r="E253" s="31">
        <v>2386.8</v>
      </c>
      <c r="F253">
        <f t="shared" si="3"/>
        <v>0.4375</v>
      </c>
      <c r="G253">
        <f>ROUND((1-F253:F885)*E253:E885,2)</f>
        <v>1342.58</v>
      </c>
    </row>
    <row r="254" spans="1:7">
      <c r="A254" s="30">
        <v>43047</v>
      </c>
      <c r="B254" t="s">
        <v>36</v>
      </c>
      <c r="C254">
        <v>121</v>
      </c>
      <c r="D254" s="31">
        <v>21.95</v>
      </c>
      <c r="E254" s="31">
        <v>2655.95</v>
      </c>
      <c r="F254">
        <f t="shared" si="3"/>
        <v>0.4375</v>
      </c>
      <c r="G254">
        <f>ROUND((1-F254:F886)*E254:E886,2)</f>
        <v>1493.97</v>
      </c>
    </row>
    <row r="255" spans="1:7">
      <c r="A255" s="30">
        <v>43043</v>
      </c>
      <c r="B255" t="s">
        <v>24</v>
      </c>
      <c r="C255">
        <v>148</v>
      </c>
      <c r="D255" s="31">
        <v>14.95</v>
      </c>
      <c r="E255" s="31">
        <v>2212.6</v>
      </c>
      <c r="F255">
        <f t="shared" si="3"/>
        <v>0.5</v>
      </c>
      <c r="G255">
        <f>ROUND((1-F255:F887)*E255:E887,2)</f>
        <v>1106.3</v>
      </c>
    </row>
    <row r="256" spans="1:7">
      <c r="A256" s="30">
        <v>43044</v>
      </c>
      <c r="B256" t="s">
        <v>24</v>
      </c>
      <c r="C256">
        <v>79</v>
      </c>
      <c r="D256" s="31">
        <v>14.95</v>
      </c>
      <c r="E256" s="31">
        <v>1181.05</v>
      </c>
      <c r="F256">
        <f t="shared" si="3"/>
        <v>0.375</v>
      </c>
      <c r="G256">
        <f>ROUND((1-F256:F888)*E256:E888,2)</f>
        <v>738.16</v>
      </c>
    </row>
    <row r="257" spans="1:7">
      <c r="A257" s="30">
        <v>43046</v>
      </c>
      <c r="B257" t="s">
        <v>37</v>
      </c>
      <c r="C257">
        <v>180</v>
      </c>
      <c r="D257" s="31">
        <v>22.95</v>
      </c>
      <c r="E257" s="31">
        <v>4131</v>
      </c>
      <c r="F257">
        <f t="shared" si="3"/>
        <v>0.55</v>
      </c>
      <c r="G257">
        <f>ROUND((1-F257:F889)*E257:E889,2)</f>
        <v>1858.95</v>
      </c>
    </row>
    <row r="258" spans="1:7">
      <c r="A258" s="30">
        <v>43040</v>
      </c>
      <c r="B258" t="s">
        <v>37</v>
      </c>
      <c r="C258">
        <v>154</v>
      </c>
      <c r="D258" s="31">
        <v>22.95</v>
      </c>
      <c r="E258" s="31">
        <v>3534.3</v>
      </c>
      <c r="F258">
        <f t="shared" si="3"/>
        <v>0.5</v>
      </c>
      <c r="G258">
        <f>ROUND((1-F258:F890)*E258:E890,2)</f>
        <v>1767.15</v>
      </c>
    </row>
    <row r="259" spans="1:7">
      <c r="A259" s="30">
        <v>43047</v>
      </c>
      <c r="B259" t="s">
        <v>24</v>
      </c>
      <c r="C259">
        <v>103</v>
      </c>
      <c r="D259" s="31">
        <v>14.95</v>
      </c>
      <c r="E259" s="31">
        <v>1539.85</v>
      </c>
      <c r="F259">
        <f t="shared" si="3"/>
        <v>0.4375</v>
      </c>
      <c r="G259">
        <f>ROUND((1-F259:F891)*E259:E891,2)</f>
        <v>866.17</v>
      </c>
    </row>
    <row r="260" spans="1:7">
      <c r="A260" s="30">
        <v>43047</v>
      </c>
      <c r="B260" t="s">
        <v>26</v>
      </c>
      <c r="C260">
        <v>161</v>
      </c>
      <c r="D260" s="31">
        <v>43.95</v>
      </c>
      <c r="E260" s="31">
        <v>7075.95</v>
      </c>
      <c r="F260">
        <f t="shared" si="3"/>
        <v>0.5</v>
      </c>
      <c r="G260">
        <f>ROUND((1-F260:F892)*E260:E892,2)</f>
        <v>3537.98</v>
      </c>
    </row>
    <row r="261" spans="1:7">
      <c r="A261" s="30">
        <v>43047</v>
      </c>
      <c r="B261" t="s">
        <v>37</v>
      </c>
      <c r="C261">
        <v>96</v>
      </c>
      <c r="D261" s="31">
        <v>22.95</v>
      </c>
      <c r="E261" s="31">
        <v>2203.2</v>
      </c>
      <c r="F261">
        <f t="shared" si="3"/>
        <v>0.4375</v>
      </c>
      <c r="G261">
        <f>ROUND((1-F261:F893)*E261:E893,2)</f>
        <v>1239.3</v>
      </c>
    </row>
    <row r="262" spans="1:7">
      <c r="A262" s="30">
        <v>43044</v>
      </c>
      <c r="B262" t="s">
        <v>37</v>
      </c>
      <c r="C262">
        <v>180</v>
      </c>
      <c r="D262" s="31">
        <v>22.95</v>
      </c>
      <c r="E262" s="31">
        <v>4131</v>
      </c>
      <c r="F262">
        <f t="shared" si="3"/>
        <v>0.55</v>
      </c>
      <c r="G262">
        <f>ROUND((1-F262:F894)*E262:E894,2)</f>
        <v>1858.95</v>
      </c>
    </row>
    <row r="263" spans="1:7">
      <c r="A263" s="30">
        <v>43047</v>
      </c>
      <c r="B263" t="s">
        <v>24</v>
      </c>
      <c r="C263">
        <v>40</v>
      </c>
      <c r="D263" s="31">
        <v>14.95</v>
      </c>
      <c r="E263" s="31">
        <v>598</v>
      </c>
      <c r="F263">
        <f t="shared" si="3"/>
        <v>0.25</v>
      </c>
      <c r="G263">
        <f>ROUND((1-F263:F895)*E263:E895,2)</f>
        <v>448.5</v>
      </c>
    </row>
    <row r="264" spans="1:7">
      <c r="A264" s="30">
        <v>43043</v>
      </c>
      <c r="B264" t="s">
        <v>36</v>
      </c>
      <c r="C264">
        <v>127</v>
      </c>
      <c r="D264" s="31">
        <v>21.95</v>
      </c>
      <c r="E264" s="31">
        <v>2787.65</v>
      </c>
      <c r="F264">
        <f t="shared" si="3"/>
        <v>0.4375</v>
      </c>
      <c r="G264">
        <f>ROUND((1-F264:F896)*E264:E896,2)</f>
        <v>1568.05</v>
      </c>
    </row>
    <row r="265" spans="1:7">
      <c r="A265" s="30">
        <v>43047</v>
      </c>
      <c r="B265" t="s">
        <v>26</v>
      </c>
      <c r="C265">
        <v>165</v>
      </c>
      <c r="D265" s="31">
        <v>43.95</v>
      </c>
      <c r="E265" s="31">
        <v>7251.75</v>
      </c>
      <c r="F265">
        <f t="shared" si="3"/>
        <v>0.5</v>
      </c>
      <c r="G265">
        <f>ROUND((1-F265:F897)*E265:E897,2)</f>
        <v>3625.88</v>
      </c>
    </row>
    <row r="266" spans="1:7">
      <c r="A266" s="30">
        <v>43047</v>
      </c>
      <c r="B266" t="s">
        <v>26</v>
      </c>
      <c r="C266">
        <v>148</v>
      </c>
      <c r="D266" s="31">
        <v>43.95</v>
      </c>
      <c r="E266" s="31">
        <v>6504.6</v>
      </c>
      <c r="F266">
        <f t="shared" si="3"/>
        <v>0.5</v>
      </c>
      <c r="G266">
        <f>ROUND((1-F266:F898)*E266:E898,2)</f>
        <v>3252.3</v>
      </c>
    </row>
    <row r="267" spans="1:7">
      <c r="A267" s="30">
        <v>43045</v>
      </c>
      <c r="B267" t="s">
        <v>37</v>
      </c>
      <c r="C267">
        <v>132</v>
      </c>
      <c r="D267" s="31">
        <v>22.95</v>
      </c>
      <c r="E267" s="31">
        <v>3029.4</v>
      </c>
      <c r="F267">
        <f t="shared" si="3"/>
        <v>0.4375</v>
      </c>
      <c r="G267">
        <f>ROUND((1-F267:F899)*E267:E899,2)</f>
        <v>1704.04</v>
      </c>
    </row>
    <row r="268" spans="1:7">
      <c r="A268" s="30">
        <v>43045</v>
      </c>
      <c r="B268" t="s">
        <v>26</v>
      </c>
      <c r="C268">
        <v>24</v>
      </c>
      <c r="D268" s="31">
        <v>43.95</v>
      </c>
      <c r="E268" s="31">
        <v>1054.8</v>
      </c>
      <c r="F268">
        <f t="shared" si="3"/>
        <v>0.25</v>
      </c>
      <c r="G268">
        <f>ROUND((1-F268:F900)*E268:E900,2)</f>
        <v>791.1</v>
      </c>
    </row>
    <row r="269" spans="1:7">
      <c r="A269" s="30">
        <v>43042</v>
      </c>
      <c r="B269" t="s">
        <v>24</v>
      </c>
      <c r="C269">
        <v>131</v>
      </c>
      <c r="D269" s="31">
        <v>14.95</v>
      </c>
      <c r="E269" s="31">
        <v>1958.45</v>
      </c>
      <c r="F269">
        <f t="shared" si="3"/>
        <v>0.4375</v>
      </c>
      <c r="G269">
        <f>ROUND((1-F269:F901)*E269:E901,2)</f>
        <v>1101.63</v>
      </c>
    </row>
    <row r="270" spans="1:7">
      <c r="A270" s="30">
        <v>43045</v>
      </c>
      <c r="B270" t="s">
        <v>26</v>
      </c>
      <c r="C270">
        <v>38</v>
      </c>
      <c r="D270" s="31">
        <v>43.95</v>
      </c>
      <c r="E270" s="31">
        <v>1670.1</v>
      </c>
      <c r="F270">
        <f t="shared" si="3"/>
        <v>0.25</v>
      </c>
      <c r="G270">
        <f>ROUND((1-F270:F902)*E270:E902,2)</f>
        <v>1252.58</v>
      </c>
    </row>
    <row r="271" spans="1:7">
      <c r="A271" s="30">
        <v>43042</v>
      </c>
      <c r="B271" t="s">
        <v>26</v>
      </c>
      <c r="C271">
        <v>114</v>
      </c>
      <c r="D271" s="31">
        <v>43.95</v>
      </c>
      <c r="E271" s="31">
        <v>5010.3</v>
      </c>
      <c r="F271">
        <f t="shared" si="3"/>
        <v>0.4375</v>
      </c>
      <c r="G271">
        <f>ROUND((1-F271:F903)*E271:E903,2)</f>
        <v>2818.29</v>
      </c>
    </row>
    <row r="272" spans="1:7">
      <c r="A272" s="30">
        <v>43042</v>
      </c>
      <c r="B272" t="s">
        <v>36</v>
      </c>
      <c r="C272">
        <v>27</v>
      </c>
      <c r="D272" s="31">
        <v>21.95</v>
      </c>
      <c r="E272" s="31">
        <v>592.65</v>
      </c>
      <c r="F272">
        <f t="shared" si="3"/>
        <v>0.25</v>
      </c>
      <c r="G272">
        <f>ROUND((1-F272:F904)*E272:E904,2)</f>
        <v>444.49</v>
      </c>
    </row>
    <row r="273" spans="1:7">
      <c r="A273" s="30">
        <v>43046</v>
      </c>
      <c r="B273" t="s">
        <v>36</v>
      </c>
      <c r="C273">
        <v>29</v>
      </c>
      <c r="D273" s="31">
        <v>21.95</v>
      </c>
      <c r="E273" s="31">
        <v>636.55</v>
      </c>
      <c r="F273">
        <f t="shared" si="3"/>
        <v>0.25</v>
      </c>
      <c r="G273">
        <f>ROUND((1-F273:F905)*E273:E905,2)</f>
        <v>477.41</v>
      </c>
    </row>
    <row r="274" spans="1:7">
      <c r="A274" s="30">
        <v>43041</v>
      </c>
      <c r="B274" t="s">
        <v>26</v>
      </c>
      <c r="C274">
        <v>155</v>
      </c>
      <c r="D274" s="31">
        <v>43.95</v>
      </c>
      <c r="E274" s="31">
        <v>6812.25</v>
      </c>
      <c r="F274">
        <f t="shared" si="3"/>
        <v>0.5</v>
      </c>
      <c r="G274">
        <f>ROUND((1-F274:F906)*E274:E906,2)</f>
        <v>3406.13</v>
      </c>
    </row>
    <row r="275" spans="1:7">
      <c r="A275" s="30">
        <v>43041</v>
      </c>
      <c r="B275" t="s">
        <v>26</v>
      </c>
      <c r="C275">
        <v>45</v>
      </c>
      <c r="D275" s="31">
        <v>43.95</v>
      </c>
      <c r="E275" s="31">
        <v>1977.75</v>
      </c>
      <c r="F275">
        <f t="shared" si="3"/>
        <v>0.25</v>
      </c>
      <c r="G275">
        <f>ROUND((1-F275:F907)*E275:E907,2)</f>
        <v>1483.31</v>
      </c>
    </row>
    <row r="276" spans="1:7">
      <c r="A276" s="30">
        <v>43043</v>
      </c>
      <c r="B276" t="s">
        <v>37</v>
      </c>
      <c r="C276">
        <v>156</v>
      </c>
      <c r="D276" s="31">
        <v>22.95</v>
      </c>
      <c r="E276" s="31">
        <v>3580.2</v>
      </c>
      <c r="F276">
        <f t="shared" si="3"/>
        <v>0.5</v>
      </c>
      <c r="G276">
        <f>ROUND((1-F276:F908)*E276:E908,2)</f>
        <v>1790.1</v>
      </c>
    </row>
    <row r="277" spans="1:7">
      <c r="A277" s="30">
        <v>43043</v>
      </c>
      <c r="B277" t="s">
        <v>36</v>
      </c>
      <c r="C277">
        <v>81</v>
      </c>
      <c r="D277" s="31">
        <v>21.95</v>
      </c>
      <c r="E277" s="31">
        <v>1777.95</v>
      </c>
      <c r="F277">
        <f t="shared" ref="F277:F340" si="4">VLOOKUP(C277:C912,$I$19:$J$25,2)</f>
        <v>0.375</v>
      </c>
      <c r="G277">
        <f>ROUND((1-F277:F909)*E277:E909,2)</f>
        <v>1111.22</v>
      </c>
    </row>
    <row r="278" spans="1:7">
      <c r="A278" s="30">
        <v>43040</v>
      </c>
      <c r="B278" t="s">
        <v>24</v>
      </c>
      <c r="C278">
        <v>56</v>
      </c>
      <c r="D278" s="31">
        <v>14.95</v>
      </c>
      <c r="E278" s="31">
        <v>837.2</v>
      </c>
      <c r="F278">
        <f t="shared" si="4"/>
        <v>0.375</v>
      </c>
      <c r="G278">
        <f>ROUND((1-F278:F910)*E278:E910,2)</f>
        <v>523.25</v>
      </c>
    </row>
    <row r="279" spans="1:7">
      <c r="A279" s="30">
        <v>43043</v>
      </c>
      <c r="B279" t="s">
        <v>36</v>
      </c>
      <c r="C279">
        <v>12</v>
      </c>
      <c r="D279" s="31">
        <v>21.95</v>
      </c>
      <c r="E279" s="31">
        <v>263.4</v>
      </c>
      <c r="F279">
        <f t="shared" si="4"/>
        <v>0.25</v>
      </c>
      <c r="G279">
        <f>ROUND((1-F279:F911)*E279:E911,2)</f>
        <v>197.55</v>
      </c>
    </row>
    <row r="280" spans="1:7">
      <c r="A280" s="30">
        <v>43046</v>
      </c>
      <c r="B280" t="s">
        <v>26</v>
      </c>
      <c r="C280">
        <v>116</v>
      </c>
      <c r="D280" s="31">
        <v>43.95</v>
      </c>
      <c r="E280" s="31">
        <v>5098.2</v>
      </c>
      <c r="F280">
        <f t="shared" si="4"/>
        <v>0.4375</v>
      </c>
      <c r="G280">
        <f>ROUND((1-F280:F912)*E280:E912,2)</f>
        <v>2867.74</v>
      </c>
    </row>
    <row r="281" spans="1:7">
      <c r="A281" s="30">
        <v>43043</v>
      </c>
      <c r="B281" t="s">
        <v>24</v>
      </c>
      <c r="C281">
        <v>145</v>
      </c>
      <c r="D281" s="31">
        <v>14.95</v>
      </c>
      <c r="E281" s="31">
        <v>2167.75</v>
      </c>
      <c r="F281">
        <f t="shared" si="4"/>
        <v>0.5</v>
      </c>
      <c r="G281">
        <f>ROUND((1-F281:F913)*E281:E913,2)</f>
        <v>1083.88</v>
      </c>
    </row>
    <row r="282" spans="1:7">
      <c r="A282" s="30">
        <v>43044</v>
      </c>
      <c r="B282" t="s">
        <v>37</v>
      </c>
      <c r="C282">
        <v>19</v>
      </c>
      <c r="D282" s="31">
        <v>22.95</v>
      </c>
      <c r="E282" s="31">
        <v>436.05</v>
      </c>
      <c r="F282">
        <f t="shared" si="4"/>
        <v>0.25</v>
      </c>
      <c r="G282">
        <f>ROUND((1-F282:F914)*E282:E914,2)</f>
        <v>327.04</v>
      </c>
    </row>
    <row r="283" spans="1:7">
      <c r="A283" s="30">
        <v>43041</v>
      </c>
      <c r="B283" t="s">
        <v>24</v>
      </c>
      <c r="C283">
        <v>27</v>
      </c>
      <c r="D283" s="31">
        <v>14.95</v>
      </c>
      <c r="E283" s="31">
        <v>403.65</v>
      </c>
      <c r="F283">
        <f t="shared" si="4"/>
        <v>0.25</v>
      </c>
      <c r="G283">
        <f>ROUND((1-F283:F915)*E283:E915,2)</f>
        <v>302.74</v>
      </c>
    </row>
    <row r="284" spans="1:7">
      <c r="A284" s="30">
        <v>43044</v>
      </c>
      <c r="B284" t="s">
        <v>24</v>
      </c>
      <c r="C284">
        <v>180</v>
      </c>
      <c r="D284" s="31">
        <v>14.95</v>
      </c>
      <c r="E284" s="31">
        <v>2691</v>
      </c>
      <c r="F284">
        <f t="shared" si="4"/>
        <v>0.55</v>
      </c>
      <c r="G284">
        <f>ROUND((1-F284:F916)*E284:E916,2)</f>
        <v>1210.95</v>
      </c>
    </row>
    <row r="285" spans="1:7">
      <c r="A285" s="30">
        <v>43044</v>
      </c>
      <c r="B285" t="s">
        <v>37</v>
      </c>
      <c r="C285">
        <v>29</v>
      </c>
      <c r="D285" s="31">
        <v>22.95</v>
      </c>
      <c r="E285" s="31">
        <v>665.55</v>
      </c>
      <c r="F285">
        <f t="shared" si="4"/>
        <v>0.25</v>
      </c>
      <c r="G285">
        <f>ROUND((1-F285:F917)*E285:E917,2)</f>
        <v>499.16</v>
      </c>
    </row>
    <row r="286" spans="1:7">
      <c r="A286" s="30">
        <v>43041</v>
      </c>
      <c r="B286" t="s">
        <v>37</v>
      </c>
      <c r="C286">
        <v>151</v>
      </c>
      <c r="D286" s="31">
        <v>22.95</v>
      </c>
      <c r="E286" s="31">
        <v>3465.45</v>
      </c>
      <c r="F286">
        <f t="shared" si="4"/>
        <v>0.5</v>
      </c>
      <c r="G286">
        <f>ROUND((1-F286:F918)*E286:E918,2)</f>
        <v>1732.73</v>
      </c>
    </row>
    <row r="287" spans="1:7">
      <c r="A287" s="30">
        <v>43041</v>
      </c>
      <c r="B287" t="s">
        <v>26</v>
      </c>
      <c r="C287">
        <v>162</v>
      </c>
      <c r="D287" s="31">
        <v>43.95</v>
      </c>
      <c r="E287" s="31">
        <v>7119.9</v>
      </c>
      <c r="F287">
        <f t="shared" si="4"/>
        <v>0.5</v>
      </c>
      <c r="G287">
        <f>ROUND((1-F287:F919)*E287:E919,2)</f>
        <v>3559.95</v>
      </c>
    </row>
    <row r="288" spans="1:7">
      <c r="A288" s="30">
        <v>43045</v>
      </c>
      <c r="B288" t="s">
        <v>24</v>
      </c>
      <c r="C288">
        <v>22</v>
      </c>
      <c r="D288" s="31">
        <v>14.95</v>
      </c>
      <c r="E288" s="31">
        <v>328.9</v>
      </c>
      <c r="F288">
        <f t="shared" si="4"/>
        <v>0.25</v>
      </c>
      <c r="G288">
        <f>ROUND((1-F288:F920)*E288:E920,2)</f>
        <v>246.68</v>
      </c>
    </row>
    <row r="289" spans="1:7">
      <c r="A289" s="30">
        <v>43047</v>
      </c>
      <c r="B289" t="s">
        <v>36</v>
      </c>
      <c r="C289">
        <v>11</v>
      </c>
      <c r="D289" s="31">
        <v>21.95</v>
      </c>
      <c r="E289" s="31">
        <v>241.45</v>
      </c>
      <c r="F289">
        <f t="shared" si="4"/>
        <v>0</v>
      </c>
      <c r="G289">
        <f>ROUND((1-F289:F921)*E289:E921,2)</f>
        <v>241.45</v>
      </c>
    </row>
    <row r="290" spans="1:7">
      <c r="A290" s="30">
        <v>43047</v>
      </c>
      <c r="B290" t="s">
        <v>24</v>
      </c>
      <c r="C290">
        <v>182</v>
      </c>
      <c r="D290" s="31">
        <v>14.95</v>
      </c>
      <c r="E290" s="31">
        <v>2720.9</v>
      </c>
      <c r="F290">
        <f t="shared" si="4"/>
        <v>0.55</v>
      </c>
      <c r="G290">
        <f>ROUND((1-F290:F922)*E290:E922,2)</f>
        <v>1224.41</v>
      </c>
    </row>
    <row r="291" spans="1:7">
      <c r="A291" s="30">
        <v>43046</v>
      </c>
      <c r="B291" t="s">
        <v>26</v>
      </c>
      <c r="C291">
        <v>150</v>
      </c>
      <c r="D291" s="31">
        <v>43.95</v>
      </c>
      <c r="E291" s="31">
        <v>6592.5</v>
      </c>
      <c r="F291">
        <f t="shared" si="4"/>
        <v>0.5</v>
      </c>
      <c r="G291">
        <f>ROUND((1-F291:F923)*E291:E923,2)</f>
        <v>3296.25</v>
      </c>
    </row>
    <row r="292" spans="1:7">
      <c r="A292" s="30">
        <v>43047</v>
      </c>
      <c r="B292" t="s">
        <v>36</v>
      </c>
      <c r="C292">
        <v>122</v>
      </c>
      <c r="D292" s="31">
        <v>21.95</v>
      </c>
      <c r="E292" s="31">
        <v>2677.9</v>
      </c>
      <c r="F292">
        <f t="shared" si="4"/>
        <v>0.4375</v>
      </c>
      <c r="G292">
        <f>ROUND((1-F292:F924)*E292:E924,2)</f>
        <v>1506.32</v>
      </c>
    </row>
    <row r="293" spans="1:7">
      <c r="A293" s="30">
        <v>43045</v>
      </c>
      <c r="B293" t="s">
        <v>24</v>
      </c>
      <c r="C293">
        <v>167</v>
      </c>
      <c r="D293" s="31">
        <v>14.95</v>
      </c>
      <c r="E293" s="31">
        <v>2496.65</v>
      </c>
      <c r="F293">
        <f t="shared" si="4"/>
        <v>0.5</v>
      </c>
      <c r="G293">
        <f>ROUND((1-F293:F925)*E293:E925,2)</f>
        <v>1248.33</v>
      </c>
    </row>
    <row r="294" spans="1:7">
      <c r="A294" s="30">
        <v>43046</v>
      </c>
      <c r="B294" t="s">
        <v>26</v>
      </c>
      <c r="C294">
        <v>104</v>
      </c>
      <c r="D294" s="31">
        <v>43.95</v>
      </c>
      <c r="E294" s="31">
        <v>4570.8</v>
      </c>
      <c r="F294">
        <f t="shared" si="4"/>
        <v>0.4375</v>
      </c>
      <c r="G294">
        <f>ROUND((1-F294:F926)*E294:E926,2)</f>
        <v>2571.08</v>
      </c>
    </row>
    <row r="295" spans="1:7">
      <c r="A295" s="30">
        <v>43043</v>
      </c>
      <c r="B295" t="s">
        <v>24</v>
      </c>
      <c r="C295">
        <v>41</v>
      </c>
      <c r="D295" s="31">
        <v>14.95</v>
      </c>
      <c r="E295" s="31">
        <v>612.95</v>
      </c>
      <c r="F295">
        <f t="shared" si="4"/>
        <v>0.25</v>
      </c>
      <c r="G295">
        <f>ROUND((1-F295:F927)*E295:E927,2)</f>
        <v>459.71</v>
      </c>
    </row>
    <row r="296" spans="1:7">
      <c r="A296" s="30">
        <v>43046</v>
      </c>
      <c r="B296" t="s">
        <v>24</v>
      </c>
      <c r="C296">
        <v>32</v>
      </c>
      <c r="D296" s="31">
        <v>14.95</v>
      </c>
      <c r="E296" s="31">
        <v>478.4</v>
      </c>
      <c r="F296">
        <f t="shared" si="4"/>
        <v>0.25</v>
      </c>
      <c r="G296">
        <f>ROUND((1-F296:F928)*E296:E928,2)</f>
        <v>358.8</v>
      </c>
    </row>
    <row r="297" spans="1:7">
      <c r="A297" s="30">
        <v>43045</v>
      </c>
      <c r="B297" t="s">
        <v>36</v>
      </c>
      <c r="C297">
        <v>104</v>
      </c>
      <c r="D297" s="31">
        <v>21.95</v>
      </c>
      <c r="E297" s="31">
        <v>2282.8</v>
      </c>
      <c r="F297">
        <f t="shared" si="4"/>
        <v>0.4375</v>
      </c>
      <c r="G297">
        <f>ROUND((1-F297:F929)*E297:E929,2)</f>
        <v>1284.08</v>
      </c>
    </row>
    <row r="298" spans="1:7">
      <c r="A298" s="30">
        <v>43042</v>
      </c>
      <c r="B298" t="s">
        <v>37</v>
      </c>
      <c r="C298">
        <v>15</v>
      </c>
      <c r="D298" s="31">
        <v>22.95</v>
      </c>
      <c r="E298" s="31">
        <v>344.25</v>
      </c>
      <c r="F298">
        <f t="shared" si="4"/>
        <v>0.25</v>
      </c>
      <c r="G298">
        <f>ROUND((1-F298:F930)*E298:E930,2)</f>
        <v>258.19</v>
      </c>
    </row>
    <row r="299" spans="1:7">
      <c r="A299" s="30">
        <v>43043</v>
      </c>
      <c r="B299" t="s">
        <v>37</v>
      </c>
      <c r="C299">
        <v>70</v>
      </c>
      <c r="D299" s="31">
        <v>22.95</v>
      </c>
      <c r="E299" s="31">
        <v>1606.5</v>
      </c>
      <c r="F299">
        <f t="shared" si="4"/>
        <v>0.375</v>
      </c>
      <c r="G299">
        <f>ROUND((1-F299:F931)*E299:E931,2)</f>
        <v>1004.06</v>
      </c>
    </row>
    <row r="300" spans="1:7">
      <c r="A300" s="30">
        <v>43047</v>
      </c>
      <c r="B300" t="s">
        <v>24</v>
      </c>
      <c r="C300">
        <v>173</v>
      </c>
      <c r="D300" s="31">
        <v>14.95</v>
      </c>
      <c r="E300" s="31">
        <v>2586.35</v>
      </c>
      <c r="F300">
        <f t="shared" si="4"/>
        <v>0.55</v>
      </c>
      <c r="G300">
        <f>ROUND((1-F300:F932)*E300:E932,2)</f>
        <v>1163.86</v>
      </c>
    </row>
    <row r="301" spans="1:7">
      <c r="A301" s="30">
        <v>43042</v>
      </c>
      <c r="B301" t="s">
        <v>24</v>
      </c>
      <c r="C301">
        <v>69</v>
      </c>
      <c r="D301" s="31">
        <v>14.95</v>
      </c>
      <c r="E301" s="31">
        <v>1031.55</v>
      </c>
      <c r="F301">
        <f t="shared" si="4"/>
        <v>0.375</v>
      </c>
      <c r="G301">
        <f>ROUND((1-F301:F933)*E301:E933,2)</f>
        <v>644.72</v>
      </c>
    </row>
    <row r="302" spans="1:7">
      <c r="A302" s="30">
        <v>43047</v>
      </c>
      <c r="B302" t="s">
        <v>26</v>
      </c>
      <c r="C302">
        <v>29</v>
      </c>
      <c r="D302" s="31">
        <v>43.95</v>
      </c>
      <c r="E302" s="31">
        <v>1274.55</v>
      </c>
      <c r="F302">
        <f t="shared" si="4"/>
        <v>0.25</v>
      </c>
      <c r="G302">
        <f>ROUND((1-F302:F934)*E302:E934,2)</f>
        <v>955.91</v>
      </c>
    </row>
    <row r="303" spans="1:7">
      <c r="A303" s="30">
        <v>43042</v>
      </c>
      <c r="B303" t="s">
        <v>36</v>
      </c>
      <c r="C303">
        <v>185</v>
      </c>
      <c r="D303" s="31">
        <v>21.95</v>
      </c>
      <c r="E303" s="31">
        <v>4060.75</v>
      </c>
      <c r="F303">
        <f t="shared" si="4"/>
        <v>0.55</v>
      </c>
      <c r="G303">
        <f>ROUND((1-F303:F935)*E303:E935,2)</f>
        <v>1827.34</v>
      </c>
    </row>
    <row r="304" spans="1:7">
      <c r="A304" s="30">
        <v>43040</v>
      </c>
      <c r="B304" t="s">
        <v>37</v>
      </c>
      <c r="C304">
        <v>123</v>
      </c>
      <c r="D304" s="31">
        <v>22.95</v>
      </c>
      <c r="E304" s="31">
        <v>2822.85</v>
      </c>
      <c r="F304">
        <f t="shared" si="4"/>
        <v>0.4375</v>
      </c>
      <c r="G304">
        <f>ROUND((1-F304:F936)*E304:E936,2)</f>
        <v>1587.85</v>
      </c>
    </row>
    <row r="305" spans="1:7">
      <c r="A305" s="30">
        <v>43043</v>
      </c>
      <c r="B305" t="s">
        <v>26</v>
      </c>
      <c r="C305">
        <v>156</v>
      </c>
      <c r="D305" s="31">
        <v>43.95</v>
      </c>
      <c r="E305" s="31">
        <v>6856.2</v>
      </c>
      <c r="F305">
        <f t="shared" si="4"/>
        <v>0.5</v>
      </c>
      <c r="G305">
        <f>ROUND((1-F305:F937)*E305:E937,2)</f>
        <v>3428.1</v>
      </c>
    </row>
    <row r="306" spans="1:7">
      <c r="A306" s="30">
        <v>43044</v>
      </c>
      <c r="B306" t="s">
        <v>36</v>
      </c>
      <c r="C306">
        <v>39</v>
      </c>
      <c r="D306" s="31">
        <v>21.95</v>
      </c>
      <c r="E306" s="31">
        <v>856.05</v>
      </c>
      <c r="F306">
        <f t="shared" si="4"/>
        <v>0.25</v>
      </c>
      <c r="G306">
        <f>ROUND((1-F306:F938)*E306:E938,2)</f>
        <v>642.04</v>
      </c>
    </row>
    <row r="307" spans="1:7">
      <c r="A307" s="30">
        <v>43045</v>
      </c>
      <c r="B307" t="s">
        <v>26</v>
      </c>
      <c r="C307">
        <v>18</v>
      </c>
      <c r="D307" s="31">
        <v>43.95</v>
      </c>
      <c r="E307" s="31">
        <v>791.1</v>
      </c>
      <c r="F307">
        <f t="shared" si="4"/>
        <v>0.25</v>
      </c>
      <c r="G307">
        <f>ROUND((1-F307:F939)*E307:E939,2)</f>
        <v>593.33</v>
      </c>
    </row>
    <row r="308" spans="1:7">
      <c r="A308" s="30">
        <v>43040</v>
      </c>
      <c r="B308" t="s">
        <v>36</v>
      </c>
      <c r="C308">
        <v>64</v>
      </c>
      <c r="D308" s="31">
        <v>21.95</v>
      </c>
      <c r="E308" s="31">
        <v>1404.8</v>
      </c>
      <c r="F308">
        <f t="shared" si="4"/>
        <v>0.375</v>
      </c>
      <c r="G308">
        <f>ROUND((1-F308:F940)*E308:E940,2)</f>
        <v>878</v>
      </c>
    </row>
    <row r="309" spans="1:7">
      <c r="A309" s="30">
        <v>43044</v>
      </c>
      <c r="B309" t="s">
        <v>26</v>
      </c>
      <c r="C309">
        <v>34</v>
      </c>
      <c r="D309" s="31">
        <v>43.95</v>
      </c>
      <c r="E309" s="31">
        <v>1494.3</v>
      </c>
      <c r="F309">
        <f t="shared" si="4"/>
        <v>0.25</v>
      </c>
      <c r="G309">
        <f>ROUND((1-F309:F941)*E309:E941,2)</f>
        <v>1120.73</v>
      </c>
    </row>
    <row r="310" spans="1:7">
      <c r="A310" s="30">
        <v>43046</v>
      </c>
      <c r="B310" t="s">
        <v>24</v>
      </c>
      <c r="C310">
        <v>186</v>
      </c>
      <c r="D310" s="31">
        <v>14.95</v>
      </c>
      <c r="E310" s="31">
        <v>2780.7</v>
      </c>
      <c r="F310">
        <f t="shared" si="4"/>
        <v>0.55</v>
      </c>
      <c r="G310">
        <f>ROUND((1-F310:F942)*E310:E942,2)</f>
        <v>1251.32</v>
      </c>
    </row>
    <row r="311" spans="1:7">
      <c r="A311" s="30">
        <v>43044</v>
      </c>
      <c r="B311" t="s">
        <v>26</v>
      </c>
      <c r="C311">
        <v>130</v>
      </c>
      <c r="D311" s="31">
        <v>43.95</v>
      </c>
      <c r="E311" s="31">
        <v>5713.5</v>
      </c>
      <c r="F311">
        <f t="shared" si="4"/>
        <v>0.4375</v>
      </c>
      <c r="G311">
        <f>ROUND((1-F311:F943)*E311:E943,2)</f>
        <v>3213.84</v>
      </c>
    </row>
    <row r="312" spans="1:7">
      <c r="A312" s="30">
        <v>43043</v>
      </c>
      <c r="B312" t="s">
        <v>36</v>
      </c>
      <c r="C312">
        <v>115</v>
      </c>
      <c r="D312" s="31">
        <v>21.95</v>
      </c>
      <c r="E312" s="31">
        <v>2524.25</v>
      </c>
      <c r="F312">
        <f t="shared" si="4"/>
        <v>0.4375</v>
      </c>
      <c r="G312">
        <f>ROUND((1-F312:F944)*E312:E944,2)</f>
        <v>1419.89</v>
      </c>
    </row>
    <row r="313" spans="1:7">
      <c r="A313" s="30">
        <v>43040</v>
      </c>
      <c r="B313" t="s">
        <v>24</v>
      </c>
      <c r="C313">
        <v>101</v>
      </c>
      <c r="D313" s="31">
        <v>14.95</v>
      </c>
      <c r="E313" s="31">
        <v>1509.95</v>
      </c>
      <c r="F313">
        <f t="shared" si="4"/>
        <v>0.4375</v>
      </c>
      <c r="G313">
        <f>ROUND((1-F313:F945)*E313:E945,2)</f>
        <v>849.35</v>
      </c>
    </row>
    <row r="314" spans="1:7">
      <c r="A314" s="30">
        <v>43045</v>
      </c>
      <c r="B314" t="s">
        <v>37</v>
      </c>
      <c r="C314">
        <v>80</v>
      </c>
      <c r="D314" s="31">
        <v>22.95</v>
      </c>
      <c r="E314" s="31">
        <v>1836</v>
      </c>
      <c r="F314">
        <f t="shared" si="4"/>
        <v>0.375</v>
      </c>
      <c r="G314">
        <f>ROUND((1-F314:F946)*E314:E946,2)</f>
        <v>1147.5</v>
      </c>
    </row>
    <row r="315" spans="1:7">
      <c r="A315" s="30">
        <v>43040</v>
      </c>
      <c r="B315" t="s">
        <v>24</v>
      </c>
      <c r="C315">
        <v>9</v>
      </c>
      <c r="D315" s="31">
        <v>14.95</v>
      </c>
      <c r="E315" s="31">
        <v>134.55</v>
      </c>
      <c r="F315">
        <f t="shared" si="4"/>
        <v>0</v>
      </c>
      <c r="G315">
        <f>ROUND((1-F315:F947)*E315:E947,2)</f>
        <v>134.55</v>
      </c>
    </row>
    <row r="316" spans="1:7">
      <c r="A316" s="30">
        <v>43040</v>
      </c>
      <c r="B316" t="s">
        <v>24</v>
      </c>
      <c r="C316">
        <v>50</v>
      </c>
      <c r="D316" s="31">
        <v>14.95</v>
      </c>
      <c r="E316" s="31">
        <v>747.5</v>
      </c>
      <c r="F316">
        <f t="shared" si="4"/>
        <v>0.375</v>
      </c>
      <c r="G316">
        <f>ROUND((1-F316:F948)*E316:E948,2)</f>
        <v>467.19</v>
      </c>
    </row>
    <row r="317" spans="1:7">
      <c r="A317" s="30">
        <v>43046</v>
      </c>
      <c r="B317" t="s">
        <v>37</v>
      </c>
      <c r="C317">
        <v>94</v>
      </c>
      <c r="D317" s="31">
        <v>22.95</v>
      </c>
      <c r="E317" s="31">
        <v>2157.3</v>
      </c>
      <c r="F317">
        <f t="shared" si="4"/>
        <v>0.375</v>
      </c>
      <c r="G317">
        <f>ROUND((1-F317:F949)*E317:E949,2)</f>
        <v>1348.31</v>
      </c>
    </row>
    <row r="318" spans="1:7">
      <c r="A318" s="30">
        <v>43043</v>
      </c>
      <c r="B318" t="s">
        <v>26</v>
      </c>
      <c r="C318">
        <v>103</v>
      </c>
      <c r="D318" s="31">
        <v>43.95</v>
      </c>
      <c r="E318" s="31">
        <v>4526.85</v>
      </c>
      <c r="F318">
        <f t="shared" si="4"/>
        <v>0.4375</v>
      </c>
      <c r="G318">
        <f>ROUND((1-F318:F950)*E318:E950,2)</f>
        <v>2546.35</v>
      </c>
    </row>
    <row r="319" spans="1:7">
      <c r="A319" s="30">
        <v>43041</v>
      </c>
      <c r="B319" t="s">
        <v>26</v>
      </c>
      <c r="C319">
        <v>82</v>
      </c>
      <c r="D319" s="31">
        <v>43.95</v>
      </c>
      <c r="E319" s="31">
        <v>3603.9</v>
      </c>
      <c r="F319">
        <f t="shared" si="4"/>
        <v>0.375</v>
      </c>
      <c r="G319">
        <f>ROUND((1-F319:F951)*E319:E951,2)</f>
        <v>2252.44</v>
      </c>
    </row>
    <row r="320" spans="1:7">
      <c r="A320" s="30">
        <v>43041</v>
      </c>
      <c r="B320" t="s">
        <v>26</v>
      </c>
      <c r="C320">
        <v>116</v>
      </c>
      <c r="D320" s="31">
        <v>43.95</v>
      </c>
      <c r="E320" s="31">
        <v>5098.2</v>
      </c>
      <c r="F320">
        <f t="shared" si="4"/>
        <v>0.4375</v>
      </c>
      <c r="G320">
        <f>ROUND((1-F320:F952)*E320:E952,2)</f>
        <v>2867.74</v>
      </c>
    </row>
    <row r="321" spans="1:7">
      <c r="A321" s="30">
        <v>43040</v>
      </c>
      <c r="B321" t="s">
        <v>24</v>
      </c>
      <c r="C321">
        <v>161</v>
      </c>
      <c r="D321" s="31">
        <v>14.95</v>
      </c>
      <c r="E321" s="31">
        <v>2406.95</v>
      </c>
      <c r="F321">
        <f t="shared" si="4"/>
        <v>0.5</v>
      </c>
      <c r="G321">
        <f>ROUND((1-F321:F953)*E321:E953,2)</f>
        <v>1203.48</v>
      </c>
    </row>
    <row r="322" spans="1:7">
      <c r="A322" s="30">
        <v>43046</v>
      </c>
      <c r="B322" t="s">
        <v>37</v>
      </c>
      <c r="C322">
        <v>136</v>
      </c>
      <c r="D322" s="31">
        <v>22.95</v>
      </c>
      <c r="E322" s="31">
        <v>3121.2</v>
      </c>
      <c r="F322">
        <f t="shared" si="4"/>
        <v>0.4375</v>
      </c>
      <c r="G322">
        <f>ROUND((1-F322:F954)*E322:E954,2)</f>
        <v>1755.68</v>
      </c>
    </row>
    <row r="323" spans="1:7">
      <c r="A323" s="30">
        <v>43043</v>
      </c>
      <c r="B323" t="s">
        <v>24</v>
      </c>
      <c r="C323">
        <v>50</v>
      </c>
      <c r="D323" s="31">
        <v>14.95</v>
      </c>
      <c r="E323" s="31">
        <v>747.5</v>
      </c>
      <c r="F323">
        <f t="shared" si="4"/>
        <v>0.375</v>
      </c>
      <c r="G323">
        <f>ROUND((1-F323:F955)*E323:E955,2)</f>
        <v>467.19</v>
      </c>
    </row>
    <row r="324" spans="1:7">
      <c r="A324" s="30">
        <v>43043</v>
      </c>
      <c r="B324" t="s">
        <v>26</v>
      </c>
      <c r="C324">
        <v>149</v>
      </c>
      <c r="D324" s="31">
        <v>43.95</v>
      </c>
      <c r="E324" s="31">
        <v>6548.55</v>
      </c>
      <c r="F324">
        <f t="shared" si="4"/>
        <v>0.5</v>
      </c>
      <c r="G324">
        <f>ROUND((1-F324:F956)*E324:E956,2)</f>
        <v>3274.28</v>
      </c>
    </row>
    <row r="325" spans="1:7">
      <c r="A325" s="30">
        <v>43045</v>
      </c>
      <c r="B325" t="s">
        <v>36</v>
      </c>
      <c r="C325">
        <v>35</v>
      </c>
      <c r="D325" s="31">
        <v>21.95</v>
      </c>
      <c r="E325" s="31">
        <v>768.25</v>
      </c>
      <c r="F325">
        <f t="shared" si="4"/>
        <v>0.25</v>
      </c>
      <c r="G325">
        <f>ROUND((1-F325:F957)*E325:E957,2)</f>
        <v>576.19</v>
      </c>
    </row>
    <row r="326" spans="1:7">
      <c r="A326" s="30">
        <v>43047</v>
      </c>
      <c r="B326" t="s">
        <v>26</v>
      </c>
      <c r="C326">
        <v>8</v>
      </c>
      <c r="D326" s="31">
        <v>43.95</v>
      </c>
      <c r="E326" s="31">
        <v>351.6</v>
      </c>
      <c r="F326">
        <f t="shared" si="4"/>
        <v>0</v>
      </c>
      <c r="G326">
        <f>ROUND((1-F326:F958)*E326:E958,2)</f>
        <v>351.6</v>
      </c>
    </row>
    <row r="327" spans="1:7">
      <c r="A327" s="30">
        <v>43042</v>
      </c>
      <c r="B327" t="s">
        <v>37</v>
      </c>
      <c r="C327">
        <v>54</v>
      </c>
      <c r="D327" s="31">
        <v>22.95</v>
      </c>
      <c r="E327" s="31">
        <v>1239.3</v>
      </c>
      <c r="F327">
        <f t="shared" si="4"/>
        <v>0.375</v>
      </c>
      <c r="G327">
        <f>ROUND((1-F327:F959)*E327:E959,2)</f>
        <v>774.56</v>
      </c>
    </row>
    <row r="328" spans="1:7">
      <c r="A328" s="30">
        <v>43040</v>
      </c>
      <c r="B328" t="s">
        <v>37</v>
      </c>
      <c r="C328">
        <v>88</v>
      </c>
      <c r="D328" s="31">
        <v>22.95</v>
      </c>
      <c r="E328" s="31">
        <v>2019.6</v>
      </c>
      <c r="F328">
        <f t="shared" si="4"/>
        <v>0.375</v>
      </c>
      <c r="G328">
        <f>ROUND((1-F328:F960)*E328:E960,2)</f>
        <v>1262.25</v>
      </c>
    </row>
    <row r="329" spans="1:7">
      <c r="A329" s="30">
        <v>43044</v>
      </c>
      <c r="B329" t="s">
        <v>37</v>
      </c>
      <c r="C329">
        <v>176</v>
      </c>
      <c r="D329" s="31">
        <v>22.95</v>
      </c>
      <c r="E329" s="31">
        <v>4039.2</v>
      </c>
      <c r="F329">
        <f t="shared" si="4"/>
        <v>0.55</v>
      </c>
      <c r="G329">
        <f>ROUND((1-F329:F961)*E329:E961,2)</f>
        <v>1817.64</v>
      </c>
    </row>
    <row r="330" spans="1:7">
      <c r="A330" s="30">
        <v>43040</v>
      </c>
      <c r="B330" t="s">
        <v>37</v>
      </c>
      <c r="C330">
        <v>79</v>
      </c>
      <c r="D330" s="31">
        <v>22.95</v>
      </c>
      <c r="E330" s="31">
        <v>1813.05</v>
      </c>
      <c r="F330">
        <f t="shared" si="4"/>
        <v>0.375</v>
      </c>
      <c r="G330">
        <f>ROUND((1-F330:F962)*E330:E962,2)</f>
        <v>1133.16</v>
      </c>
    </row>
    <row r="331" spans="1:7">
      <c r="A331" s="30">
        <v>43045</v>
      </c>
      <c r="B331" t="s">
        <v>24</v>
      </c>
      <c r="C331">
        <v>163</v>
      </c>
      <c r="D331" s="31">
        <v>14.95</v>
      </c>
      <c r="E331" s="31">
        <v>2436.85</v>
      </c>
      <c r="F331">
        <f t="shared" si="4"/>
        <v>0.5</v>
      </c>
      <c r="G331">
        <f>ROUND((1-F331:F963)*E331:E963,2)</f>
        <v>1218.43</v>
      </c>
    </row>
    <row r="332" spans="1:7">
      <c r="A332" s="30">
        <v>43041</v>
      </c>
      <c r="B332" t="s">
        <v>36</v>
      </c>
      <c r="C332">
        <v>8</v>
      </c>
      <c r="D332" s="31">
        <v>21.95</v>
      </c>
      <c r="E332" s="31">
        <v>175.6</v>
      </c>
      <c r="F332">
        <f t="shared" si="4"/>
        <v>0</v>
      </c>
      <c r="G332">
        <f>ROUND((1-F332:F964)*E332:E964,2)</f>
        <v>175.6</v>
      </c>
    </row>
    <row r="333" spans="1:7">
      <c r="A333" s="30">
        <v>43045</v>
      </c>
      <c r="B333" t="s">
        <v>26</v>
      </c>
      <c r="C333">
        <v>188</v>
      </c>
      <c r="D333" s="31">
        <v>43.95</v>
      </c>
      <c r="E333" s="31">
        <v>8262.6</v>
      </c>
      <c r="F333">
        <f t="shared" si="4"/>
        <v>0.55</v>
      </c>
      <c r="G333">
        <f>ROUND((1-F333:F965)*E333:E965,2)</f>
        <v>3718.17</v>
      </c>
    </row>
    <row r="334" spans="1:7">
      <c r="A334" s="30">
        <v>43040</v>
      </c>
      <c r="B334" t="s">
        <v>37</v>
      </c>
      <c r="C334">
        <v>35</v>
      </c>
      <c r="D334" s="31">
        <v>22.95</v>
      </c>
      <c r="E334" s="31">
        <v>803.25</v>
      </c>
      <c r="F334">
        <f t="shared" si="4"/>
        <v>0.25</v>
      </c>
      <c r="G334">
        <f>ROUND((1-F334:F966)*E334:E966,2)</f>
        <v>602.44</v>
      </c>
    </row>
    <row r="335" spans="1:7">
      <c r="A335" s="30">
        <v>43047</v>
      </c>
      <c r="B335" t="s">
        <v>36</v>
      </c>
      <c r="C335">
        <v>10</v>
      </c>
      <c r="D335" s="31">
        <v>21.95</v>
      </c>
      <c r="E335" s="31">
        <v>219.5</v>
      </c>
      <c r="F335">
        <f t="shared" si="4"/>
        <v>0</v>
      </c>
      <c r="G335">
        <f>ROUND((1-F335:F967)*E335:E967,2)</f>
        <v>219.5</v>
      </c>
    </row>
    <row r="336" spans="1:7">
      <c r="A336" s="30">
        <v>43045</v>
      </c>
      <c r="B336" t="s">
        <v>37</v>
      </c>
      <c r="C336">
        <v>36</v>
      </c>
      <c r="D336" s="31">
        <v>22.95</v>
      </c>
      <c r="E336" s="31">
        <v>826.2</v>
      </c>
      <c r="F336">
        <f t="shared" si="4"/>
        <v>0.25</v>
      </c>
      <c r="G336">
        <f>ROUND((1-F336:F968)*E336:E968,2)</f>
        <v>619.65</v>
      </c>
    </row>
    <row r="337" spans="1:7">
      <c r="A337" s="30">
        <v>43043</v>
      </c>
      <c r="B337" t="s">
        <v>26</v>
      </c>
      <c r="C337">
        <v>172</v>
      </c>
      <c r="D337" s="31">
        <v>43.95</v>
      </c>
      <c r="E337" s="31">
        <v>7559.4</v>
      </c>
      <c r="F337">
        <f t="shared" si="4"/>
        <v>0.55</v>
      </c>
      <c r="G337">
        <f>ROUND((1-F337:F969)*E337:E969,2)</f>
        <v>3401.73</v>
      </c>
    </row>
    <row r="338" spans="1:7">
      <c r="A338" s="30">
        <v>43044</v>
      </c>
      <c r="B338" t="s">
        <v>24</v>
      </c>
      <c r="C338">
        <v>142</v>
      </c>
      <c r="D338" s="31">
        <v>14.95</v>
      </c>
      <c r="E338" s="31">
        <v>2122.9</v>
      </c>
      <c r="F338">
        <f t="shared" si="4"/>
        <v>0.4375</v>
      </c>
      <c r="G338">
        <f>ROUND((1-F338:F970)*E338:E970,2)</f>
        <v>1194.13</v>
      </c>
    </row>
    <row r="339" spans="1:7">
      <c r="A339" s="30">
        <v>43044</v>
      </c>
      <c r="B339" t="s">
        <v>36</v>
      </c>
      <c r="C339">
        <v>79</v>
      </c>
      <c r="D339" s="31">
        <v>21.95</v>
      </c>
      <c r="E339" s="31">
        <v>1734.05</v>
      </c>
      <c r="F339">
        <f t="shared" si="4"/>
        <v>0.375</v>
      </c>
      <c r="G339">
        <f>ROUND((1-F339:F971)*E339:E971,2)</f>
        <v>1083.78</v>
      </c>
    </row>
    <row r="340" spans="1:7">
      <c r="A340" s="30">
        <v>43040</v>
      </c>
      <c r="B340" t="s">
        <v>26</v>
      </c>
      <c r="C340">
        <v>3</v>
      </c>
      <c r="D340" s="31">
        <v>43.95</v>
      </c>
      <c r="E340" s="31">
        <v>131.85</v>
      </c>
      <c r="F340">
        <f t="shared" si="4"/>
        <v>0</v>
      </c>
      <c r="G340">
        <f>ROUND((1-F340:F972)*E340:E972,2)</f>
        <v>131.85</v>
      </c>
    </row>
    <row r="341" spans="1:7">
      <c r="A341" s="30">
        <v>43045</v>
      </c>
      <c r="B341" t="s">
        <v>37</v>
      </c>
      <c r="C341">
        <v>106</v>
      </c>
      <c r="D341" s="31">
        <v>22.95</v>
      </c>
      <c r="E341" s="31">
        <v>2432.7</v>
      </c>
      <c r="F341">
        <f t="shared" ref="F341:F404" si="5">VLOOKUP(C341:C976,$I$19:$J$25,2)</f>
        <v>0.4375</v>
      </c>
      <c r="G341">
        <f>ROUND((1-F341:F973)*E341:E973,2)</f>
        <v>1368.39</v>
      </c>
    </row>
    <row r="342" spans="1:7">
      <c r="A342" s="30">
        <v>43041</v>
      </c>
      <c r="B342" t="s">
        <v>36</v>
      </c>
      <c r="C342">
        <v>16</v>
      </c>
      <c r="D342" s="31">
        <v>21.95</v>
      </c>
      <c r="E342" s="31">
        <v>351.2</v>
      </c>
      <c r="F342">
        <f t="shared" si="5"/>
        <v>0.25</v>
      </c>
      <c r="G342">
        <f>ROUND((1-F342:F974)*E342:E974,2)</f>
        <v>263.4</v>
      </c>
    </row>
    <row r="343" spans="1:7">
      <c r="A343" s="30">
        <v>43042</v>
      </c>
      <c r="B343" t="s">
        <v>36</v>
      </c>
      <c r="C343">
        <v>123</v>
      </c>
      <c r="D343" s="31">
        <v>21.95</v>
      </c>
      <c r="E343" s="31">
        <v>2699.85</v>
      </c>
      <c r="F343">
        <f t="shared" si="5"/>
        <v>0.4375</v>
      </c>
      <c r="G343">
        <f>ROUND((1-F343:F975)*E343:E975,2)</f>
        <v>1518.67</v>
      </c>
    </row>
    <row r="344" spans="1:7">
      <c r="A344" s="30">
        <v>43045</v>
      </c>
      <c r="B344" t="s">
        <v>36</v>
      </c>
      <c r="C344">
        <v>80</v>
      </c>
      <c r="D344" s="31">
        <v>21.95</v>
      </c>
      <c r="E344" s="31">
        <v>1756</v>
      </c>
      <c r="F344">
        <f t="shared" si="5"/>
        <v>0.375</v>
      </c>
      <c r="G344">
        <f>ROUND((1-F344:F976)*E344:E976,2)</f>
        <v>1097.5</v>
      </c>
    </row>
    <row r="345" spans="1:7">
      <c r="A345" s="30">
        <v>43044</v>
      </c>
      <c r="B345" t="s">
        <v>26</v>
      </c>
      <c r="C345">
        <v>155</v>
      </c>
      <c r="D345" s="31">
        <v>43.95</v>
      </c>
      <c r="E345" s="31">
        <v>6812.25</v>
      </c>
      <c r="F345">
        <f t="shared" si="5"/>
        <v>0.5</v>
      </c>
      <c r="G345">
        <f>ROUND((1-F345:F977)*E345:E977,2)</f>
        <v>3406.13</v>
      </c>
    </row>
    <row r="346" spans="1:7">
      <c r="A346" s="30">
        <v>43047</v>
      </c>
      <c r="B346" t="s">
        <v>26</v>
      </c>
      <c r="C346">
        <v>130</v>
      </c>
      <c r="D346" s="31">
        <v>43.95</v>
      </c>
      <c r="E346" s="31">
        <v>5713.5</v>
      </c>
      <c r="F346">
        <f t="shared" si="5"/>
        <v>0.4375</v>
      </c>
      <c r="G346">
        <f>ROUND((1-F346:F978)*E346:E978,2)</f>
        <v>3213.84</v>
      </c>
    </row>
    <row r="347" spans="1:7">
      <c r="A347" s="30">
        <v>43042</v>
      </c>
      <c r="B347" t="s">
        <v>36</v>
      </c>
      <c r="C347">
        <v>87</v>
      </c>
      <c r="D347" s="31">
        <v>21.95</v>
      </c>
      <c r="E347" s="31">
        <v>1909.65</v>
      </c>
      <c r="F347">
        <f t="shared" si="5"/>
        <v>0.375</v>
      </c>
      <c r="G347">
        <f>ROUND((1-F347:F979)*E347:E979,2)</f>
        <v>1193.53</v>
      </c>
    </row>
    <row r="348" spans="1:7">
      <c r="A348" s="30">
        <v>43042</v>
      </c>
      <c r="B348" t="s">
        <v>24</v>
      </c>
      <c r="C348">
        <v>104</v>
      </c>
      <c r="D348" s="31">
        <v>14.95</v>
      </c>
      <c r="E348" s="31">
        <v>1554.8</v>
      </c>
      <c r="F348">
        <f t="shared" si="5"/>
        <v>0.4375</v>
      </c>
      <c r="G348">
        <f>ROUND((1-F348:F980)*E348:E980,2)</f>
        <v>874.58</v>
      </c>
    </row>
    <row r="349" spans="1:7">
      <c r="A349" s="30">
        <v>43045</v>
      </c>
      <c r="B349" t="s">
        <v>36</v>
      </c>
      <c r="C349">
        <v>83</v>
      </c>
      <c r="D349" s="31">
        <v>21.95</v>
      </c>
      <c r="E349" s="31">
        <v>1821.85</v>
      </c>
      <c r="F349">
        <f t="shared" si="5"/>
        <v>0.375</v>
      </c>
      <c r="G349">
        <f>ROUND((1-F349:F981)*E349:E981,2)</f>
        <v>1138.66</v>
      </c>
    </row>
    <row r="350" spans="1:7">
      <c r="A350" s="30">
        <v>43047</v>
      </c>
      <c r="B350" t="s">
        <v>37</v>
      </c>
      <c r="C350">
        <v>139</v>
      </c>
      <c r="D350" s="31">
        <v>22.95</v>
      </c>
      <c r="E350" s="31">
        <v>3190.05</v>
      </c>
      <c r="F350">
        <f t="shared" si="5"/>
        <v>0.4375</v>
      </c>
      <c r="G350">
        <f>ROUND((1-F350:F982)*E350:E982,2)</f>
        <v>1794.4</v>
      </c>
    </row>
    <row r="351" spans="1:7">
      <c r="A351" s="30">
        <v>43041</v>
      </c>
      <c r="B351" t="s">
        <v>24</v>
      </c>
      <c r="C351">
        <v>139</v>
      </c>
      <c r="D351" s="31">
        <v>14.95</v>
      </c>
      <c r="E351" s="31">
        <v>2078.05</v>
      </c>
      <c r="F351">
        <f t="shared" si="5"/>
        <v>0.4375</v>
      </c>
      <c r="G351">
        <f>ROUND((1-F351:F983)*E351:E983,2)</f>
        <v>1168.9</v>
      </c>
    </row>
    <row r="352" spans="1:7">
      <c r="A352" s="30">
        <v>43042</v>
      </c>
      <c r="B352" t="s">
        <v>24</v>
      </c>
      <c r="C352">
        <v>84</v>
      </c>
      <c r="D352" s="31">
        <v>14.95</v>
      </c>
      <c r="E352" s="31">
        <v>1255.8</v>
      </c>
      <c r="F352">
        <f t="shared" si="5"/>
        <v>0.375</v>
      </c>
      <c r="G352">
        <f>ROUND((1-F352:F984)*E352:E984,2)</f>
        <v>784.88</v>
      </c>
    </row>
    <row r="353" spans="1:7">
      <c r="A353" s="30">
        <v>43041</v>
      </c>
      <c r="B353" t="s">
        <v>36</v>
      </c>
      <c r="C353">
        <v>128</v>
      </c>
      <c r="D353" s="31">
        <v>21.95</v>
      </c>
      <c r="E353" s="31">
        <v>2809.6</v>
      </c>
      <c r="F353">
        <f t="shared" si="5"/>
        <v>0.4375</v>
      </c>
      <c r="G353">
        <f>ROUND((1-F353:F985)*E353:E985,2)</f>
        <v>1580.4</v>
      </c>
    </row>
    <row r="354" spans="1:7">
      <c r="A354" s="30">
        <v>43045</v>
      </c>
      <c r="B354" t="s">
        <v>37</v>
      </c>
      <c r="C354">
        <v>139</v>
      </c>
      <c r="D354" s="31">
        <v>22.95</v>
      </c>
      <c r="E354" s="31">
        <v>3190.05</v>
      </c>
      <c r="F354">
        <f t="shared" si="5"/>
        <v>0.4375</v>
      </c>
      <c r="G354">
        <f>ROUND((1-F354:F986)*E354:E986,2)</f>
        <v>1794.4</v>
      </c>
    </row>
    <row r="355" spans="1:7">
      <c r="A355" s="30">
        <v>43046</v>
      </c>
      <c r="B355" t="s">
        <v>37</v>
      </c>
      <c r="C355">
        <v>66</v>
      </c>
      <c r="D355" s="31">
        <v>22.95</v>
      </c>
      <c r="E355" s="31">
        <v>1514.7</v>
      </c>
      <c r="F355">
        <f t="shared" si="5"/>
        <v>0.375</v>
      </c>
      <c r="G355">
        <f>ROUND((1-F355:F987)*E355:E987,2)</f>
        <v>946.69</v>
      </c>
    </row>
    <row r="356" spans="1:7">
      <c r="A356" s="30">
        <v>43047</v>
      </c>
      <c r="B356" t="s">
        <v>26</v>
      </c>
      <c r="C356">
        <v>84</v>
      </c>
      <c r="D356" s="31">
        <v>43.95</v>
      </c>
      <c r="E356" s="31">
        <v>3691.8</v>
      </c>
      <c r="F356">
        <f t="shared" si="5"/>
        <v>0.375</v>
      </c>
      <c r="G356">
        <f>ROUND((1-F356:F988)*E356:E988,2)</f>
        <v>2307.38</v>
      </c>
    </row>
    <row r="357" spans="1:7">
      <c r="A357" s="30">
        <v>43045</v>
      </c>
      <c r="B357" t="s">
        <v>26</v>
      </c>
      <c r="C357">
        <v>149</v>
      </c>
      <c r="D357" s="31">
        <v>43.95</v>
      </c>
      <c r="E357" s="31">
        <v>6548.55</v>
      </c>
      <c r="F357">
        <f t="shared" si="5"/>
        <v>0.5</v>
      </c>
      <c r="G357">
        <f>ROUND((1-F357:F989)*E357:E989,2)</f>
        <v>3274.28</v>
      </c>
    </row>
    <row r="358" spans="1:7">
      <c r="A358" s="30">
        <v>43043</v>
      </c>
      <c r="B358" t="s">
        <v>37</v>
      </c>
      <c r="C358">
        <v>120</v>
      </c>
      <c r="D358" s="31">
        <v>22.95</v>
      </c>
      <c r="E358" s="31">
        <v>2754</v>
      </c>
      <c r="F358">
        <f t="shared" si="5"/>
        <v>0.4375</v>
      </c>
      <c r="G358">
        <f>ROUND((1-F358:F990)*E358:E990,2)</f>
        <v>1549.13</v>
      </c>
    </row>
    <row r="359" spans="1:7">
      <c r="A359" s="30">
        <v>43044</v>
      </c>
      <c r="B359" t="s">
        <v>36</v>
      </c>
      <c r="C359">
        <v>135</v>
      </c>
      <c r="D359" s="31">
        <v>21.95</v>
      </c>
      <c r="E359" s="31">
        <v>2963.25</v>
      </c>
      <c r="F359">
        <f t="shared" si="5"/>
        <v>0.4375</v>
      </c>
      <c r="G359">
        <f>ROUND((1-F359:F991)*E359:E991,2)</f>
        <v>1666.83</v>
      </c>
    </row>
    <row r="360" spans="1:7">
      <c r="A360" s="30">
        <v>43043</v>
      </c>
      <c r="B360" t="s">
        <v>36</v>
      </c>
      <c r="C360">
        <v>84</v>
      </c>
      <c r="D360" s="31">
        <v>21.95</v>
      </c>
      <c r="E360" s="31">
        <v>1843.8</v>
      </c>
      <c r="F360">
        <f t="shared" si="5"/>
        <v>0.375</v>
      </c>
      <c r="G360">
        <f>ROUND((1-F360:F992)*E360:E992,2)</f>
        <v>1152.38</v>
      </c>
    </row>
    <row r="361" spans="1:7">
      <c r="A361" s="30">
        <v>43044</v>
      </c>
      <c r="B361" t="s">
        <v>37</v>
      </c>
      <c r="C361">
        <v>120</v>
      </c>
      <c r="D361" s="31">
        <v>22.95</v>
      </c>
      <c r="E361" s="31">
        <v>2754</v>
      </c>
      <c r="F361">
        <f t="shared" si="5"/>
        <v>0.4375</v>
      </c>
      <c r="G361">
        <f>ROUND((1-F361:F993)*E361:E993,2)</f>
        <v>1549.13</v>
      </c>
    </row>
    <row r="362" spans="1:7">
      <c r="A362" s="30">
        <v>43041</v>
      </c>
      <c r="B362" t="s">
        <v>36</v>
      </c>
      <c r="C362">
        <v>29</v>
      </c>
      <c r="D362" s="31">
        <v>21.95</v>
      </c>
      <c r="E362" s="31">
        <v>636.55</v>
      </c>
      <c r="F362">
        <f t="shared" si="5"/>
        <v>0.25</v>
      </c>
      <c r="G362">
        <f>ROUND((1-F362:F994)*E362:E994,2)</f>
        <v>477.41</v>
      </c>
    </row>
    <row r="363" spans="1:7">
      <c r="A363" s="30">
        <v>43040</v>
      </c>
      <c r="B363" t="s">
        <v>37</v>
      </c>
      <c r="C363">
        <v>113</v>
      </c>
      <c r="D363" s="31">
        <v>22.95</v>
      </c>
      <c r="E363" s="31">
        <v>2593.35</v>
      </c>
      <c r="F363">
        <f t="shared" si="5"/>
        <v>0.4375</v>
      </c>
      <c r="G363">
        <f>ROUND((1-F363:F995)*E363:E995,2)</f>
        <v>1458.76</v>
      </c>
    </row>
    <row r="364" spans="1:7">
      <c r="A364" s="30">
        <v>43046</v>
      </c>
      <c r="B364" t="s">
        <v>26</v>
      </c>
      <c r="C364">
        <v>5</v>
      </c>
      <c r="D364" s="31">
        <v>43.95</v>
      </c>
      <c r="E364" s="31">
        <v>219.75</v>
      </c>
      <c r="F364">
        <f t="shared" si="5"/>
        <v>0</v>
      </c>
      <c r="G364">
        <f>ROUND((1-F364:F996)*E364:E996,2)</f>
        <v>219.75</v>
      </c>
    </row>
    <row r="365" spans="1:7">
      <c r="A365" s="30">
        <v>43045</v>
      </c>
      <c r="B365" t="s">
        <v>36</v>
      </c>
      <c r="C365">
        <v>10</v>
      </c>
      <c r="D365" s="31">
        <v>21.95</v>
      </c>
      <c r="E365" s="31">
        <v>219.5</v>
      </c>
      <c r="F365">
        <f t="shared" si="5"/>
        <v>0</v>
      </c>
      <c r="G365">
        <f>ROUND((1-F365:F997)*E365:E997,2)</f>
        <v>219.5</v>
      </c>
    </row>
    <row r="366" spans="1:7">
      <c r="A366" s="30">
        <v>43041</v>
      </c>
      <c r="B366" t="s">
        <v>36</v>
      </c>
      <c r="C366">
        <v>184</v>
      </c>
      <c r="D366" s="31">
        <v>21.95</v>
      </c>
      <c r="E366" s="31">
        <v>4038.8</v>
      </c>
      <c r="F366">
        <f t="shared" si="5"/>
        <v>0.55</v>
      </c>
      <c r="G366">
        <f>ROUND((1-F366:F998)*E366:E998,2)</f>
        <v>1817.46</v>
      </c>
    </row>
    <row r="367" spans="1:7">
      <c r="A367" s="30">
        <v>43040</v>
      </c>
      <c r="B367" t="s">
        <v>36</v>
      </c>
      <c r="C367">
        <v>45</v>
      </c>
      <c r="D367" s="31">
        <v>21.95</v>
      </c>
      <c r="E367" s="31">
        <v>987.75</v>
      </c>
      <c r="F367">
        <f t="shared" si="5"/>
        <v>0.25</v>
      </c>
      <c r="G367">
        <f>ROUND((1-F367:F999)*E367:E999,2)</f>
        <v>740.81</v>
      </c>
    </row>
    <row r="368" spans="1:7">
      <c r="A368" s="30">
        <v>43042</v>
      </c>
      <c r="B368" t="s">
        <v>24</v>
      </c>
      <c r="C368">
        <v>39</v>
      </c>
      <c r="D368" s="31">
        <v>14.95</v>
      </c>
      <c r="E368" s="31">
        <v>583.05</v>
      </c>
      <c r="F368">
        <f t="shared" si="5"/>
        <v>0.25</v>
      </c>
      <c r="G368">
        <f>ROUND((1-F368:F1000)*E368:E1000,2)</f>
        <v>437.29</v>
      </c>
    </row>
    <row r="369" spans="1:7">
      <c r="A369" s="30">
        <v>43040</v>
      </c>
      <c r="B369" t="s">
        <v>37</v>
      </c>
      <c r="C369">
        <v>55</v>
      </c>
      <c r="D369" s="31">
        <v>22.95</v>
      </c>
      <c r="E369" s="31">
        <v>1262.25</v>
      </c>
      <c r="F369">
        <f t="shared" si="5"/>
        <v>0.375</v>
      </c>
      <c r="G369">
        <f>ROUND((1-F369:F1001)*E369:E1001,2)</f>
        <v>788.91</v>
      </c>
    </row>
    <row r="370" spans="1:7">
      <c r="A370" s="30">
        <v>43042</v>
      </c>
      <c r="B370" t="s">
        <v>24</v>
      </c>
      <c r="C370">
        <v>185</v>
      </c>
      <c r="D370" s="31">
        <v>14.95</v>
      </c>
      <c r="E370" s="31">
        <v>2765.75</v>
      </c>
      <c r="F370">
        <f t="shared" si="5"/>
        <v>0.55</v>
      </c>
      <c r="G370">
        <f>ROUND((1-F370:F1002)*E370:E1002,2)</f>
        <v>1244.59</v>
      </c>
    </row>
    <row r="371" spans="1:7">
      <c r="A371" s="30">
        <v>43045</v>
      </c>
      <c r="B371" t="s">
        <v>37</v>
      </c>
      <c r="C371">
        <v>22</v>
      </c>
      <c r="D371" s="31">
        <v>22.95</v>
      </c>
      <c r="E371" s="31">
        <v>504.9</v>
      </c>
      <c r="F371">
        <f t="shared" si="5"/>
        <v>0.25</v>
      </c>
      <c r="G371">
        <f>ROUND((1-F371:F1003)*E371:E1003,2)</f>
        <v>378.68</v>
      </c>
    </row>
    <row r="372" spans="1:7">
      <c r="A372" s="30">
        <v>43040</v>
      </c>
      <c r="B372" t="s">
        <v>26</v>
      </c>
      <c r="C372">
        <v>103</v>
      </c>
      <c r="D372" s="31">
        <v>43.95</v>
      </c>
      <c r="E372" s="31">
        <v>4526.85</v>
      </c>
      <c r="F372">
        <f t="shared" si="5"/>
        <v>0.4375</v>
      </c>
      <c r="G372">
        <f>ROUND((1-F372:F1004)*E372:E1004,2)</f>
        <v>2546.35</v>
      </c>
    </row>
    <row r="373" spans="1:7">
      <c r="A373" s="30">
        <v>43042</v>
      </c>
      <c r="B373" t="s">
        <v>37</v>
      </c>
      <c r="C373">
        <v>149</v>
      </c>
      <c r="D373" s="31">
        <v>22.95</v>
      </c>
      <c r="E373" s="31">
        <v>3419.55</v>
      </c>
      <c r="F373">
        <f t="shared" si="5"/>
        <v>0.5</v>
      </c>
      <c r="G373">
        <f>ROUND((1-F373:F1005)*E373:E1005,2)</f>
        <v>1709.78</v>
      </c>
    </row>
    <row r="374" spans="1:7">
      <c r="A374" s="30">
        <v>43046</v>
      </c>
      <c r="B374" t="s">
        <v>36</v>
      </c>
      <c r="C374">
        <v>70</v>
      </c>
      <c r="D374" s="31">
        <v>21.95</v>
      </c>
      <c r="E374" s="31">
        <v>1536.5</v>
      </c>
      <c r="F374">
        <f t="shared" si="5"/>
        <v>0.375</v>
      </c>
      <c r="G374">
        <f>ROUND((1-F374:F1006)*E374:E1006,2)</f>
        <v>960.31</v>
      </c>
    </row>
    <row r="375" spans="1:7">
      <c r="A375" s="30">
        <v>43040</v>
      </c>
      <c r="B375" t="s">
        <v>24</v>
      </c>
      <c r="C375">
        <v>30</v>
      </c>
      <c r="D375" s="31">
        <v>14.95</v>
      </c>
      <c r="E375" s="31">
        <v>448.5</v>
      </c>
      <c r="F375">
        <f t="shared" si="5"/>
        <v>0.25</v>
      </c>
      <c r="G375">
        <f>ROUND((1-F375:F1007)*E375:E1007,2)</f>
        <v>336.38</v>
      </c>
    </row>
    <row r="376" spans="1:7">
      <c r="A376" s="30">
        <v>43047</v>
      </c>
      <c r="B376" t="s">
        <v>36</v>
      </c>
      <c r="C376">
        <v>119</v>
      </c>
      <c r="D376" s="31">
        <v>21.95</v>
      </c>
      <c r="E376" s="31">
        <v>2612.05</v>
      </c>
      <c r="F376">
        <f t="shared" si="5"/>
        <v>0.4375</v>
      </c>
      <c r="G376">
        <f>ROUND((1-F376:F1008)*E376:E1008,2)</f>
        <v>1469.28</v>
      </c>
    </row>
    <row r="377" spans="1:7">
      <c r="A377" s="30">
        <v>43045</v>
      </c>
      <c r="B377" t="s">
        <v>24</v>
      </c>
      <c r="C377">
        <v>136</v>
      </c>
      <c r="D377" s="31">
        <v>14.95</v>
      </c>
      <c r="E377" s="31">
        <v>2033.2</v>
      </c>
      <c r="F377">
        <f t="shared" si="5"/>
        <v>0.4375</v>
      </c>
      <c r="G377">
        <f>ROUND((1-F377:F1009)*E377:E1009,2)</f>
        <v>1143.68</v>
      </c>
    </row>
    <row r="378" spans="1:7">
      <c r="A378" s="30">
        <v>43044</v>
      </c>
      <c r="B378" t="s">
        <v>24</v>
      </c>
      <c r="C378">
        <v>156</v>
      </c>
      <c r="D378" s="31">
        <v>14.95</v>
      </c>
      <c r="E378" s="31">
        <v>2332.2</v>
      </c>
      <c r="F378">
        <f t="shared" si="5"/>
        <v>0.5</v>
      </c>
      <c r="G378">
        <f>ROUND((1-F378:F1010)*E378:E1010,2)</f>
        <v>1166.1</v>
      </c>
    </row>
    <row r="379" spans="1:7">
      <c r="A379" s="30">
        <v>43045</v>
      </c>
      <c r="B379" t="s">
        <v>26</v>
      </c>
      <c r="C379">
        <v>87</v>
      </c>
      <c r="D379" s="31">
        <v>43.95</v>
      </c>
      <c r="E379" s="31">
        <v>3823.65</v>
      </c>
      <c r="F379">
        <f t="shared" si="5"/>
        <v>0.375</v>
      </c>
      <c r="G379">
        <f>ROUND((1-F379:F1011)*E379:E1011,2)</f>
        <v>2389.78</v>
      </c>
    </row>
    <row r="380" spans="1:7">
      <c r="A380" s="30">
        <v>43040</v>
      </c>
      <c r="B380" t="s">
        <v>37</v>
      </c>
      <c r="C380">
        <v>174</v>
      </c>
      <c r="D380" s="31">
        <v>22.95</v>
      </c>
      <c r="E380" s="31">
        <v>3993.3</v>
      </c>
      <c r="F380">
        <f t="shared" si="5"/>
        <v>0.55</v>
      </c>
      <c r="G380">
        <f>ROUND((1-F380:F1012)*E380:E1012,2)</f>
        <v>1796.99</v>
      </c>
    </row>
    <row r="381" spans="1:7">
      <c r="A381" s="30">
        <v>43040</v>
      </c>
      <c r="B381" t="s">
        <v>26</v>
      </c>
      <c r="C381">
        <v>188</v>
      </c>
      <c r="D381" s="31">
        <v>43.95</v>
      </c>
      <c r="E381" s="31">
        <v>8262.6</v>
      </c>
      <c r="F381">
        <f t="shared" si="5"/>
        <v>0.55</v>
      </c>
      <c r="G381">
        <f>ROUND((1-F381:F1013)*E381:E1013,2)</f>
        <v>3718.17</v>
      </c>
    </row>
    <row r="382" spans="1:7">
      <c r="A382" s="30">
        <v>43046</v>
      </c>
      <c r="B382" t="s">
        <v>36</v>
      </c>
      <c r="C382">
        <v>189</v>
      </c>
      <c r="D382" s="31">
        <v>21.95</v>
      </c>
      <c r="E382" s="31">
        <v>4148.55</v>
      </c>
      <c r="F382">
        <f t="shared" si="5"/>
        <v>0.55</v>
      </c>
      <c r="G382">
        <f>ROUND((1-F382:F1014)*E382:E1014,2)</f>
        <v>1866.85</v>
      </c>
    </row>
    <row r="383" spans="1:7">
      <c r="A383" s="30">
        <v>43040</v>
      </c>
      <c r="B383" t="s">
        <v>24</v>
      </c>
      <c r="C383">
        <v>154</v>
      </c>
      <c r="D383" s="31">
        <v>14.95</v>
      </c>
      <c r="E383" s="31">
        <v>2302.3</v>
      </c>
      <c r="F383">
        <f t="shared" si="5"/>
        <v>0.5</v>
      </c>
      <c r="G383">
        <f>ROUND((1-F383:F1015)*E383:E1015,2)</f>
        <v>1151.15</v>
      </c>
    </row>
    <row r="384" spans="1:7">
      <c r="A384" s="30">
        <v>43040</v>
      </c>
      <c r="B384" t="s">
        <v>36</v>
      </c>
      <c r="C384">
        <v>48</v>
      </c>
      <c r="D384" s="31">
        <v>21.95</v>
      </c>
      <c r="E384" s="31">
        <v>1053.6</v>
      </c>
      <c r="F384">
        <f t="shared" si="5"/>
        <v>0.375</v>
      </c>
      <c r="G384">
        <f>ROUND((1-F384:F1016)*E384:E1016,2)</f>
        <v>658.5</v>
      </c>
    </row>
    <row r="385" spans="1:7">
      <c r="A385" s="30">
        <v>43041</v>
      </c>
      <c r="B385" t="s">
        <v>26</v>
      </c>
      <c r="C385">
        <v>61</v>
      </c>
      <c r="D385" s="31">
        <v>43.95</v>
      </c>
      <c r="E385" s="31">
        <v>2680.95</v>
      </c>
      <c r="F385">
        <f t="shared" si="5"/>
        <v>0.375</v>
      </c>
      <c r="G385">
        <f>ROUND((1-F385:F1017)*E385:E1017,2)</f>
        <v>1675.59</v>
      </c>
    </row>
    <row r="386" spans="1:7">
      <c r="A386" s="30">
        <v>43043</v>
      </c>
      <c r="B386" t="s">
        <v>26</v>
      </c>
      <c r="C386">
        <v>73</v>
      </c>
      <c r="D386" s="31">
        <v>43.95</v>
      </c>
      <c r="E386" s="31">
        <v>3208.35</v>
      </c>
      <c r="F386">
        <f t="shared" si="5"/>
        <v>0.375</v>
      </c>
      <c r="G386">
        <f>ROUND((1-F386:F1018)*E386:E1018,2)</f>
        <v>2005.22</v>
      </c>
    </row>
    <row r="387" spans="1:7">
      <c r="A387" s="30">
        <v>43045</v>
      </c>
      <c r="B387" t="s">
        <v>37</v>
      </c>
      <c r="C387">
        <v>122</v>
      </c>
      <c r="D387" s="31">
        <v>22.95</v>
      </c>
      <c r="E387" s="31">
        <v>2799.9</v>
      </c>
      <c r="F387">
        <f t="shared" si="5"/>
        <v>0.4375</v>
      </c>
      <c r="G387">
        <f>ROUND((1-F387:F1019)*E387:E1019,2)</f>
        <v>1574.94</v>
      </c>
    </row>
    <row r="388" spans="1:7">
      <c r="A388" s="30">
        <v>43045</v>
      </c>
      <c r="B388" t="s">
        <v>26</v>
      </c>
      <c r="C388">
        <v>67</v>
      </c>
      <c r="D388" s="31">
        <v>43.95</v>
      </c>
      <c r="E388" s="31">
        <v>2944.65</v>
      </c>
      <c r="F388">
        <f t="shared" si="5"/>
        <v>0.375</v>
      </c>
      <c r="G388">
        <f>ROUND((1-F388:F1020)*E388:E1020,2)</f>
        <v>1840.41</v>
      </c>
    </row>
    <row r="389" spans="1:7">
      <c r="A389" s="30">
        <v>43041</v>
      </c>
      <c r="B389" t="s">
        <v>26</v>
      </c>
      <c r="C389">
        <v>190</v>
      </c>
      <c r="D389" s="31">
        <v>43.95</v>
      </c>
      <c r="E389" s="31">
        <v>8350.5</v>
      </c>
      <c r="F389">
        <f t="shared" si="5"/>
        <v>0.55</v>
      </c>
      <c r="G389">
        <f>ROUND((1-F389:F1021)*E389:E1021,2)</f>
        <v>3757.73</v>
      </c>
    </row>
    <row r="390" spans="1:7">
      <c r="A390" s="30">
        <v>43047</v>
      </c>
      <c r="B390" t="s">
        <v>36</v>
      </c>
      <c r="C390">
        <v>154</v>
      </c>
      <c r="D390" s="31">
        <v>21.95</v>
      </c>
      <c r="E390" s="31">
        <v>3380.3</v>
      </c>
      <c r="F390">
        <f t="shared" si="5"/>
        <v>0.5</v>
      </c>
      <c r="G390">
        <f>ROUND((1-F390:F1022)*E390:E1022,2)</f>
        <v>1690.15</v>
      </c>
    </row>
    <row r="391" spans="1:7">
      <c r="A391" s="30">
        <v>43044</v>
      </c>
      <c r="B391" t="s">
        <v>24</v>
      </c>
      <c r="C391">
        <v>177</v>
      </c>
      <c r="D391" s="31">
        <v>14.95</v>
      </c>
      <c r="E391" s="31">
        <v>2646.15</v>
      </c>
      <c r="F391">
        <f t="shared" si="5"/>
        <v>0.55</v>
      </c>
      <c r="G391">
        <f>ROUND((1-F391:F1023)*E391:E1023,2)</f>
        <v>1190.77</v>
      </c>
    </row>
    <row r="392" spans="1:7">
      <c r="A392" s="30">
        <v>43046</v>
      </c>
      <c r="B392" t="s">
        <v>24</v>
      </c>
      <c r="C392">
        <v>48</v>
      </c>
      <c r="D392" s="31">
        <v>14.95</v>
      </c>
      <c r="E392" s="31">
        <v>717.6</v>
      </c>
      <c r="F392">
        <f t="shared" si="5"/>
        <v>0.375</v>
      </c>
      <c r="G392">
        <f>ROUND((1-F392:F1024)*E392:E1024,2)</f>
        <v>448.5</v>
      </c>
    </row>
    <row r="393" spans="1:7">
      <c r="A393" s="30">
        <v>43043</v>
      </c>
      <c r="B393" t="s">
        <v>26</v>
      </c>
      <c r="C393">
        <v>83</v>
      </c>
      <c r="D393" s="31">
        <v>43.95</v>
      </c>
      <c r="E393" s="31">
        <v>3647.85</v>
      </c>
      <c r="F393">
        <f t="shared" si="5"/>
        <v>0.375</v>
      </c>
      <c r="G393">
        <f>ROUND((1-F393:F1025)*E393:E1025,2)</f>
        <v>2279.91</v>
      </c>
    </row>
    <row r="394" spans="1:7">
      <c r="A394" s="30">
        <v>43043</v>
      </c>
      <c r="B394" t="s">
        <v>36</v>
      </c>
      <c r="C394">
        <v>116</v>
      </c>
      <c r="D394" s="31">
        <v>21.95</v>
      </c>
      <c r="E394" s="31">
        <v>2546.2</v>
      </c>
      <c r="F394">
        <f t="shared" si="5"/>
        <v>0.4375</v>
      </c>
      <c r="G394">
        <f>ROUND((1-F394:F1026)*E394:E1026,2)</f>
        <v>1432.24</v>
      </c>
    </row>
    <row r="395" spans="1:7">
      <c r="A395" s="30">
        <v>43043</v>
      </c>
      <c r="B395" t="s">
        <v>37</v>
      </c>
      <c r="C395">
        <v>20</v>
      </c>
      <c r="D395" s="31">
        <v>22.95</v>
      </c>
      <c r="E395" s="31">
        <v>459</v>
      </c>
      <c r="F395">
        <f t="shared" si="5"/>
        <v>0.25</v>
      </c>
      <c r="G395">
        <f>ROUND((1-F395:F1027)*E395:E1027,2)</f>
        <v>344.25</v>
      </c>
    </row>
    <row r="396" spans="1:7">
      <c r="A396" s="30">
        <v>43042</v>
      </c>
      <c r="B396" t="s">
        <v>37</v>
      </c>
      <c r="C396">
        <v>146</v>
      </c>
      <c r="D396" s="31">
        <v>22.95</v>
      </c>
      <c r="E396" s="31">
        <v>3350.7</v>
      </c>
      <c r="F396">
        <f t="shared" si="5"/>
        <v>0.5</v>
      </c>
      <c r="G396">
        <f>ROUND((1-F396:F1028)*E396:E1028,2)</f>
        <v>1675.35</v>
      </c>
    </row>
    <row r="397" spans="1:7">
      <c r="A397" s="30">
        <v>43041</v>
      </c>
      <c r="B397" t="s">
        <v>37</v>
      </c>
      <c r="C397">
        <v>176</v>
      </c>
      <c r="D397" s="31">
        <v>22.95</v>
      </c>
      <c r="E397" s="31">
        <v>4039.2</v>
      </c>
      <c r="F397">
        <f t="shared" si="5"/>
        <v>0.55</v>
      </c>
      <c r="G397">
        <f>ROUND((1-F397:F1029)*E397:E1029,2)</f>
        <v>1817.64</v>
      </c>
    </row>
    <row r="398" spans="1:7">
      <c r="A398" s="30">
        <v>43040</v>
      </c>
      <c r="B398" t="s">
        <v>26</v>
      </c>
      <c r="C398">
        <v>40</v>
      </c>
      <c r="D398" s="31">
        <v>43.95</v>
      </c>
      <c r="E398" s="31">
        <v>1758</v>
      </c>
      <c r="F398">
        <f t="shared" si="5"/>
        <v>0.25</v>
      </c>
      <c r="G398">
        <f>ROUND((1-F398:F1030)*E398:E1030,2)</f>
        <v>1318.5</v>
      </c>
    </row>
    <row r="399" spans="1:7">
      <c r="A399" s="30">
        <v>43043</v>
      </c>
      <c r="B399" t="s">
        <v>36</v>
      </c>
      <c r="C399">
        <v>29</v>
      </c>
      <c r="D399" s="31">
        <v>21.95</v>
      </c>
      <c r="E399" s="31">
        <v>636.55</v>
      </c>
      <c r="F399">
        <f t="shared" si="5"/>
        <v>0.25</v>
      </c>
      <c r="G399">
        <f>ROUND((1-F399:F1031)*E399:E1031,2)</f>
        <v>477.41</v>
      </c>
    </row>
    <row r="400" spans="1:7">
      <c r="A400" s="30">
        <v>43044</v>
      </c>
      <c r="B400" t="s">
        <v>26</v>
      </c>
      <c r="C400">
        <v>65</v>
      </c>
      <c r="D400" s="31">
        <v>43.95</v>
      </c>
      <c r="E400" s="31">
        <v>2856.75</v>
      </c>
      <c r="F400">
        <f t="shared" si="5"/>
        <v>0.375</v>
      </c>
      <c r="G400">
        <f>ROUND((1-F400:F1032)*E400:E1032,2)</f>
        <v>1785.47</v>
      </c>
    </row>
    <row r="401" spans="1:7">
      <c r="A401" s="30">
        <v>43045</v>
      </c>
      <c r="B401" t="s">
        <v>37</v>
      </c>
      <c r="C401">
        <v>21</v>
      </c>
      <c r="D401" s="31">
        <v>22.95</v>
      </c>
      <c r="E401" s="31">
        <v>481.95</v>
      </c>
      <c r="F401">
        <f t="shared" si="5"/>
        <v>0.25</v>
      </c>
      <c r="G401">
        <f>ROUND((1-F401:F1033)*E401:E1033,2)</f>
        <v>361.46</v>
      </c>
    </row>
    <row r="402" spans="1:7">
      <c r="A402" s="30">
        <v>43043</v>
      </c>
      <c r="B402" t="s">
        <v>37</v>
      </c>
      <c r="C402">
        <v>64</v>
      </c>
      <c r="D402" s="31">
        <v>22.95</v>
      </c>
      <c r="E402" s="31">
        <v>1468.8</v>
      </c>
      <c r="F402">
        <f t="shared" si="5"/>
        <v>0.375</v>
      </c>
      <c r="G402">
        <f>ROUND((1-F402:F1034)*E402:E1034,2)</f>
        <v>918</v>
      </c>
    </row>
    <row r="403" spans="1:7">
      <c r="A403" s="30">
        <v>43040</v>
      </c>
      <c r="B403" t="s">
        <v>36</v>
      </c>
      <c r="C403">
        <v>137</v>
      </c>
      <c r="D403" s="31">
        <v>21.95</v>
      </c>
      <c r="E403" s="31">
        <v>3007.15</v>
      </c>
      <c r="F403">
        <f t="shared" si="5"/>
        <v>0.4375</v>
      </c>
      <c r="G403">
        <f>ROUND((1-F403:F1035)*E403:E1035,2)</f>
        <v>1691.52</v>
      </c>
    </row>
    <row r="404" spans="1:7">
      <c r="A404" s="30">
        <v>43045</v>
      </c>
      <c r="B404" t="s">
        <v>36</v>
      </c>
      <c r="C404">
        <v>46</v>
      </c>
      <c r="D404" s="31">
        <v>21.95</v>
      </c>
      <c r="E404" s="31">
        <v>1009.7</v>
      </c>
      <c r="F404">
        <f t="shared" si="5"/>
        <v>0.25</v>
      </c>
      <c r="G404">
        <f>ROUND((1-F404:F1036)*E404:E1036,2)</f>
        <v>757.28</v>
      </c>
    </row>
    <row r="405" spans="1:7">
      <c r="A405" s="30">
        <v>43046</v>
      </c>
      <c r="B405" t="s">
        <v>37</v>
      </c>
      <c r="C405">
        <v>176</v>
      </c>
      <c r="D405" s="31">
        <v>22.95</v>
      </c>
      <c r="E405" s="31">
        <v>4039.2</v>
      </c>
      <c r="F405">
        <f t="shared" ref="F405:F468" si="6">VLOOKUP(C405:C1040,$I$19:$J$25,2)</f>
        <v>0.55</v>
      </c>
      <c r="G405">
        <f>ROUND((1-F405:F1037)*E405:E1037,2)</f>
        <v>1817.64</v>
      </c>
    </row>
    <row r="406" spans="1:7">
      <c r="A406" s="30">
        <v>43042</v>
      </c>
      <c r="B406" t="s">
        <v>24</v>
      </c>
      <c r="C406">
        <v>58</v>
      </c>
      <c r="D406" s="31">
        <v>14.95</v>
      </c>
      <c r="E406" s="31">
        <v>867.1</v>
      </c>
      <c r="F406">
        <f t="shared" si="6"/>
        <v>0.375</v>
      </c>
      <c r="G406">
        <f>ROUND((1-F406:F1038)*E406:E1038,2)</f>
        <v>541.94</v>
      </c>
    </row>
    <row r="407" spans="1:7">
      <c r="A407" s="30">
        <v>43040</v>
      </c>
      <c r="B407" t="s">
        <v>24</v>
      </c>
      <c r="C407">
        <v>42</v>
      </c>
      <c r="D407" s="31">
        <v>14.95</v>
      </c>
      <c r="E407" s="31">
        <v>627.9</v>
      </c>
      <c r="F407">
        <f t="shared" si="6"/>
        <v>0.25</v>
      </c>
      <c r="G407">
        <f>ROUND((1-F407:F1039)*E407:E1039,2)</f>
        <v>470.93</v>
      </c>
    </row>
    <row r="408" spans="1:7">
      <c r="A408" s="30">
        <v>43043</v>
      </c>
      <c r="B408" t="s">
        <v>24</v>
      </c>
      <c r="C408">
        <v>160</v>
      </c>
      <c r="D408" s="31">
        <v>14.95</v>
      </c>
      <c r="E408" s="31">
        <v>2392</v>
      </c>
      <c r="F408">
        <f t="shared" si="6"/>
        <v>0.5</v>
      </c>
      <c r="G408">
        <f>ROUND((1-F408:F1040)*E408:E1040,2)</f>
        <v>1196</v>
      </c>
    </row>
    <row r="409" spans="1:7">
      <c r="A409" s="30">
        <v>43045</v>
      </c>
      <c r="B409" t="s">
        <v>36</v>
      </c>
      <c r="C409">
        <v>105</v>
      </c>
      <c r="D409" s="31">
        <v>21.95</v>
      </c>
      <c r="E409" s="31">
        <v>2304.75</v>
      </c>
      <c r="F409">
        <f t="shared" si="6"/>
        <v>0.4375</v>
      </c>
      <c r="G409">
        <f>ROUND((1-F409:F1041)*E409:E1041,2)</f>
        <v>1296.42</v>
      </c>
    </row>
    <row r="410" spans="1:7">
      <c r="A410" s="30">
        <v>43042</v>
      </c>
      <c r="B410" t="s">
        <v>37</v>
      </c>
      <c r="C410">
        <v>139</v>
      </c>
      <c r="D410" s="31">
        <v>22.95</v>
      </c>
      <c r="E410" s="31">
        <v>3190.05</v>
      </c>
      <c r="F410">
        <f t="shared" si="6"/>
        <v>0.4375</v>
      </c>
      <c r="G410">
        <f>ROUND((1-F410:F1042)*E410:E1042,2)</f>
        <v>1794.4</v>
      </c>
    </row>
    <row r="411" spans="1:7">
      <c r="A411" s="30">
        <v>43042</v>
      </c>
      <c r="B411" t="s">
        <v>36</v>
      </c>
      <c r="C411">
        <v>133</v>
      </c>
      <c r="D411" s="31">
        <v>21.95</v>
      </c>
      <c r="E411" s="31">
        <v>2919.35</v>
      </c>
      <c r="F411">
        <f t="shared" si="6"/>
        <v>0.4375</v>
      </c>
      <c r="G411">
        <f>ROUND((1-F411:F1043)*E411:E1043,2)</f>
        <v>1642.13</v>
      </c>
    </row>
    <row r="412" spans="1:7">
      <c r="A412" s="30">
        <v>43040</v>
      </c>
      <c r="B412" t="s">
        <v>36</v>
      </c>
      <c r="C412">
        <v>21</v>
      </c>
      <c r="D412" s="31">
        <v>21.95</v>
      </c>
      <c r="E412" s="31">
        <v>460.95</v>
      </c>
      <c r="F412">
        <f t="shared" si="6"/>
        <v>0.25</v>
      </c>
      <c r="G412">
        <f>ROUND((1-F412:F1044)*E412:E1044,2)</f>
        <v>345.71</v>
      </c>
    </row>
    <row r="413" spans="1:7">
      <c r="A413" s="30">
        <v>43047</v>
      </c>
      <c r="B413" t="s">
        <v>36</v>
      </c>
      <c r="C413">
        <v>58</v>
      </c>
      <c r="D413" s="31">
        <v>21.95</v>
      </c>
      <c r="E413" s="31">
        <v>1273.1</v>
      </c>
      <c r="F413">
        <f t="shared" si="6"/>
        <v>0.375</v>
      </c>
      <c r="G413">
        <f>ROUND((1-F413:F1045)*E413:E1045,2)</f>
        <v>795.69</v>
      </c>
    </row>
    <row r="414" spans="1:7">
      <c r="A414" s="30">
        <v>43045</v>
      </c>
      <c r="B414" t="s">
        <v>24</v>
      </c>
      <c r="C414">
        <v>81</v>
      </c>
      <c r="D414" s="31">
        <v>14.95</v>
      </c>
      <c r="E414" s="31">
        <v>1210.95</v>
      </c>
      <c r="F414">
        <f t="shared" si="6"/>
        <v>0.375</v>
      </c>
      <c r="G414">
        <f>ROUND((1-F414:F1046)*E414:E1046,2)</f>
        <v>756.84</v>
      </c>
    </row>
    <row r="415" spans="1:7">
      <c r="A415" s="30">
        <v>43040</v>
      </c>
      <c r="B415" t="s">
        <v>24</v>
      </c>
      <c r="C415">
        <v>11</v>
      </c>
      <c r="D415" s="31">
        <v>14.95</v>
      </c>
      <c r="E415" s="31">
        <v>164.45</v>
      </c>
      <c r="F415">
        <f t="shared" si="6"/>
        <v>0</v>
      </c>
      <c r="G415">
        <f>ROUND((1-F415:F1047)*E415:E1047,2)</f>
        <v>164.45</v>
      </c>
    </row>
    <row r="416" spans="1:7">
      <c r="A416" s="30">
        <v>43045</v>
      </c>
      <c r="B416" t="s">
        <v>37</v>
      </c>
      <c r="C416">
        <v>132</v>
      </c>
      <c r="D416" s="31">
        <v>22.95</v>
      </c>
      <c r="E416" s="31">
        <v>3029.4</v>
      </c>
      <c r="F416">
        <f t="shared" si="6"/>
        <v>0.4375</v>
      </c>
      <c r="G416">
        <f>ROUND((1-F416:F1048)*E416:E1048,2)</f>
        <v>1704.04</v>
      </c>
    </row>
    <row r="417" spans="1:7">
      <c r="A417" s="30">
        <v>43043</v>
      </c>
      <c r="B417" t="s">
        <v>24</v>
      </c>
      <c r="C417">
        <v>159</v>
      </c>
      <c r="D417" s="31">
        <v>14.95</v>
      </c>
      <c r="E417" s="31">
        <v>2377.05</v>
      </c>
      <c r="F417">
        <f t="shared" si="6"/>
        <v>0.5</v>
      </c>
      <c r="G417">
        <f>ROUND((1-F417:F1049)*E417:E1049,2)</f>
        <v>1188.53</v>
      </c>
    </row>
    <row r="418" spans="1:7">
      <c r="A418" s="30">
        <v>43042</v>
      </c>
      <c r="B418" t="s">
        <v>24</v>
      </c>
      <c r="C418">
        <v>87</v>
      </c>
      <c r="D418" s="31">
        <v>14.95</v>
      </c>
      <c r="E418" s="31">
        <v>1300.65</v>
      </c>
      <c r="F418">
        <f t="shared" si="6"/>
        <v>0.375</v>
      </c>
      <c r="G418">
        <f>ROUND((1-F418:F1050)*E418:E1050,2)</f>
        <v>812.91</v>
      </c>
    </row>
    <row r="419" spans="1:7">
      <c r="A419" s="30">
        <v>43042</v>
      </c>
      <c r="B419" t="s">
        <v>37</v>
      </c>
      <c r="C419">
        <v>79</v>
      </c>
      <c r="D419" s="31">
        <v>22.95</v>
      </c>
      <c r="E419" s="31">
        <v>1813.05</v>
      </c>
      <c r="F419">
        <f t="shared" si="6"/>
        <v>0.375</v>
      </c>
      <c r="G419">
        <f>ROUND((1-F419:F1051)*E419:E1051,2)</f>
        <v>1133.16</v>
      </c>
    </row>
    <row r="420" spans="1:7">
      <c r="A420" s="30">
        <v>43047</v>
      </c>
      <c r="B420" t="s">
        <v>26</v>
      </c>
      <c r="C420">
        <v>39</v>
      </c>
      <c r="D420" s="31">
        <v>43.95</v>
      </c>
      <c r="E420" s="31">
        <v>1714.05</v>
      </c>
      <c r="F420">
        <f t="shared" si="6"/>
        <v>0.25</v>
      </c>
      <c r="G420">
        <f>ROUND((1-F420:F1052)*E420:E1052,2)</f>
        <v>1285.54</v>
      </c>
    </row>
    <row r="421" spans="1:7">
      <c r="A421" s="30">
        <v>43047</v>
      </c>
      <c r="B421" t="s">
        <v>37</v>
      </c>
      <c r="C421">
        <v>76</v>
      </c>
      <c r="D421" s="31">
        <v>22.95</v>
      </c>
      <c r="E421" s="31">
        <v>1744.2</v>
      </c>
      <c r="F421">
        <f t="shared" si="6"/>
        <v>0.375</v>
      </c>
      <c r="G421">
        <f>ROUND((1-F421:F1053)*E421:E1053,2)</f>
        <v>1090.13</v>
      </c>
    </row>
    <row r="422" spans="1:7">
      <c r="A422" s="30">
        <v>43047</v>
      </c>
      <c r="B422" t="s">
        <v>36</v>
      </c>
      <c r="C422">
        <v>147</v>
      </c>
      <c r="D422" s="31">
        <v>21.95</v>
      </c>
      <c r="E422" s="31">
        <v>3226.65</v>
      </c>
      <c r="F422">
        <f t="shared" si="6"/>
        <v>0.5</v>
      </c>
      <c r="G422">
        <f>ROUND((1-F422:F1054)*E422:E1054,2)</f>
        <v>1613.33</v>
      </c>
    </row>
    <row r="423" spans="1:7">
      <c r="A423" s="30">
        <v>43043</v>
      </c>
      <c r="B423" t="s">
        <v>37</v>
      </c>
      <c r="C423">
        <v>80</v>
      </c>
      <c r="D423" s="31">
        <v>22.95</v>
      </c>
      <c r="E423" s="31">
        <v>1836</v>
      </c>
      <c r="F423">
        <f t="shared" si="6"/>
        <v>0.375</v>
      </c>
      <c r="G423">
        <f>ROUND((1-F423:F1055)*E423:E1055,2)</f>
        <v>1147.5</v>
      </c>
    </row>
    <row r="424" spans="1:7">
      <c r="A424" s="30">
        <v>43041</v>
      </c>
      <c r="B424" t="s">
        <v>37</v>
      </c>
      <c r="C424">
        <v>4</v>
      </c>
      <c r="D424" s="31">
        <v>22.95</v>
      </c>
      <c r="E424" s="31">
        <v>91.8</v>
      </c>
      <c r="F424">
        <f t="shared" si="6"/>
        <v>0</v>
      </c>
      <c r="G424">
        <f>ROUND((1-F424:F1056)*E424:E1056,2)</f>
        <v>91.8</v>
      </c>
    </row>
    <row r="425" spans="1:7">
      <c r="A425" s="30">
        <v>43041</v>
      </c>
      <c r="B425" t="s">
        <v>37</v>
      </c>
      <c r="C425">
        <v>33</v>
      </c>
      <c r="D425" s="31">
        <v>22.95</v>
      </c>
      <c r="E425" s="31">
        <v>757.35</v>
      </c>
      <c r="F425">
        <f t="shared" si="6"/>
        <v>0.25</v>
      </c>
      <c r="G425">
        <f>ROUND((1-F425:F1057)*E425:E1057,2)</f>
        <v>568.01</v>
      </c>
    </row>
    <row r="426" spans="1:7">
      <c r="A426" s="30">
        <v>43040</v>
      </c>
      <c r="B426" t="s">
        <v>26</v>
      </c>
      <c r="C426">
        <v>154</v>
      </c>
      <c r="D426" s="31">
        <v>43.95</v>
      </c>
      <c r="E426" s="31">
        <v>6768.3</v>
      </c>
      <c r="F426">
        <f t="shared" si="6"/>
        <v>0.5</v>
      </c>
      <c r="G426">
        <f>ROUND((1-F426:F1058)*E426:E1058,2)</f>
        <v>3384.15</v>
      </c>
    </row>
    <row r="427" spans="1:7">
      <c r="A427" s="30">
        <v>43046</v>
      </c>
      <c r="B427" t="s">
        <v>37</v>
      </c>
      <c r="C427">
        <v>124</v>
      </c>
      <c r="D427" s="31">
        <v>22.95</v>
      </c>
      <c r="E427" s="31">
        <v>2845.8</v>
      </c>
      <c r="F427">
        <f t="shared" si="6"/>
        <v>0.4375</v>
      </c>
      <c r="G427">
        <f>ROUND((1-F427:F1059)*E427:E1059,2)</f>
        <v>1600.76</v>
      </c>
    </row>
    <row r="428" spans="1:7">
      <c r="A428" s="30">
        <v>43043</v>
      </c>
      <c r="B428" t="s">
        <v>36</v>
      </c>
      <c r="C428">
        <v>48</v>
      </c>
      <c r="D428" s="31">
        <v>21.95</v>
      </c>
      <c r="E428" s="31">
        <v>1053.6</v>
      </c>
      <c r="F428">
        <f t="shared" si="6"/>
        <v>0.375</v>
      </c>
      <c r="G428">
        <f>ROUND((1-F428:F1060)*E428:E1060,2)</f>
        <v>658.5</v>
      </c>
    </row>
    <row r="429" spans="1:7">
      <c r="A429" s="30">
        <v>43043</v>
      </c>
      <c r="B429" t="s">
        <v>37</v>
      </c>
      <c r="C429">
        <v>146</v>
      </c>
      <c r="D429" s="31">
        <v>22.95</v>
      </c>
      <c r="E429" s="31">
        <v>3350.7</v>
      </c>
      <c r="F429">
        <f t="shared" si="6"/>
        <v>0.5</v>
      </c>
      <c r="G429">
        <f>ROUND((1-F429:F1061)*E429:E1061,2)</f>
        <v>1675.35</v>
      </c>
    </row>
    <row r="430" spans="1:7">
      <c r="A430" s="30">
        <v>43041</v>
      </c>
      <c r="B430" t="s">
        <v>37</v>
      </c>
      <c r="C430">
        <v>27</v>
      </c>
      <c r="D430" s="31">
        <v>22.95</v>
      </c>
      <c r="E430" s="31">
        <v>619.65</v>
      </c>
      <c r="F430">
        <f t="shared" si="6"/>
        <v>0.25</v>
      </c>
      <c r="G430">
        <f>ROUND((1-F430:F1062)*E430:E1062,2)</f>
        <v>464.74</v>
      </c>
    </row>
    <row r="431" spans="1:7">
      <c r="A431" s="30">
        <v>43045</v>
      </c>
      <c r="B431" t="s">
        <v>36</v>
      </c>
      <c r="C431">
        <v>128</v>
      </c>
      <c r="D431" s="31">
        <v>21.95</v>
      </c>
      <c r="E431" s="31">
        <v>2809.6</v>
      </c>
      <c r="F431">
        <f t="shared" si="6"/>
        <v>0.4375</v>
      </c>
      <c r="G431">
        <f>ROUND((1-F431:F1063)*E431:E1063,2)</f>
        <v>1580.4</v>
      </c>
    </row>
    <row r="432" spans="1:7">
      <c r="A432" s="30">
        <v>43043</v>
      </c>
      <c r="B432" t="s">
        <v>24</v>
      </c>
      <c r="C432">
        <v>5</v>
      </c>
      <c r="D432" s="31">
        <v>14.95</v>
      </c>
      <c r="E432" s="31">
        <v>74.75</v>
      </c>
      <c r="F432">
        <f t="shared" si="6"/>
        <v>0</v>
      </c>
      <c r="G432">
        <f>ROUND((1-F432:F1064)*E432:E1064,2)</f>
        <v>74.75</v>
      </c>
    </row>
    <row r="433" spans="1:7">
      <c r="A433" s="30">
        <v>43042</v>
      </c>
      <c r="B433" t="s">
        <v>26</v>
      </c>
      <c r="C433">
        <v>161</v>
      </c>
      <c r="D433" s="31">
        <v>43.95</v>
      </c>
      <c r="E433" s="31">
        <v>7075.95</v>
      </c>
      <c r="F433">
        <f t="shared" si="6"/>
        <v>0.5</v>
      </c>
      <c r="G433">
        <f>ROUND((1-F433:F1065)*E433:E1065,2)</f>
        <v>3537.98</v>
      </c>
    </row>
    <row r="434" spans="1:7">
      <c r="A434" s="30">
        <v>43042</v>
      </c>
      <c r="B434" t="s">
        <v>26</v>
      </c>
      <c r="C434">
        <v>121</v>
      </c>
      <c r="D434" s="31">
        <v>43.95</v>
      </c>
      <c r="E434" s="31">
        <v>5317.95</v>
      </c>
      <c r="F434">
        <f t="shared" si="6"/>
        <v>0.4375</v>
      </c>
      <c r="G434">
        <f>ROUND((1-F434:F1066)*E434:E1066,2)</f>
        <v>2991.35</v>
      </c>
    </row>
    <row r="435" spans="1:7">
      <c r="A435" s="30">
        <v>43043</v>
      </c>
      <c r="B435" t="s">
        <v>37</v>
      </c>
      <c r="C435">
        <v>100</v>
      </c>
      <c r="D435" s="31">
        <v>22.95</v>
      </c>
      <c r="E435" s="31">
        <v>2295</v>
      </c>
      <c r="F435">
        <f t="shared" si="6"/>
        <v>0.4375</v>
      </c>
      <c r="G435">
        <f>ROUND((1-F435:F1067)*E435:E1067,2)</f>
        <v>1290.94</v>
      </c>
    </row>
    <row r="436" spans="1:7">
      <c r="A436" s="30">
        <v>43044</v>
      </c>
      <c r="B436" t="s">
        <v>37</v>
      </c>
      <c r="C436">
        <v>149</v>
      </c>
      <c r="D436" s="31">
        <v>22.95</v>
      </c>
      <c r="E436" s="31">
        <v>3419.55</v>
      </c>
      <c r="F436">
        <f t="shared" si="6"/>
        <v>0.5</v>
      </c>
      <c r="G436">
        <f>ROUND((1-F436:F1068)*E436:E1068,2)</f>
        <v>1709.78</v>
      </c>
    </row>
    <row r="437" spans="1:7">
      <c r="A437" s="30">
        <v>43045</v>
      </c>
      <c r="B437" t="s">
        <v>36</v>
      </c>
      <c r="C437">
        <v>42</v>
      </c>
      <c r="D437" s="31">
        <v>21.95</v>
      </c>
      <c r="E437" s="31">
        <v>921.9</v>
      </c>
      <c r="F437">
        <f t="shared" si="6"/>
        <v>0.25</v>
      </c>
      <c r="G437">
        <f>ROUND((1-F437:F1069)*E437:E1069,2)</f>
        <v>691.43</v>
      </c>
    </row>
    <row r="438" spans="1:7">
      <c r="A438" s="30">
        <v>43040</v>
      </c>
      <c r="B438" t="s">
        <v>36</v>
      </c>
      <c r="C438">
        <v>28</v>
      </c>
      <c r="D438" s="31">
        <v>21.95</v>
      </c>
      <c r="E438" s="31">
        <v>614.6</v>
      </c>
      <c r="F438">
        <f t="shared" si="6"/>
        <v>0.25</v>
      </c>
      <c r="G438">
        <f>ROUND((1-F438:F1070)*E438:E1070,2)</f>
        <v>460.95</v>
      </c>
    </row>
    <row r="439" spans="1:7">
      <c r="A439" s="30">
        <v>43044</v>
      </c>
      <c r="B439" t="s">
        <v>36</v>
      </c>
      <c r="C439">
        <v>114</v>
      </c>
      <c r="D439" s="31">
        <v>21.95</v>
      </c>
      <c r="E439" s="31">
        <v>2502.3</v>
      </c>
      <c r="F439">
        <f t="shared" si="6"/>
        <v>0.4375</v>
      </c>
      <c r="G439">
        <f>ROUND((1-F439:F1071)*E439:E1071,2)</f>
        <v>1407.54</v>
      </c>
    </row>
    <row r="440" spans="1:7">
      <c r="A440" s="30">
        <v>43040</v>
      </c>
      <c r="B440" t="s">
        <v>24</v>
      </c>
      <c r="C440">
        <v>14</v>
      </c>
      <c r="D440" s="31">
        <v>14.95</v>
      </c>
      <c r="E440" s="31">
        <v>209.3</v>
      </c>
      <c r="F440">
        <f t="shared" si="6"/>
        <v>0.25</v>
      </c>
      <c r="G440">
        <f>ROUND((1-F440:F1072)*E440:E1072,2)</f>
        <v>156.98</v>
      </c>
    </row>
    <row r="441" spans="1:7">
      <c r="A441" s="30">
        <v>43045</v>
      </c>
      <c r="B441" t="s">
        <v>24</v>
      </c>
      <c r="C441">
        <v>160</v>
      </c>
      <c r="D441" s="31">
        <v>14.95</v>
      </c>
      <c r="E441" s="31">
        <v>2392</v>
      </c>
      <c r="F441">
        <f t="shared" si="6"/>
        <v>0.5</v>
      </c>
      <c r="G441">
        <f>ROUND((1-F441:F1073)*E441:E1073,2)</f>
        <v>1196</v>
      </c>
    </row>
    <row r="442" spans="1:7">
      <c r="A442" s="30">
        <v>43042</v>
      </c>
      <c r="B442" t="s">
        <v>37</v>
      </c>
      <c r="C442">
        <v>14</v>
      </c>
      <c r="D442" s="31">
        <v>22.95</v>
      </c>
      <c r="E442" s="31">
        <v>321.3</v>
      </c>
      <c r="F442">
        <f t="shared" si="6"/>
        <v>0.25</v>
      </c>
      <c r="G442">
        <f>ROUND((1-F442:F1074)*E442:E1074,2)</f>
        <v>240.98</v>
      </c>
    </row>
    <row r="443" spans="1:7">
      <c r="A443" s="30">
        <v>43040</v>
      </c>
      <c r="B443" t="s">
        <v>24</v>
      </c>
      <c r="C443">
        <v>12</v>
      </c>
      <c r="D443" s="31">
        <v>14.95</v>
      </c>
      <c r="E443" s="31">
        <v>179.4</v>
      </c>
      <c r="F443">
        <f t="shared" si="6"/>
        <v>0.25</v>
      </c>
      <c r="G443">
        <f>ROUND((1-F443:F1075)*E443:E1075,2)</f>
        <v>134.55</v>
      </c>
    </row>
    <row r="444" spans="1:7">
      <c r="A444" s="30">
        <v>43043</v>
      </c>
      <c r="B444" t="s">
        <v>36</v>
      </c>
      <c r="C444">
        <v>20</v>
      </c>
      <c r="D444" s="31">
        <v>21.95</v>
      </c>
      <c r="E444" s="31">
        <v>439</v>
      </c>
      <c r="F444">
        <f t="shared" si="6"/>
        <v>0.25</v>
      </c>
      <c r="G444">
        <f>ROUND((1-F444:F1076)*E444:E1076,2)</f>
        <v>329.25</v>
      </c>
    </row>
    <row r="445" spans="1:7">
      <c r="A445" s="30">
        <v>43040</v>
      </c>
      <c r="B445" t="s">
        <v>36</v>
      </c>
      <c r="C445">
        <v>76</v>
      </c>
      <c r="D445" s="31">
        <v>21.95</v>
      </c>
      <c r="E445" s="31">
        <v>1668.2</v>
      </c>
      <c r="F445">
        <f t="shared" si="6"/>
        <v>0.375</v>
      </c>
      <c r="G445">
        <f>ROUND((1-F445:F1077)*E445:E1077,2)</f>
        <v>1042.63</v>
      </c>
    </row>
    <row r="446" spans="1:7">
      <c r="A446" s="30">
        <v>43047</v>
      </c>
      <c r="B446" t="s">
        <v>24</v>
      </c>
      <c r="C446">
        <v>112</v>
      </c>
      <c r="D446" s="31">
        <v>14.95</v>
      </c>
      <c r="E446" s="31">
        <v>1674.4</v>
      </c>
      <c r="F446">
        <f t="shared" si="6"/>
        <v>0.4375</v>
      </c>
      <c r="G446">
        <f>ROUND((1-F446:F1078)*E446:E1078,2)</f>
        <v>941.85</v>
      </c>
    </row>
    <row r="447" spans="1:7">
      <c r="A447" s="30">
        <v>43041</v>
      </c>
      <c r="B447" t="s">
        <v>37</v>
      </c>
      <c r="C447">
        <v>113</v>
      </c>
      <c r="D447" s="31">
        <v>22.95</v>
      </c>
      <c r="E447" s="31">
        <v>2593.35</v>
      </c>
      <c r="F447">
        <f t="shared" si="6"/>
        <v>0.4375</v>
      </c>
      <c r="G447">
        <f>ROUND((1-F447:F1079)*E447:E1079,2)</f>
        <v>1458.76</v>
      </c>
    </row>
    <row r="448" spans="1:7">
      <c r="A448" s="30">
        <v>43040</v>
      </c>
      <c r="B448" t="s">
        <v>37</v>
      </c>
      <c r="C448">
        <v>76</v>
      </c>
      <c r="D448" s="31">
        <v>22.95</v>
      </c>
      <c r="E448" s="31">
        <v>1744.2</v>
      </c>
      <c r="F448">
        <f t="shared" si="6"/>
        <v>0.375</v>
      </c>
      <c r="G448">
        <f>ROUND((1-F448:F1080)*E448:E1080,2)</f>
        <v>1090.13</v>
      </c>
    </row>
    <row r="449" spans="1:7">
      <c r="A449" s="30">
        <v>43047</v>
      </c>
      <c r="B449" t="s">
        <v>26</v>
      </c>
      <c r="C449">
        <v>163</v>
      </c>
      <c r="D449" s="31">
        <v>43.95</v>
      </c>
      <c r="E449" s="31">
        <v>7163.85</v>
      </c>
      <c r="F449">
        <f t="shared" si="6"/>
        <v>0.5</v>
      </c>
      <c r="G449">
        <f>ROUND((1-F449:F1081)*E449:E1081,2)</f>
        <v>3581.93</v>
      </c>
    </row>
    <row r="450" spans="1:7">
      <c r="A450" s="30">
        <v>43041</v>
      </c>
      <c r="B450" t="s">
        <v>26</v>
      </c>
      <c r="C450">
        <v>76</v>
      </c>
      <c r="D450" s="31">
        <v>43.95</v>
      </c>
      <c r="E450" s="31">
        <v>3340.2</v>
      </c>
      <c r="F450">
        <f t="shared" si="6"/>
        <v>0.375</v>
      </c>
      <c r="G450">
        <f>ROUND((1-F450:F1082)*E450:E1082,2)</f>
        <v>2087.63</v>
      </c>
    </row>
    <row r="451" spans="1:7">
      <c r="A451" s="30">
        <v>43047</v>
      </c>
      <c r="B451" t="s">
        <v>26</v>
      </c>
      <c r="C451">
        <v>177</v>
      </c>
      <c r="D451" s="31">
        <v>43.95</v>
      </c>
      <c r="E451" s="31">
        <v>7779.15</v>
      </c>
      <c r="F451">
        <f t="shared" si="6"/>
        <v>0.55</v>
      </c>
      <c r="G451">
        <f>ROUND((1-F451:F1083)*E451:E1083,2)</f>
        <v>3500.62</v>
      </c>
    </row>
    <row r="452" spans="1:7">
      <c r="A452" s="30">
        <v>43040</v>
      </c>
      <c r="B452" t="s">
        <v>36</v>
      </c>
      <c r="C452">
        <v>41</v>
      </c>
      <c r="D452" s="31">
        <v>21.95</v>
      </c>
      <c r="E452" s="31">
        <v>899.95</v>
      </c>
      <c r="F452">
        <f t="shared" si="6"/>
        <v>0.25</v>
      </c>
      <c r="G452">
        <f>ROUND((1-F452:F1084)*E452:E1084,2)</f>
        <v>674.96</v>
      </c>
    </row>
    <row r="453" spans="1:7">
      <c r="A453" s="30">
        <v>43045</v>
      </c>
      <c r="B453" t="s">
        <v>37</v>
      </c>
      <c r="C453">
        <v>42</v>
      </c>
      <c r="D453" s="31">
        <v>22.95</v>
      </c>
      <c r="E453" s="31">
        <v>963.9</v>
      </c>
      <c r="F453">
        <f t="shared" si="6"/>
        <v>0.25</v>
      </c>
      <c r="G453">
        <f>ROUND((1-F453:F1085)*E453:E1085,2)</f>
        <v>722.93</v>
      </c>
    </row>
    <row r="454" spans="1:7">
      <c r="A454" s="30">
        <v>43047</v>
      </c>
      <c r="B454" t="s">
        <v>26</v>
      </c>
      <c r="C454">
        <v>152</v>
      </c>
      <c r="D454" s="31">
        <v>43.95</v>
      </c>
      <c r="E454" s="31">
        <v>6680.4</v>
      </c>
      <c r="F454">
        <f t="shared" si="6"/>
        <v>0.5</v>
      </c>
      <c r="G454">
        <f>ROUND((1-F454:F1086)*E454:E1086,2)</f>
        <v>3340.2</v>
      </c>
    </row>
    <row r="455" spans="1:7">
      <c r="A455" s="30">
        <v>43043</v>
      </c>
      <c r="B455" t="s">
        <v>36</v>
      </c>
      <c r="C455">
        <v>90</v>
      </c>
      <c r="D455" s="31">
        <v>21.95</v>
      </c>
      <c r="E455" s="31">
        <v>1975.5</v>
      </c>
      <c r="F455">
        <f t="shared" si="6"/>
        <v>0.375</v>
      </c>
      <c r="G455">
        <f>ROUND((1-F455:F1087)*E455:E1087,2)</f>
        <v>1234.69</v>
      </c>
    </row>
    <row r="456" spans="1:7">
      <c r="A456" s="30">
        <v>43047</v>
      </c>
      <c r="B456" t="s">
        <v>24</v>
      </c>
      <c r="C456">
        <v>103</v>
      </c>
      <c r="D456" s="31">
        <v>14.95</v>
      </c>
      <c r="E456" s="31">
        <v>1539.85</v>
      </c>
      <c r="F456">
        <f t="shared" si="6"/>
        <v>0.4375</v>
      </c>
      <c r="G456">
        <f>ROUND((1-F456:F1088)*E456:E1088,2)</f>
        <v>866.17</v>
      </c>
    </row>
    <row r="457" spans="1:7">
      <c r="A457" s="30">
        <v>43044</v>
      </c>
      <c r="B457" t="s">
        <v>26</v>
      </c>
      <c r="C457">
        <v>18</v>
      </c>
      <c r="D457" s="31">
        <v>43.95</v>
      </c>
      <c r="E457" s="31">
        <v>791.1</v>
      </c>
      <c r="F457">
        <f t="shared" si="6"/>
        <v>0.25</v>
      </c>
      <c r="G457">
        <f>ROUND((1-F457:F1089)*E457:E1089,2)</f>
        <v>593.33</v>
      </c>
    </row>
    <row r="458" spans="1:7">
      <c r="A458" s="30">
        <v>43040</v>
      </c>
      <c r="B458" t="s">
        <v>37</v>
      </c>
      <c r="C458">
        <v>185</v>
      </c>
      <c r="D458" s="31">
        <v>22.95</v>
      </c>
      <c r="E458" s="31">
        <v>4245.75</v>
      </c>
      <c r="F458">
        <f t="shared" si="6"/>
        <v>0.55</v>
      </c>
      <c r="G458">
        <f>ROUND((1-F458:F1090)*E458:E1090,2)</f>
        <v>1910.59</v>
      </c>
    </row>
    <row r="459" spans="1:7">
      <c r="A459" s="30">
        <v>43040</v>
      </c>
      <c r="B459" t="s">
        <v>24</v>
      </c>
      <c r="C459">
        <v>29</v>
      </c>
      <c r="D459" s="31">
        <v>14.95</v>
      </c>
      <c r="E459" s="31">
        <v>433.55</v>
      </c>
      <c r="F459">
        <f t="shared" si="6"/>
        <v>0.25</v>
      </c>
      <c r="G459">
        <f>ROUND((1-F459:F1091)*E459:E1091,2)</f>
        <v>325.16</v>
      </c>
    </row>
    <row r="460" spans="1:7">
      <c r="A460" s="30">
        <v>43046</v>
      </c>
      <c r="B460" t="s">
        <v>37</v>
      </c>
      <c r="C460">
        <v>140</v>
      </c>
      <c r="D460" s="31">
        <v>22.95</v>
      </c>
      <c r="E460" s="31">
        <v>3213</v>
      </c>
      <c r="F460">
        <f t="shared" si="6"/>
        <v>0.4375</v>
      </c>
      <c r="G460">
        <f>ROUND((1-F460:F1092)*E460:E1092,2)</f>
        <v>1807.31</v>
      </c>
    </row>
    <row r="461" spans="1:7">
      <c r="A461" s="30">
        <v>43040</v>
      </c>
      <c r="B461" t="s">
        <v>26</v>
      </c>
      <c r="C461">
        <v>177</v>
      </c>
      <c r="D461" s="31">
        <v>43.95</v>
      </c>
      <c r="E461" s="31">
        <v>7779.15</v>
      </c>
      <c r="F461">
        <f t="shared" si="6"/>
        <v>0.55</v>
      </c>
      <c r="G461">
        <f>ROUND((1-F461:F1093)*E461:E1093,2)</f>
        <v>3500.62</v>
      </c>
    </row>
    <row r="462" spans="1:7">
      <c r="A462" s="30">
        <v>43043</v>
      </c>
      <c r="B462" t="s">
        <v>24</v>
      </c>
      <c r="C462">
        <v>74</v>
      </c>
      <c r="D462" s="31">
        <v>14.95</v>
      </c>
      <c r="E462" s="31">
        <v>1106.3</v>
      </c>
      <c r="F462">
        <f t="shared" si="6"/>
        <v>0.375</v>
      </c>
      <c r="G462">
        <f>ROUND((1-F462:F1094)*E462:E1094,2)</f>
        <v>691.44</v>
      </c>
    </row>
    <row r="463" spans="1:7">
      <c r="A463" s="30">
        <v>43040</v>
      </c>
      <c r="B463" t="s">
        <v>37</v>
      </c>
      <c r="C463">
        <v>111</v>
      </c>
      <c r="D463" s="31">
        <v>22.95</v>
      </c>
      <c r="E463" s="31">
        <v>2547.45</v>
      </c>
      <c r="F463">
        <f t="shared" si="6"/>
        <v>0.4375</v>
      </c>
      <c r="G463">
        <f>ROUND((1-F463:F1095)*E463:E1095,2)</f>
        <v>1432.94</v>
      </c>
    </row>
    <row r="464" spans="1:7">
      <c r="A464" s="30">
        <v>43047</v>
      </c>
      <c r="B464" t="s">
        <v>37</v>
      </c>
      <c r="C464">
        <v>11</v>
      </c>
      <c r="D464" s="31">
        <v>22.95</v>
      </c>
      <c r="E464" s="31">
        <v>252.45</v>
      </c>
      <c r="F464">
        <f t="shared" si="6"/>
        <v>0</v>
      </c>
      <c r="G464">
        <f>ROUND((1-F464:F1096)*E464:E1096,2)</f>
        <v>252.45</v>
      </c>
    </row>
    <row r="465" spans="1:7">
      <c r="A465" s="30">
        <v>43040</v>
      </c>
      <c r="B465" t="s">
        <v>24</v>
      </c>
      <c r="C465">
        <v>28</v>
      </c>
      <c r="D465" s="31">
        <v>14.95</v>
      </c>
      <c r="E465" s="31">
        <v>418.6</v>
      </c>
      <c r="F465">
        <f t="shared" si="6"/>
        <v>0.25</v>
      </c>
      <c r="G465">
        <f>ROUND((1-F465:F1097)*E465:E1097,2)</f>
        <v>313.95</v>
      </c>
    </row>
    <row r="466" spans="1:7">
      <c r="A466" s="30">
        <v>43040</v>
      </c>
      <c r="B466" t="s">
        <v>26</v>
      </c>
      <c r="C466">
        <v>80</v>
      </c>
      <c r="D466" s="31">
        <v>43.95</v>
      </c>
      <c r="E466" s="31">
        <v>3516</v>
      </c>
      <c r="F466">
        <f t="shared" si="6"/>
        <v>0.375</v>
      </c>
      <c r="G466">
        <f>ROUND((1-F466:F1098)*E466:E1098,2)</f>
        <v>2197.5</v>
      </c>
    </row>
    <row r="467" spans="1:7">
      <c r="A467" s="30">
        <v>43040</v>
      </c>
      <c r="B467" t="s">
        <v>37</v>
      </c>
      <c r="C467">
        <v>18</v>
      </c>
      <c r="D467" s="31">
        <v>22.95</v>
      </c>
      <c r="E467" s="31">
        <v>413.1</v>
      </c>
      <c r="F467">
        <f t="shared" si="6"/>
        <v>0.25</v>
      </c>
      <c r="G467">
        <f>ROUND((1-F467:F1099)*E467:E1099,2)</f>
        <v>309.83</v>
      </c>
    </row>
    <row r="468" spans="1:7">
      <c r="A468" s="30">
        <v>43046</v>
      </c>
      <c r="B468" t="s">
        <v>26</v>
      </c>
      <c r="C468">
        <v>28</v>
      </c>
      <c r="D468" s="31">
        <v>43.95</v>
      </c>
      <c r="E468" s="31">
        <v>1230.6</v>
      </c>
      <c r="F468">
        <f t="shared" si="6"/>
        <v>0.25</v>
      </c>
      <c r="G468">
        <f>ROUND((1-F468:F1100)*E468:E1100,2)</f>
        <v>922.95</v>
      </c>
    </row>
    <row r="469" spans="1:7">
      <c r="A469" s="30">
        <v>43043</v>
      </c>
      <c r="B469" t="s">
        <v>36</v>
      </c>
      <c r="C469">
        <v>117</v>
      </c>
      <c r="D469" s="31">
        <v>21.95</v>
      </c>
      <c r="E469" s="31">
        <v>2568.15</v>
      </c>
      <c r="F469">
        <f t="shared" ref="F469:F532" si="7">VLOOKUP(C469:C1104,$I$19:$J$25,2)</f>
        <v>0.4375</v>
      </c>
      <c r="G469">
        <f>ROUND((1-F469:F1101)*E469:E1101,2)</f>
        <v>1444.58</v>
      </c>
    </row>
    <row r="470" spans="1:7">
      <c r="A470" s="30">
        <v>43046</v>
      </c>
      <c r="B470" t="s">
        <v>37</v>
      </c>
      <c r="C470">
        <v>145</v>
      </c>
      <c r="D470" s="31">
        <v>22.95</v>
      </c>
      <c r="E470" s="31">
        <v>3327.75</v>
      </c>
      <c r="F470">
        <f t="shared" si="7"/>
        <v>0.5</v>
      </c>
      <c r="G470">
        <f>ROUND((1-F470:F1102)*E470:E1102,2)</f>
        <v>1663.88</v>
      </c>
    </row>
    <row r="471" spans="1:7">
      <c r="A471" s="30">
        <v>43040</v>
      </c>
      <c r="B471" t="s">
        <v>37</v>
      </c>
      <c r="C471">
        <v>79</v>
      </c>
      <c r="D471" s="31">
        <v>22.95</v>
      </c>
      <c r="E471" s="31">
        <v>1813.05</v>
      </c>
      <c r="F471">
        <f t="shared" si="7"/>
        <v>0.375</v>
      </c>
      <c r="G471">
        <f>ROUND((1-F471:F1103)*E471:E1103,2)</f>
        <v>1133.16</v>
      </c>
    </row>
    <row r="472" spans="1:7">
      <c r="A472" s="30">
        <v>43040</v>
      </c>
      <c r="B472" t="s">
        <v>37</v>
      </c>
      <c r="C472">
        <v>99</v>
      </c>
      <c r="D472" s="31">
        <v>22.95</v>
      </c>
      <c r="E472" s="31">
        <v>2272.05</v>
      </c>
      <c r="F472">
        <f t="shared" si="7"/>
        <v>0.4375</v>
      </c>
      <c r="G472">
        <f>ROUND((1-F472:F1104)*E472:E1104,2)</f>
        <v>1278.03</v>
      </c>
    </row>
    <row r="473" spans="1:7">
      <c r="A473" s="30">
        <v>43044</v>
      </c>
      <c r="B473" t="s">
        <v>36</v>
      </c>
      <c r="C473">
        <v>22</v>
      </c>
      <c r="D473" s="31">
        <v>21.95</v>
      </c>
      <c r="E473" s="31">
        <v>482.9</v>
      </c>
      <c r="F473">
        <f t="shared" si="7"/>
        <v>0.25</v>
      </c>
      <c r="G473">
        <f>ROUND((1-F473:F1105)*E473:E1105,2)</f>
        <v>362.18</v>
      </c>
    </row>
    <row r="474" spans="1:7">
      <c r="A474" s="30">
        <v>43047</v>
      </c>
      <c r="B474" t="s">
        <v>36</v>
      </c>
      <c r="C474">
        <v>63</v>
      </c>
      <c r="D474" s="31">
        <v>21.95</v>
      </c>
      <c r="E474" s="31">
        <v>1382.85</v>
      </c>
      <c r="F474">
        <f t="shared" si="7"/>
        <v>0.375</v>
      </c>
      <c r="G474">
        <f>ROUND((1-F474:F1106)*E474:E1106,2)</f>
        <v>864.28</v>
      </c>
    </row>
    <row r="475" spans="1:7">
      <c r="A475" s="30">
        <v>43040</v>
      </c>
      <c r="B475" t="s">
        <v>24</v>
      </c>
      <c r="C475">
        <v>123</v>
      </c>
      <c r="D475" s="31">
        <v>14.95</v>
      </c>
      <c r="E475" s="31">
        <v>1838.85</v>
      </c>
      <c r="F475">
        <f t="shared" si="7"/>
        <v>0.4375</v>
      </c>
      <c r="G475">
        <f>ROUND((1-F475:F1107)*E475:E1107,2)</f>
        <v>1034.35</v>
      </c>
    </row>
    <row r="476" spans="1:7">
      <c r="A476" s="30">
        <v>43046</v>
      </c>
      <c r="B476" t="s">
        <v>24</v>
      </c>
      <c r="C476">
        <v>48</v>
      </c>
      <c r="D476" s="31">
        <v>14.95</v>
      </c>
      <c r="E476" s="31">
        <v>717.6</v>
      </c>
      <c r="F476">
        <f t="shared" si="7"/>
        <v>0.375</v>
      </c>
      <c r="G476">
        <f>ROUND((1-F476:F1108)*E476:E1108,2)</f>
        <v>448.5</v>
      </c>
    </row>
    <row r="477" spans="1:7">
      <c r="A477" s="30">
        <v>43040</v>
      </c>
      <c r="B477" t="s">
        <v>37</v>
      </c>
      <c r="C477">
        <v>147</v>
      </c>
      <c r="D477" s="31">
        <v>22.95</v>
      </c>
      <c r="E477" s="31">
        <v>3373.65</v>
      </c>
      <c r="F477">
        <f t="shared" si="7"/>
        <v>0.5</v>
      </c>
      <c r="G477">
        <f>ROUND((1-F477:F1109)*E477:E1109,2)</f>
        <v>1686.83</v>
      </c>
    </row>
    <row r="478" spans="1:7">
      <c r="A478" s="30">
        <v>43045</v>
      </c>
      <c r="B478" t="s">
        <v>26</v>
      </c>
      <c r="C478">
        <v>136</v>
      </c>
      <c r="D478" s="31">
        <v>43.95</v>
      </c>
      <c r="E478" s="31">
        <v>5977.2</v>
      </c>
      <c r="F478">
        <f t="shared" si="7"/>
        <v>0.4375</v>
      </c>
      <c r="G478">
        <f>ROUND((1-F478:F1110)*E478:E1110,2)</f>
        <v>3362.18</v>
      </c>
    </row>
    <row r="479" spans="1:7">
      <c r="A479" s="30">
        <v>43040</v>
      </c>
      <c r="B479" t="s">
        <v>24</v>
      </c>
      <c r="C479">
        <v>179</v>
      </c>
      <c r="D479" s="31">
        <v>14.95</v>
      </c>
      <c r="E479" s="31">
        <v>2676.05</v>
      </c>
      <c r="F479">
        <f t="shared" si="7"/>
        <v>0.55</v>
      </c>
      <c r="G479">
        <f>ROUND((1-F479:F1111)*E479:E1111,2)</f>
        <v>1204.22</v>
      </c>
    </row>
    <row r="480" spans="1:7">
      <c r="A480" s="30">
        <v>43040</v>
      </c>
      <c r="B480" t="s">
        <v>37</v>
      </c>
      <c r="C480">
        <v>85</v>
      </c>
      <c r="D480" s="31">
        <v>22.95</v>
      </c>
      <c r="E480" s="31">
        <v>1950.75</v>
      </c>
      <c r="F480">
        <f t="shared" si="7"/>
        <v>0.375</v>
      </c>
      <c r="G480">
        <f>ROUND((1-F480:F1112)*E480:E1112,2)</f>
        <v>1219.22</v>
      </c>
    </row>
    <row r="481" spans="1:7">
      <c r="A481" s="30">
        <v>43044</v>
      </c>
      <c r="B481" t="s">
        <v>26</v>
      </c>
      <c r="C481">
        <v>46</v>
      </c>
      <c r="D481" s="31">
        <v>43.95</v>
      </c>
      <c r="E481" s="31">
        <v>2021.7</v>
      </c>
      <c r="F481">
        <f t="shared" si="7"/>
        <v>0.25</v>
      </c>
      <c r="G481">
        <f>ROUND((1-F481:F1113)*E481:E1113,2)</f>
        <v>1516.28</v>
      </c>
    </row>
    <row r="482" spans="1:7">
      <c r="A482" s="30">
        <v>43041</v>
      </c>
      <c r="B482" t="s">
        <v>26</v>
      </c>
      <c r="C482">
        <v>85</v>
      </c>
      <c r="D482" s="31">
        <v>43.95</v>
      </c>
      <c r="E482" s="31">
        <v>3735.75</v>
      </c>
      <c r="F482">
        <f t="shared" si="7"/>
        <v>0.375</v>
      </c>
      <c r="G482">
        <f>ROUND((1-F482:F1114)*E482:E1114,2)</f>
        <v>2334.84</v>
      </c>
    </row>
    <row r="483" spans="1:7">
      <c r="A483" s="30">
        <v>43047</v>
      </c>
      <c r="B483" t="s">
        <v>26</v>
      </c>
      <c r="C483">
        <v>97</v>
      </c>
      <c r="D483" s="31">
        <v>43.95</v>
      </c>
      <c r="E483" s="31">
        <v>4263.15</v>
      </c>
      <c r="F483">
        <f t="shared" si="7"/>
        <v>0.4375</v>
      </c>
      <c r="G483">
        <f>ROUND((1-F483:F1115)*E483:E1115,2)</f>
        <v>2398.02</v>
      </c>
    </row>
    <row r="484" spans="1:7">
      <c r="A484" s="30">
        <v>43047</v>
      </c>
      <c r="B484" t="s">
        <v>37</v>
      </c>
      <c r="C484">
        <v>60</v>
      </c>
      <c r="D484" s="31">
        <v>22.95</v>
      </c>
      <c r="E484" s="31">
        <v>1377</v>
      </c>
      <c r="F484">
        <f t="shared" si="7"/>
        <v>0.375</v>
      </c>
      <c r="G484">
        <f>ROUND((1-F484:F1116)*E484:E1116,2)</f>
        <v>860.63</v>
      </c>
    </row>
    <row r="485" spans="1:7">
      <c r="A485" s="30">
        <v>43041</v>
      </c>
      <c r="B485" t="s">
        <v>24</v>
      </c>
      <c r="C485">
        <v>63</v>
      </c>
      <c r="D485" s="31">
        <v>14.95</v>
      </c>
      <c r="E485" s="31">
        <v>941.85</v>
      </c>
      <c r="F485">
        <f t="shared" si="7"/>
        <v>0.375</v>
      </c>
      <c r="G485">
        <f>ROUND((1-F485:F1117)*E485:E1117,2)</f>
        <v>588.66</v>
      </c>
    </row>
    <row r="486" spans="1:7">
      <c r="A486" s="30">
        <v>43042</v>
      </c>
      <c r="B486" t="s">
        <v>24</v>
      </c>
      <c r="C486">
        <v>74</v>
      </c>
      <c r="D486" s="31">
        <v>14.95</v>
      </c>
      <c r="E486" s="31">
        <v>1106.3</v>
      </c>
      <c r="F486">
        <f t="shared" si="7"/>
        <v>0.375</v>
      </c>
      <c r="G486">
        <f>ROUND((1-F486:F1118)*E486:E1118,2)</f>
        <v>691.44</v>
      </c>
    </row>
    <row r="487" spans="1:7">
      <c r="A487" s="30">
        <v>43045</v>
      </c>
      <c r="B487" t="s">
        <v>37</v>
      </c>
      <c r="C487">
        <v>171</v>
      </c>
      <c r="D487" s="31">
        <v>22.95</v>
      </c>
      <c r="E487" s="31">
        <v>3924.45</v>
      </c>
      <c r="F487">
        <f t="shared" si="7"/>
        <v>0.55</v>
      </c>
      <c r="G487">
        <f>ROUND((1-F487:F1119)*E487:E1119,2)</f>
        <v>1766</v>
      </c>
    </row>
    <row r="488" spans="1:7">
      <c r="A488" s="30">
        <v>43040</v>
      </c>
      <c r="B488" t="s">
        <v>37</v>
      </c>
      <c r="C488">
        <v>73</v>
      </c>
      <c r="D488" s="31">
        <v>22.95</v>
      </c>
      <c r="E488" s="31">
        <v>1675.35</v>
      </c>
      <c r="F488">
        <f t="shared" si="7"/>
        <v>0.375</v>
      </c>
      <c r="G488">
        <f>ROUND((1-F488:F1120)*E488:E1120,2)</f>
        <v>1047.09</v>
      </c>
    </row>
    <row r="489" spans="1:7">
      <c r="A489" s="30">
        <v>43046</v>
      </c>
      <c r="B489" t="s">
        <v>24</v>
      </c>
      <c r="C489">
        <v>85</v>
      </c>
      <c r="D489" s="31">
        <v>14.95</v>
      </c>
      <c r="E489" s="31">
        <v>1270.75</v>
      </c>
      <c r="F489">
        <f t="shared" si="7"/>
        <v>0.375</v>
      </c>
      <c r="G489">
        <f>ROUND((1-F489:F1121)*E489:E1121,2)</f>
        <v>794.22</v>
      </c>
    </row>
    <row r="490" spans="1:7">
      <c r="A490" s="30">
        <v>43047</v>
      </c>
      <c r="B490" t="s">
        <v>24</v>
      </c>
      <c r="C490">
        <v>35</v>
      </c>
      <c r="D490" s="31">
        <v>14.95</v>
      </c>
      <c r="E490" s="31">
        <v>523.25</v>
      </c>
      <c r="F490">
        <f t="shared" si="7"/>
        <v>0.25</v>
      </c>
      <c r="G490">
        <f>ROUND((1-F490:F1122)*E490:E1122,2)</f>
        <v>392.44</v>
      </c>
    </row>
    <row r="491" spans="1:7">
      <c r="A491" s="30">
        <v>43045</v>
      </c>
      <c r="B491" t="s">
        <v>36</v>
      </c>
      <c r="C491">
        <v>89</v>
      </c>
      <c r="D491" s="31">
        <v>21.95</v>
      </c>
      <c r="E491" s="31">
        <v>1953.55</v>
      </c>
      <c r="F491">
        <f t="shared" si="7"/>
        <v>0.375</v>
      </c>
      <c r="G491">
        <f>ROUND((1-F491:F1123)*E491:E1123,2)</f>
        <v>1220.97</v>
      </c>
    </row>
    <row r="492" spans="1:7">
      <c r="A492" s="30">
        <v>43040</v>
      </c>
      <c r="B492" t="s">
        <v>36</v>
      </c>
      <c r="C492">
        <v>95</v>
      </c>
      <c r="D492" s="31">
        <v>21.95</v>
      </c>
      <c r="E492" s="31">
        <v>2085.25</v>
      </c>
      <c r="F492">
        <f t="shared" si="7"/>
        <v>0.375</v>
      </c>
      <c r="G492">
        <f>ROUND((1-F492:F1124)*E492:E1124,2)</f>
        <v>1303.28</v>
      </c>
    </row>
    <row r="493" spans="1:7">
      <c r="A493" s="30">
        <v>43047</v>
      </c>
      <c r="B493" t="s">
        <v>26</v>
      </c>
      <c r="C493">
        <v>125</v>
      </c>
      <c r="D493" s="31">
        <v>43.95</v>
      </c>
      <c r="E493" s="31">
        <v>5493.75</v>
      </c>
      <c r="F493">
        <f t="shared" si="7"/>
        <v>0.4375</v>
      </c>
      <c r="G493">
        <f>ROUND((1-F493:F1125)*E493:E1125,2)</f>
        <v>3090.23</v>
      </c>
    </row>
    <row r="494" spans="1:7">
      <c r="A494" s="30">
        <v>43046</v>
      </c>
      <c r="B494" t="s">
        <v>37</v>
      </c>
      <c r="C494">
        <v>78</v>
      </c>
      <c r="D494" s="31">
        <v>22.95</v>
      </c>
      <c r="E494" s="31">
        <v>1790.1</v>
      </c>
      <c r="F494">
        <f t="shared" si="7"/>
        <v>0.375</v>
      </c>
      <c r="G494">
        <f>ROUND((1-F494:F1126)*E494:E1126,2)</f>
        <v>1118.81</v>
      </c>
    </row>
    <row r="495" spans="1:7">
      <c r="A495" s="30">
        <v>43046</v>
      </c>
      <c r="B495" t="s">
        <v>37</v>
      </c>
      <c r="C495">
        <v>187</v>
      </c>
      <c r="D495" s="31">
        <v>22.95</v>
      </c>
      <c r="E495" s="31">
        <v>4291.65</v>
      </c>
      <c r="F495">
        <f t="shared" si="7"/>
        <v>0.55</v>
      </c>
      <c r="G495">
        <f>ROUND((1-F495:F1127)*E495:E1127,2)</f>
        <v>1931.24</v>
      </c>
    </row>
    <row r="496" spans="1:7">
      <c r="A496" s="30">
        <v>43044</v>
      </c>
      <c r="B496" t="s">
        <v>26</v>
      </c>
      <c r="C496">
        <v>33</v>
      </c>
      <c r="D496" s="31">
        <v>43.95</v>
      </c>
      <c r="E496" s="31">
        <v>1450.35</v>
      </c>
      <c r="F496">
        <f t="shared" si="7"/>
        <v>0.25</v>
      </c>
      <c r="G496">
        <f>ROUND((1-F496:F1128)*E496:E1128,2)</f>
        <v>1087.76</v>
      </c>
    </row>
    <row r="497" spans="1:7">
      <c r="A497" s="30">
        <v>43042</v>
      </c>
      <c r="B497" t="s">
        <v>26</v>
      </c>
      <c r="C497">
        <v>104</v>
      </c>
      <c r="D497" s="31">
        <v>43.95</v>
      </c>
      <c r="E497" s="31">
        <v>4570.8</v>
      </c>
      <c r="F497">
        <f t="shared" si="7"/>
        <v>0.4375</v>
      </c>
      <c r="G497">
        <f>ROUND((1-F497:F1129)*E497:E1129,2)</f>
        <v>2571.08</v>
      </c>
    </row>
    <row r="498" spans="1:7">
      <c r="A498" s="30">
        <v>43042</v>
      </c>
      <c r="B498" t="s">
        <v>26</v>
      </c>
      <c r="C498">
        <v>25</v>
      </c>
      <c r="D498" s="31">
        <v>43.95</v>
      </c>
      <c r="E498" s="31">
        <v>1098.75</v>
      </c>
      <c r="F498">
        <f t="shared" si="7"/>
        <v>0.25</v>
      </c>
      <c r="G498">
        <f>ROUND((1-F498:F1130)*E498:E1130,2)</f>
        <v>824.06</v>
      </c>
    </row>
    <row r="499" spans="1:7">
      <c r="A499" s="30">
        <v>43044</v>
      </c>
      <c r="B499" t="s">
        <v>37</v>
      </c>
      <c r="C499">
        <v>166</v>
      </c>
      <c r="D499" s="31">
        <v>22.95</v>
      </c>
      <c r="E499" s="31">
        <v>3809.7</v>
      </c>
      <c r="F499">
        <f t="shared" si="7"/>
        <v>0.5</v>
      </c>
      <c r="G499">
        <f>ROUND((1-F499:F1131)*E499:E1131,2)</f>
        <v>1904.85</v>
      </c>
    </row>
    <row r="500" spans="1:7">
      <c r="A500" s="30">
        <v>43041</v>
      </c>
      <c r="B500" t="s">
        <v>26</v>
      </c>
      <c r="C500">
        <v>58</v>
      </c>
      <c r="D500" s="31">
        <v>43.95</v>
      </c>
      <c r="E500" s="31">
        <v>2549.1</v>
      </c>
      <c r="F500">
        <f t="shared" si="7"/>
        <v>0.375</v>
      </c>
      <c r="G500">
        <f>ROUND((1-F500:F1132)*E500:E1132,2)</f>
        <v>1593.19</v>
      </c>
    </row>
    <row r="501" spans="1:7">
      <c r="A501" s="30">
        <v>43043</v>
      </c>
      <c r="B501" t="s">
        <v>37</v>
      </c>
      <c r="C501">
        <v>94</v>
      </c>
      <c r="D501" s="31">
        <v>22.95</v>
      </c>
      <c r="E501" s="31">
        <v>2157.3</v>
      </c>
      <c r="F501">
        <f t="shared" si="7"/>
        <v>0.375</v>
      </c>
      <c r="G501">
        <f>ROUND((1-F501:F1133)*E501:E1133,2)</f>
        <v>1348.31</v>
      </c>
    </row>
    <row r="502" spans="1:7">
      <c r="A502" s="30">
        <v>43044</v>
      </c>
      <c r="B502" t="s">
        <v>26</v>
      </c>
      <c r="C502">
        <v>49</v>
      </c>
      <c r="D502" s="31">
        <v>43.95</v>
      </c>
      <c r="E502" s="31">
        <v>2153.55</v>
      </c>
      <c r="F502">
        <f t="shared" si="7"/>
        <v>0.375</v>
      </c>
      <c r="G502">
        <f>ROUND((1-F502:F1134)*E502:E1134,2)</f>
        <v>1345.97</v>
      </c>
    </row>
    <row r="503" spans="1:7">
      <c r="A503" s="30">
        <v>43041</v>
      </c>
      <c r="B503" t="s">
        <v>26</v>
      </c>
      <c r="C503">
        <v>92</v>
      </c>
      <c r="D503" s="31">
        <v>43.95</v>
      </c>
      <c r="E503" s="31">
        <v>4043.4</v>
      </c>
      <c r="F503">
        <f t="shared" si="7"/>
        <v>0.375</v>
      </c>
      <c r="G503">
        <f>ROUND((1-F503:F1135)*E503:E1135,2)</f>
        <v>2527.13</v>
      </c>
    </row>
    <row r="504" spans="1:7">
      <c r="A504" s="30">
        <v>43045</v>
      </c>
      <c r="B504" t="s">
        <v>37</v>
      </c>
      <c r="C504">
        <v>71</v>
      </c>
      <c r="D504" s="31">
        <v>22.95</v>
      </c>
      <c r="E504" s="31">
        <v>1629.45</v>
      </c>
      <c r="F504">
        <f t="shared" si="7"/>
        <v>0.375</v>
      </c>
      <c r="G504">
        <f>ROUND((1-F504:F1136)*E504:E1136,2)</f>
        <v>1018.41</v>
      </c>
    </row>
    <row r="505" spans="1:7">
      <c r="A505" s="30">
        <v>43041</v>
      </c>
      <c r="B505" t="s">
        <v>24</v>
      </c>
      <c r="C505">
        <v>27</v>
      </c>
      <c r="D505" s="31">
        <v>14.95</v>
      </c>
      <c r="E505" s="31">
        <v>403.65</v>
      </c>
      <c r="F505">
        <f t="shared" si="7"/>
        <v>0.25</v>
      </c>
      <c r="G505">
        <f>ROUND((1-F505:F1137)*E505:E1137,2)</f>
        <v>302.74</v>
      </c>
    </row>
    <row r="506" spans="1:7">
      <c r="A506" s="30">
        <v>43046</v>
      </c>
      <c r="B506" t="s">
        <v>37</v>
      </c>
      <c r="C506">
        <v>5</v>
      </c>
      <c r="D506" s="31">
        <v>22.95</v>
      </c>
      <c r="E506" s="31">
        <v>114.75</v>
      </c>
      <c r="F506">
        <f t="shared" si="7"/>
        <v>0</v>
      </c>
      <c r="G506">
        <f>ROUND((1-F506:F1138)*E506:E1138,2)</f>
        <v>114.75</v>
      </c>
    </row>
    <row r="507" spans="1:7">
      <c r="A507" s="30">
        <v>43043</v>
      </c>
      <c r="B507" t="s">
        <v>26</v>
      </c>
      <c r="C507">
        <v>190</v>
      </c>
      <c r="D507" s="31">
        <v>43.95</v>
      </c>
      <c r="E507" s="31">
        <v>8350.5</v>
      </c>
      <c r="F507">
        <f t="shared" si="7"/>
        <v>0.55</v>
      </c>
      <c r="G507">
        <f>ROUND((1-F507:F1139)*E507:E1139,2)</f>
        <v>3757.73</v>
      </c>
    </row>
    <row r="508" spans="1:7">
      <c r="A508" s="30">
        <v>43043</v>
      </c>
      <c r="B508" t="s">
        <v>37</v>
      </c>
      <c r="C508">
        <v>146</v>
      </c>
      <c r="D508" s="31">
        <v>22.95</v>
      </c>
      <c r="E508" s="31">
        <v>3350.7</v>
      </c>
      <c r="F508">
        <f t="shared" si="7"/>
        <v>0.5</v>
      </c>
      <c r="G508">
        <f>ROUND((1-F508:F1140)*E508:E1140,2)</f>
        <v>1675.35</v>
      </c>
    </row>
    <row r="509" spans="1:7">
      <c r="A509" s="30">
        <v>43046</v>
      </c>
      <c r="B509" t="s">
        <v>36</v>
      </c>
      <c r="C509">
        <v>183</v>
      </c>
      <c r="D509" s="31">
        <v>21.95</v>
      </c>
      <c r="E509" s="31">
        <v>4016.85</v>
      </c>
      <c r="F509">
        <f t="shared" si="7"/>
        <v>0.55</v>
      </c>
      <c r="G509">
        <f>ROUND((1-F509:F1141)*E509:E1141,2)</f>
        <v>1807.58</v>
      </c>
    </row>
    <row r="510" spans="1:7">
      <c r="A510" s="30">
        <v>43043</v>
      </c>
      <c r="B510" t="s">
        <v>37</v>
      </c>
      <c r="C510">
        <v>163</v>
      </c>
      <c r="D510" s="31">
        <v>22.95</v>
      </c>
      <c r="E510" s="31">
        <v>3740.85</v>
      </c>
      <c r="F510">
        <f t="shared" si="7"/>
        <v>0.5</v>
      </c>
      <c r="G510">
        <f>ROUND((1-F510:F1142)*E510:E1142,2)</f>
        <v>1870.43</v>
      </c>
    </row>
    <row r="511" spans="1:7">
      <c r="A511" s="30">
        <v>43046</v>
      </c>
      <c r="B511" t="s">
        <v>36</v>
      </c>
      <c r="C511">
        <v>138</v>
      </c>
      <c r="D511" s="31">
        <v>21.95</v>
      </c>
      <c r="E511" s="31">
        <v>3029.1</v>
      </c>
      <c r="F511">
        <f t="shared" si="7"/>
        <v>0.4375</v>
      </c>
      <c r="G511">
        <f>ROUND((1-F511:F1143)*E511:E1143,2)</f>
        <v>1703.87</v>
      </c>
    </row>
    <row r="512" spans="1:7">
      <c r="A512" s="30">
        <v>43045</v>
      </c>
      <c r="B512" t="s">
        <v>36</v>
      </c>
      <c r="C512">
        <v>151</v>
      </c>
      <c r="D512" s="31">
        <v>21.95</v>
      </c>
      <c r="E512" s="31">
        <v>3314.45</v>
      </c>
      <c r="F512">
        <f t="shared" si="7"/>
        <v>0.5</v>
      </c>
      <c r="G512">
        <f>ROUND((1-F512:F1144)*E512:E1144,2)</f>
        <v>1657.23</v>
      </c>
    </row>
    <row r="513" spans="1:7">
      <c r="A513" s="30">
        <v>43040</v>
      </c>
      <c r="B513" t="s">
        <v>24</v>
      </c>
      <c r="C513">
        <v>110</v>
      </c>
      <c r="D513" s="31">
        <v>14.95</v>
      </c>
      <c r="E513" s="31">
        <v>1644.5</v>
      </c>
      <c r="F513">
        <f t="shared" si="7"/>
        <v>0.4375</v>
      </c>
      <c r="G513">
        <f>ROUND((1-F513:F1145)*E513:E1145,2)</f>
        <v>925.03</v>
      </c>
    </row>
    <row r="514" spans="1:7">
      <c r="A514" s="30">
        <v>43046</v>
      </c>
      <c r="B514" t="s">
        <v>26</v>
      </c>
      <c r="C514">
        <v>95</v>
      </c>
      <c r="D514" s="31">
        <v>43.95</v>
      </c>
      <c r="E514" s="31">
        <v>4175.25</v>
      </c>
      <c r="F514">
        <f t="shared" si="7"/>
        <v>0.375</v>
      </c>
      <c r="G514">
        <f>ROUND((1-F514:F1146)*E514:E1146,2)</f>
        <v>2609.53</v>
      </c>
    </row>
    <row r="515" spans="1:7">
      <c r="A515" s="30">
        <v>43042</v>
      </c>
      <c r="B515" t="s">
        <v>36</v>
      </c>
      <c r="C515">
        <v>89</v>
      </c>
      <c r="D515" s="31">
        <v>21.95</v>
      </c>
      <c r="E515" s="31">
        <v>1953.55</v>
      </c>
      <c r="F515">
        <f t="shared" si="7"/>
        <v>0.375</v>
      </c>
      <c r="G515">
        <f>ROUND((1-F515:F1147)*E515:E1147,2)</f>
        <v>1220.97</v>
      </c>
    </row>
    <row r="516" spans="1:7">
      <c r="A516" s="30">
        <v>43040</v>
      </c>
      <c r="B516" t="s">
        <v>37</v>
      </c>
      <c r="C516">
        <v>181</v>
      </c>
      <c r="D516" s="31">
        <v>22.95</v>
      </c>
      <c r="E516" s="31">
        <v>4153.95</v>
      </c>
      <c r="F516">
        <f t="shared" si="7"/>
        <v>0.55</v>
      </c>
      <c r="G516">
        <f>ROUND((1-F516:F1148)*E516:E1148,2)</f>
        <v>1869.28</v>
      </c>
    </row>
    <row r="517" spans="1:7">
      <c r="A517" s="30">
        <v>43047</v>
      </c>
      <c r="B517" t="s">
        <v>26</v>
      </c>
      <c r="C517">
        <v>106</v>
      </c>
      <c r="D517" s="31">
        <v>43.95</v>
      </c>
      <c r="E517" s="31">
        <v>4658.7</v>
      </c>
      <c r="F517">
        <f t="shared" si="7"/>
        <v>0.4375</v>
      </c>
      <c r="G517">
        <f>ROUND((1-F517:F1149)*E517:E1149,2)</f>
        <v>2620.52</v>
      </c>
    </row>
    <row r="518" spans="1:7">
      <c r="A518" s="30">
        <v>43042</v>
      </c>
      <c r="B518" t="s">
        <v>36</v>
      </c>
      <c r="C518">
        <v>97</v>
      </c>
      <c r="D518" s="31">
        <v>21.95</v>
      </c>
      <c r="E518" s="31">
        <v>2129.15</v>
      </c>
      <c r="F518">
        <f t="shared" si="7"/>
        <v>0.4375</v>
      </c>
      <c r="G518">
        <f>ROUND((1-F518:F1150)*E518:E1150,2)</f>
        <v>1197.65</v>
      </c>
    </row>
    <row r="519" spans="1:7">
      <c r="A519" s="30">
        <v>43041</v>
      </c>
      <c r="B519" t="s">
        <v>37</v>
      </c>
      <c r="C519">
        <v>62</v>
      </c>
      <c r="D519" s="31">
        <v>22.95</v>
      </c>
      <c r="E519" s="31">
        <v>1422.9</v>
      </c>
      <c r="F519">
        <f t="shared" si="7"/>
        <v>0.375</v>
      </c>
      <c r="G519">
        <f>ROUND((1-F519:F1151)*E519:E1151,2)</f>
        <v>889.31</v>
      </c>
    </row>
    <row r="520" spans="1:7">
      <c r="A520" s="30">
        <v>43047</v>
      </c>
      <c r="B520" t="s">
        <v>26</v>
      </c>
      <c r="C520">
        <v>124</v>
      </c>
      <c r="D520" s="31">
        <v>43.95</v>
      </c>
      <c r="E520" s="31">
        <v>5449.8</v>
      </c>
      <c r="F520">
        <f t="shared" si="7"/>
        <v>0.4375</v>
      </c>
      <c r="G520">
        <f>ROUND((1-F520:F1152)*E520:E1152,2)</f>
        <v>3065.51</v>
      </c>
    </row>
    <row r="521" spans="1:7">
      <c r="A521" s="30">
        <v>43045</v>
      </c>
      <c r="B521" t="s">
        <v>36</v>
      </c>
      <c r="C521">
        <v>134</v>
      </c>
      <c r="D521" s="31">
        <v>21.95</v>
      </c>
      <c r="E521" s="31">
        <v>2941.3</v>
      </c>
      <c r="F521">
        <f t="shared" si="7"/>
        <v>0.4375</v>
      </c>
      <c r="G521">
        <f>ROUND((1-F521:F1153)*E521:E1153,2)</f>
        <v>1654.48</v>
      </c>
    </row>
    <row r="522" spans="1:7">
      <c r="A522" s="30">
        <v>43046</v>
      </c>
      <c r="B522" t="s">
        <v>37</v>
      </c>
      <c r="C522">
        <v>175</v>
      </c>
      <c r="D522" s="31">
        <v>22.95</v>
      </c>
      <c r="E522" s="31">
        <v>4016.25</v>
      </c>
      <c r="F522">
        <f t="shared" si="7"/>
        <v>0.55</v>
      </c>
      <c r="G522">
        <f>ROUND((1-F522:F1154)*E522:E1154,2)</f>
        <v>1807.31</v>
      </c>
    </row>
    <row r="523" spans="1:7">
      <c r="A523" s="30">
        <v>43045</v>
      </c>
      <c r="B523" t="s">
        <v>36</v>
      </c>
      <c r="C523">
        <v>112</v>
      </c>
      <c r="D523" s="31">
        <v>21.95</v>
      </c>
      <c r="E523" s="31">
        <v>2458.4</v>
      </c>
      <c r="F523">
        <f t="shared" si="7"/>
        <v>0.4375</v>
      </c>
      <c r="G523">
        <f>ROUND((1-F523:F1155)*E523:E1155,2)</f>
        <v>1382.85</v>
      </c>
    </row>
    <row r="524" spans="1:7">
      <c r="A524" s="30">
        <v>43042</v>
      </c>
      <c r="B524" t="s">
        <v>37</v>
      </c>
      <c r="C524">
        <v>15</v>
      </c>
      <c r="D524" s="31">
        <v>22.95</v>
      </c>
      <c r="E524" s="31">
        <v>344.25</v>
      </c>
      <c r="F524">
        <f t="shared" si="7"/>
        <v>0.25</v>
      </c>
      <c r="G524">
        <f>ROUND((1-F524:F1156)*E524:E1156,2)</f>
        <v>258.19</v>
      </c>
    </row>
    <row r="525" spans="1:7">
      <c r="A525" s="30">
        <v>43046</v>
      </c>
      <c r="B525" t="s">
        <v>36</v>
      </c>
      <c r="C525">
        <v>54</v>
      </c>
      <c r="D525" s="31">
        <v>21.95</v>
      </c>
      <c r="E525" s="31">
        <v>1185.3</v>
      </c>
      <c r="F525">
        <f t="shared" si="7"/>
        <v>0.375</v>
      </c>
      <c r="G525">
        <f>ROUND((1-F525:F1157)*E525:E1157,2)</f>
        <v>740.81</v>
      </c>
    </row>
    <row r="526" spans="1:7">
      <c r="A526" s="30">
        <v>43043</v>
      </c>
      <c r="B526" t="s">
        <v>36</v>
      </c>
      <c r="C526">
        <v>138</v>
      </c>
      <c r="D526" s="31">
        <v>21.95</v>
      </c>
      <c r="E526" s="31">
        <v>3029.1</v>
      </c>
      <c r="F526">
        <f t="shared" si="7"/>
        <v>0.4375</v>
      </c>
      <c r="G526">
        <f>ROUND((1-F526:F1158)*E526:E1158,2)</f>
        <v>1703.87</v>
      </c>
    </row>
    <row r="527" spans="1:7">
      <c r="A527" s="30">
        <v>43044</v>
      </c>
      <c r="B527" t="s">
        <v>36</v>
      </c>
      <c r="C527">
        <v>87</v>
      </c>
      <c r="D527" s="31">
        <v>21.95</v>
      </c>
      <c r="E527" s="31">
        <v>1909.65</v>
      </c>
      <c r="F527">
        <f t="shared" si="7"/>
        <v>0.375</v>
      </c>
      <c r="G527">
        <f>ROUND((1-F527:F1159)*E527:E1159,2)</f>
        <v>1193.53</v>
      </c>
    </row>
    <row r="528" spans="1:7">
      <c r="A528" s="30">
        <v>43045</v>
      </c>
      <c r="B528" t="s">
        <v>24</v>
      </c>
      <c r="C528">
        <v>13</v>
      </c>
      <c r="D528" s="31">
        <v>14.95</v>
      </c>
      <c r="E528" s="31">
        <v>194.35</v>
      </c>
      <c r="F528">
        <f t="shared" si="7"/>
        <v>0.25</v>
      </c>
      <c r="G528">
        <f>ROUND((1-F528:F1160)*E528:E1160,2)</f>
        <v>145.76</v>
      </c>
    </row>
    <row r="529" spans="1:7">
      <c r="A529" s="30">
        <v>43047</v>
      </c>
      <c r="B529" t="s">
        <v>37</v>
      </c>
      <c r="C529">
        <v>79</v>
      </c>
      <c r="D529" s="31">
        <v>22.95</v>
      </c>
      <c r="E529" s="31">
        <v>1813.05</v>
      </c>
      <c r="F529">
        <f t="shared" si="7"/>
        <v>0.375</v>
      </c>
      <c r="G529">
        <f>ROUND((1-F529:F1161)*E529:E1161,2)</f>
        <v>1133.16</v>
      </c>
    </row>
    <row r="530" spans="1:7">
      <c r="A530" s="30">
        <v>43047</v>
      </c>
      <c r="B530" t="s">
        <v>24</v>
      </c>
      <c r="C530">
        <v>60</v>
      </c>
      <c r="D530" s="31">
        <v>14.95</v>
      </c>
      <c r="E530" s="31">
        <v>897</v>
      </c>
      <c r="F530">
        <f t="shared" si="7"/>
        <v>0.375</v>
      </c>
      <c r="G530">
        <f>ROUND((1-F530:F1162)*E530:E1162,2)</f>
        <v>560.63</v>
      </c>
    </row>
    <row r="531" spans="1:7">
      <c r="A531" s="30">
        <v>43042</v>
      </c>
      <c r="B531" t="s">
        <v>24</v>
      </c>
      <c r="C531">
        <v>65</v>
      </c>
      <c r="D531" s="31">
        <v>14.95</v>
      </c>
      <c r="E531" s="31">
        <v>971.75</v>
      </c>
      <c r="F531">
        <f t="shared" si="7"/>
        <v>0.375</v>
      </c>
      <c r="G531">
        <f>ROUND((1-F531:F1163)*E531:E1163,2)</f>
        <v>607.34</v>
      </c>
    </row>
    <row r="532" spans="1:7">
      <c r="A532" s="30">
        <v>43042</v>
      </c>
      <c r="B532" t="s">
        <v>26</v>
      </c>
      <c r="C532">
        <v>85</v>
      </c>
      <c r="D532" s="31">
        <v>43.95</v>
      </c>
      <c r="E532" s="31">
        <v>3735.75</v>
      </c>
      <c r="F532">
        <f t="shared" si="7"/>
        <v>0.375</v>
      </c>
      <c r="G532">
        <f>ROUND((1-F532:F1164)*E532:E1164,2)</f>
        <v>2334.84</v>
      </c>
    </row>
    <row r="533" spans="1:7">
      <c r="A533" s="30">
        <v>43044</v>
      </c>
      <c r="B533" t="s">
        <v>24</v>
      </c>
      <c r="C533">
        <v>41</v>
      </c>
      <c r="D533" s="31">
        <v>14.95</v>
      </c>
      <c r="E533" s="31">
        <v>612.95</v>
      </c>
      <c r="F533">
        <f t="shared" ref="F533:F596" si="8">VLOOKUP(C533:C1168,$I$19:$J$25,2)</f>
        <v>0.25</v>
      </c>
      <c r="G533">
        <f>ROUND((1-F533:F1165)*E533:E1165,2)</f>
        <v>459.71</v>
      </c>
    </row>
    <row r="534" spans="1:7">
      <c r="A534" s="30">
        <v>43044</v>
      </c>
      <c r="B534" t="s">
        <v>26</v>
      </c>
      <c r="C534">
        <v>7</v>
      </c>
      <c r="D534" s="31">
        <v>43.95</v>
      </c>
      <c r="E534" s="31">
        <v>307.65</v>
      </c>
      <c r="F534">
        <f t="shared" si="8"/>
        <v>0</v>
      </c>
      <c r="G534">
        <f>ROUND((1-F534:F1166)*E534:E1166,2)</f>
        <v>307.65</v>
      </c>
    </row>
    <row r="535" spans="1:7">
      <c r="A535" s="30">
        <v>43043</v>
      </c>
      <c r="B535" t="s">
        <v>24</v>
      </c>
      <c r="C535">
        <v>14</v>
      </c>
      <c r="D535" s="31">
        <v>14.95</v>
      </c>
      <c r="E535" s="31">
        <v>209.3</v>
      </c>
      <c r="F535">
        <f t="shared" si="8"/>
        <v>0.25</v>
      </c>
      <c r="G535">
        <f>ROUND((1-F535:F1167)*E535:E1167,2)</f>
        <v>156.98</v>
      </c>
    </row>
    <row r="536" spans="1:7">
      <c r="A536" s="30">
        <v>43042</v>
      </c>
      <c r="B536" t="s">
        <v>37</v>
      </c>
      <c r="C536">
        <v>156</v>
      </c>
      <c r="D536" s="31">
        <v>22.95</v>
      </c>
      <c r="E536" s="31">
        <v>3580.2</v>
      </c>
      <c r="F536">
        <f t="shared" si="8"/>
        <v>0.5</v>
      </c>
      <c r="G536">
        <f>ROUND((1-F536:F1168)*E536:E1168,2)</f>
        <v>1790.1</v>
      </c>
    </row>
    <row r="537" spans="1:7">
      <c r="A537" s="30">
        <v>43040</v>
      </c>
      <c r="B537" t="s">
        <v>24</v>
      </c>
      <c r="C537">
        <v>98</v>
      </c>
      <c r="D537" s="31">
        <v>14.95</v>
      </c>
      <c r="E537" s="31">
        <v>1465.1</v>
      </c>
      <c r="F537">
        <f t="shared" si="8"/>
        <v>0.4375</v>
      </c>
      <c r="G537">
        <f>ROUND((1-F537:F1169)*E537:E1169,2)</f>
        <v>824.12</v>
      </c>
    </row>
    <row r="538" spans="1:7">
      <c r="A538" s="30">
        <v>43047</v>
      </c>
      <c r="B538" t="s">
        <v>26</v>
      </c>
      <c r="C538">
        <v>4</v>
      </c>
      <c r="D538" s="31">
        <v>43.95</v>
      </c>
      <c r="E538" s="31">
        <v>175.8</v>
      </c>
      <c r="F538">
        <f t="shared" si="8"/>
        <v>0</v>
      </c>
      <c r="G538">
        <f>ROUND((1-F538:F1170)*E538:E1170,2)</f>
        <v>175.8</v>
      </c>
    </row>
    <row r="539" spans="1:7">
      <c r="A539" s="30">
        <v>43044</v>
      </c>
      <c r="B539" t="s">
        <v>36</v>
      </c>
      <c r="C539">
        <v>52</v>
      </c>
      <c r="D539" s="31">
        <v>21.95</v>
      </c>
      <c r="E539" s="31">
        <v>1141.4</v>
      </c>
      <c r="F539">
        <f t="shared" si="8"/>
        <v>0.375</v>
      </c>
      <c r="G539">
        <f>ROUND((1-F539:F1171)*E539:E1171,2)</f>
        <v>713.38</v>
      </c>
    </row>
    <row r="540" spans="1:7">
      <c r="A540" s="30">
        <v>43042</v>
      </c>
      <c r="B540" t="s">
        <v>24</v>
      </c>
      <c r="C540">
        <v>35</v>
      </c>
      <c r="D540" s="31">
        <v>14.95</v>
      </c>
      <c r="E540" s="31">
        <v>523.25</v>
      </c>
      <c r="F540">
        <f t="shared" si="8"/>
        <v>0.25</v>
      </c>
      <c r="G540">
        <f>ROUND((1-F540:F1172)*E540:E1172,2)</f>
        <v>392.44</v>
      </c>
    </row>
    <row r="541" spans="1:7">
      <c r="A541" s="30">
        <v>43046</v>
      </c>
      <c r="B541" t="s">
        <v>36</v>
      </c>
      <c r="C541">
        <v>101</v>
      </c>
      <c r="D541" s="31">
        <v>21.95</v>
      </c>
      <c r="E541" s="31">
        <v>2216.95</v>
      </c>
      <c r="F541">
        <f t="shared" si="8"/>
        <v>0.4375</v>
      </c>
      <c r="G541">
        <f>ROUND((1-F541:F1173)*E541:E1173,2)</f>
        <v>1247.03</v>
      </c>
    </row>
    <row r="542" spans="1:7">
      <c r="A542" s="30">
        <v>43041</v>
      </c>
      <c r="B542" t="s">
        <v>24</v>
      </c>
      <c r="C542">
        <v>177</v>
      </c>
      <c r="D542" s="31">
        <v>14.95</v>
      </c>
      <c r="E542" s="31">
        <v>2646.15</v>
      </c>
      <c r="F542">
        <f t="shared" si="8"/>
        <v>0.55</v>
      </c>
      <c r="G542">
        <f>ROUND((1-F542:F1174)*E542:E1174,2)</f>
        <v>1190.77</v>
      </c>
    </row>
    <row r="543" spans="1:7">
      <c r="A543" s="30">
        <v>43043</v>
      </c>
      <c r="B543" t="s">
        <v>24</v>
      </c>
      <c r="C543">
        <v>158</v>
      </c>
      <c r="D543" s="31">
        <v>14.95</v>
      </c>
      <c r="E543" s="31">
        <v>2362.1</v>
      </c>
      <c r="F543">
        <f t="shared" si="8"/>
        <v>0.5</v>
      </c>
      <c r="G543">
        <f>ROUND((1-F543:F1175)*E543:E1175,2)</f>
        <v>1181.05</v>
      </c>
    </row>
    <row r="544" spans="1:7">
      <c r="A544" s="30">
        <v>43045</v>
      </c>
      <c r="B544" t="s">
        <v>36</v>
      </c>
      <c r="C544">
        <v>183</v>
      </c>
      <c r="D544" s="31">
        <v>21.95</v>
      </c>
      <c r="E544" s="31">
        <v>4016.85</v>
      </c>
      <c r="F544">
        <f t="shared" si="8"/>
        <v>0.55</v>
      </c>
      <c r="G544">
        <f>ROUND((1-F544:F1176)*E544:E1176,2)</f>
        <v>1807.58</v>
      </c>
    </row>
    <row r="545" spans="1:7">
      <c r="A545" s="30">
        <v>43041</v>
      </c>
      <c r="B545" t="s">
        <v>24</v>
      </c>
      <c r="C545">
        <v>185</v>
      </c>
      <c r="D545" s="31">
        <v>14.95</v>
      </c>
      <c r="E545" s="31">
        <v>2765.75</v>
      </c>
      <c r="F545">
        <f t="shared" si="8"/>
        <v>0.55</v>
      </c>
      <c r="G545">
        <f>ROUND((1-F545:F1177)*E545:E1177,2)</f>
        <v>1244.59</v>
      </c>
    </row>
    <row r="546" spans="1:7">
      <c r="A546" s="30">
        <v>43046</v>
      </c>
      <c r="B546" t="s">
        <v>26</v>
      </c>
      <c r="C546">
        <v>87</v>
      </c>
      <c r="D546" s="31">
        <v>43.95</v>
      </c>
      <c r="E546" s="31">
        <v>3823.65</v>
      </c>
      <c r="F546">
        <f t="shared" si="8"/>
        <v>0.375</v>
      </c>
      <c r="G546">
        <f>ROUND((1-F546:F1178)*E546:E1178,2)</f>
        <v>2389.78</v>
      </c>
    </row>
    <row r="547" spans="1:7">
      <c r="A547" s="30">
        <v>43046</v>
      </c>
      <c r="B547" t="s">
        <v>24</v>
      </c>
      <c r="C547">
        <v>148</v>
      </c>
      <c r="D547" s="31">
        <v>14.95</v>
      </c>
      <c r="E547" s="31">
        <v>2212.6</v>
      </c>
      <c r="F547">
        <f t="shared" si="8"/>
        <v>0.5</v>
      </c>
      <c r="G547">
        <f>ROUND((1-F547:F1179)*E547:E1179,2)</f>
        <v>1106.3</v>
      </c>
    </row>
    <row r="548" spans="1:7">
      <c r="A548" s="30">
        <v>43047</v>
      </c>
      <c r="B548" t="s">
        <v>36</v>
      </c>
      <c r="C548">
        <v>141</v>
      </c>
      <c r="D548" s="31">
        <v>21.95</v>
      </c>
      <c r="E548" s="31">
        <v>3094.95</v>
      </c>
      <c r="F548">
        <f t="shared" si="8"/>
        <v>0.4375</v>
      </c>
      <c r="G548">
        <f>ROUND((1-F548:F1180)*E548:E1180,2)</f>
        <v>1740.91</v>
      </c>
    </row>
    <row r="549" spans="1:7">
      <c r="A549" s="30">
        <v>43046</v>
      </c>
      <c r="B549" t="s">
        <v>24</v>
      </c>
      <c r="C549">
        <v>159</v>
      </c>
      <c r="D549" s="31">
        <v>14.95</v>
      </c>
      <c r="E549" s="31">
        <v>2377.05</v>
      </c>
      <c r="F549">
        <f t="shared" si="8"/>
        <v>0.5</v>
      </c>
      <c r="G549">
        <f>ROUND((1-F549:F1181)*E549:E1181,2)</f>
        <v>1188.53</v>
      </c>
    </row>
    <row r="550" spans="1:7">
      <c r="A550" s="30">
        <v>43040</v>
      </c>
      <c r="B550" t="s">
        <v>37</v>
      </c>
      <c r="C550">
        <v>97</v>
      </c>
      <c r="D550" s="31">
        <v>22.95</v>
      </c>
      <c r="E550" s="31">
        <v>2226.15</v>
      </c>
      <c r="F550">
        <f t="shared" si="8"/>
        <v>0.4375</v>
      </c>
      <c r="G550">
        <f>ROUND((1-F550:F1182)*E550:E1182,2)</f>
        <v>1252.21</v>
      </c>
    </row>
    <row r="551" spans="1:7">
      <c r="A551" s="30">
        <v>43043</v>
      </c>
      <c r="B551" t="s">
        <v>24</v>
      </c>
      <c r="C551">
        <v>164</v>
      </c>
      <c r="D551" s="31">
        <v>14.95</v>
      </c>
      <c r="E551" s="31">
        <v>2451.8</v>
      </c>
      <c r="F551">
        <f t="shared" si="8"/>
        <v>0.5</v>
      </c>
      <c r="G551">
        <f>ROUND((1-F551:F1183)*E551:E1183,2)</f>
        <v>1225.9</v>
      </c>
    </row>
    <row r="552" spans="1:7">
      <c r="A552" s="30">
        <v>43042</v>
      </c>
      <c r="B552" t="s">
        <v>36</v>
      </c>
      <c r="C552">
        <v>174</v>
      </c>
      <c r="D552" s="31">
        <v>21.95</v>
      </c>
      <c r="E552" s="31">
        <v>3819.3</v>
      </c>
      <c r="F552">
        <f t="shared" si="8"/>
        <v>0.55</v>
      </c>
      <c r="G552">
        <f>ROUND((1-F552:F1184)*E552:E1184,2)</f>
        <v>1718.69</v>
      </c>
    </row>
    <row r="553" spans="1:7">
      <c r="A553" s="30">
        <v>43046</v>
      </c>
      <c r="B553" t="s">
        <v>24</v>
      </c>
      <c r="C553">
        <v>92</v>
      </c>
      <c r="D553" s="31">
        <v>14.95</v>
      </c>
      <c r="E553" s="31">
        <v>1375.4</v>
      </c>
      <c r="F553">
        <f t="shared" si="8"/>
        <v>0.375</v>
      </c>
      <c r="G553">
        <f>ROUND((1-F553:F1185)*E553:E1185,2)</f>
        <v>859.63</v>
      </c>
    </row>
    <row r="554" spans="1:7">
      <c r="A554" s="30">
        <v>43044</v>
      </c>
      <c r="B554" t="s">
        <v>26</v>
      </c>
      <c r="C554">
        <v>132</v>
      </c>
      <c r="D554" s="31">
        <v>43.95</v>
      </c>
      <c r="E554" s="31">
        <v>5801.4</v>
      </c>
      <c r="F554">
        <f t="shared" si="8"/>
        <v>0.4375</v>
      </c>
      <c r="G554">
        <f>ROUND((1-F554:F1186)*E554:E1186,2)</f>
        <v>3263.29</v>
      </c>
    </row>
    <row r="555" spans="1:7">
      <c r="A555" s="30">
        <v>43044</v>
      </c>
      <c r="B555" t="s">
        <v>26</v>
      </c>
      <c r="C555">
        <v>140</v>
      </c>
      <c r="D555" s="31">
        <v>43.95</v>
      </c>
      <c r="E555" s="31">
        <v>6153</v>
      </c>
      <c r="F555">
        <f t="shared" si="8"/>
        <v>0.4375</v>
      </c>
      <c r="G555">
        <f>ROUND((1-F555:F1187)*E555:E1187,2)</f>
        <v>3461.06</v>
      </c>
    </row>
    <row r="556" spans="1:7">
      <c r="A556" s="30">
        <v>43045</v>
      </c>
      <c r="B556" t="s">
        <v>26</v>
      </c>
      <c r="C556">
        <v>165</v>
      </c>
      <c r="D556" s="31">
        <v>43.95</v>
      </c>
      <c r="E556" s="31">
        <v>7251.75</v>
      </c>
      <c r="F556">
        <f t="shared" si="8"/>
        <v>0.5</v>
      </c>
      <c r="G556">
        <f>ROUND((1-F556:F1188)*E556:E1188,2)</f>
        <v>3625.88</v>
      </c>
    </row>
    <row r="557" spans="1:7">
      <c r="A557" s="30">
        <v>43044</v>
      </c>
      <c r="B557" t="s">
        <v>24</v>
      </c>
      <c r="C557">
        <v>89</v>
      </c>
      <c r="D557" s="31">
        <v>14.95</v>
      </c>
      <c r="E557" s="31">
        <v>1330.55</v>
      </c>
      <c r="F557">
        <f t="shared" si="8"/>
        <v>0.375</v>
      </c>
      <c r="G557">
        <f>ROUND((1-F557:F1189)*E557:E1189,2)</f>
        <v>831.59</v>
      </c>
    </row>
    <row r="558" spans="1:7">
      <c r="A558" s="30">
        <v>43041</v>
      </c>
      <c r="B558" t="s">
        <v>37</v>
      </c>
      <c r="C558">
        <v>95</v>
      </c>
      <c r="D558" s="31">
        <v>22.95</v>
      </c>
      <c r="E558" s="31">
        <v>2180.25</v>
      </c>
      <c r="F558">
        <f t="shared" si="8"/>
        <v>0.375</v>
      </c>
      <c r="G558">
        <f>ROUND((1-F558:F1190)*E558:E1190,2)</f>
        <v>1362.66</v>
      </c>
    </row>
    <row r="559" spans="1:7">
      <c r="A559" s="30">
        <v>43045</v>
      </c>
      <c r="B559" t="s">
        <v>24</v>
      </c>
      <c r="C559">
        <v>142</v>
      </c>
      <c r="D559" s="31">
        <v>14.95</v>
      </c>
      <c r="E559" s="31">
        <v>2122.9</v>
      </c>
      <c r="F559">
        <f t="shared" si="8"/>
        <v>0.4375</v>
      </c>
      <c r="G559">
        <f>ROUND((1-F559:F1191)*E559:E1191,2)</f>
        <v>1194.13</v>
      </c>
    </row>
    <row r="560" spans="1:7">
      <c r="A560" s="30">
        <v>43045</v>
      </c>
      <c r="B560" t="s">
        <v>36</v>
      </c>
      <c r="C560">
        <v>60</v>
      </c>
      <c r="D560" s="31">
        <v>21.95</v>
      </c>
      <c r="E560" s="31">
        <v>1317</v>
      </c>
      <c r="F560">
        <f t="shared" si="8"/>
        <v>0.375</v>
      </c>
      <c r="G560">
        <f>ROUND((1-F560:F1192)*E560:E1192,2)</f>
        <v>823.13</v>
      </c>
    </row>
    <row r="561" spans="1:7">
      <c r="A561" s="30">
        <v>43042</v>
      </c>
      <c r="B561" t="s">
        <v>36</v>
      </c>
      <c r="C561">
        <v>60</v>
      </c>
      <c r="D561" s="31">
        <v>21.95</v>
      </c>
      <c r="E561" s="31">
        <v>1317</v>
      </c>
      <c r="F561">
        <f t="shared" si="8"/>
        <v>0.375</v>
      </c>
      <c r="G561">
        <f>ROUND((1-F561:F1193)*E561:E1193,2)</f>
        <v>823.13</v>
      </c>
    </row>
    <row r="562" spans="1:7">
      <c r="A562" s="30">
        <v>43042</v>
      </c>
      <c r="B562" t="s">
        <v>24</v>
      </c>
      <c r="C562">
        <v>108</v>
      </c>
      <c r="D562" s="31">
        <v>14.95</v>
      </c>
      <c r="E562" s="31">
        <v>1614.6</v>
      </c>
      <c r="F562">
        <f t="shared" si="8"/>
        <v>0.4375</v>
      </c>
      <c r="G562">
        <f>ROUND((1-F562:F1194)*E562:E1194,2)</f>
        <v>908.21</v>
      </c>
    </row>
    <row r="563" spans="1:7">
      <c r="A563" s="30">
        <v>43041</v>
      </c>
      <c r="B563" t="s">
        <v>26</v>
      </c>
      <c r="C563">
        <v>61</v>
      </c>
      <c r="D563" s="31">
        <v>43.95</v>
      </c>
      <c r="E563" s="31">
        <v>2680.95</v>
      </c>
      <c r="F563">
        <f t="shared" si="8"/>
        <v>0.375</v>
      </c>
      <c r="G563">
        <f>ROUND((1-F563:F1195)*E563:E1195,2)</f>
        <v>1675.59</v>
      </c>
    </row>
    <row r="564" spans="1:7">
      <c r="A564" s="30">
        <v>43043</v>
      </c>
      <c r="B564" t="s">
        <v>37</v>
      </c>
      <c r="C564">
        <v>132</v>
      </c>
      <c r="D564" s="31">
        <v>22.95</v>
      </c>
      <c r="E564" s="31">
        <v>3029.4</v>
      </c>
      <c r="F564">
        <f t="shared" si="8"/>
        <v>0.4375</v>
      </c>
      <c r="G564">
        <f>ROUND((1-F564:F1196)*E564:E1196,2)</f>
        <v>1704.04</v>
      </c>
    </row>
    <row r="565" spans="1:7">
      <c r="A565" s="30">
        <v>43045</v>
      </c>
      <c r="B565" t="s">
        <v>26</v>
      </c>
      <c r="C565">
        <v>136</v>
      </c>
      <c r="D565" s="31">
        <v>43.95</v>
      </c>
      <c r="E565" s="31">
        <v>5977.2</v>
      </c>
      <c r="F565">
        <f t="shared" si="8"/>
        <v>0.4375</v>
      </c>
      <c r="G565">
        <f>ROUND((1-F565:F1197)*E565:E1197,2)</f>
        <v>3362.18</v>
      </c>
    </row>
    <row r="566" spans="1:7">
      <c r="A566" s="30">
        <v>43043</v>
      </c>
      <c r="B566" t="s">
        <v>36</v>
      </c>
      <c r="C566">
        <v>75</v>
      </c>
      <c r="D566" s="31">
        <v>21.95</v>
      </c>
      <c r="E566" s="31">
        <v>1646.25</v>
      </c>
      <c r="F566">
        <f t="shared" si="8"/>
        <v>0.375</v>
      </c>
      <c r="G566">
        <f>ROUND((1-F566:F1198)*E566:E1198,2)</f>
        <v>1028.91</v>
      </c>
    </row>
    <row r="567" spans="1:7">
      <c r="A567" s="30">
        <v>43043</v>
      </c>
      <c r="B567" t="s">
        <v>26</v>
      </c>
      <c r="C567">
        <v>14</v>
      </c>
      <c r="D567" s="31">
        <v>43.95</v>
      </c>
      <c r="E567" s="31">
        <v>615.3</v>
      </c>
      <c r="F567">
        <f t="shared" si="8"/>
        <v>0.25</v>
      </c>
      <c r="G567">
        <f>ROUND((1-F567:F1199)*E567:E1199,2)</f>
        <v>461.48</v>
      </c>
    </row>
    <row r="568" spans="1:7">
      <c r="A568" s="30">
        <v>43040</v>
      </c>
      <c r="B568" t="s">
        <v>36</v>
      </c>
      <c r="C568">
        <v>19</v>
      </c>
      <c r="D568" s="31">
        <v>21.95</v>
      </c>
      <c r="E568" s="31">
        <v>417.05</v>
      </c>
      <c r="F568">
        <f t="shared" si="8"/>
        <v>0.25</v>
      </c>
      <c r="G568">
        <f>ROUND((1-F568:F1200)*E568:E1200,2)</f>
        <v>312.79</v>
      </c>
    </row>
    <row r="569" spans="1:7">
      <c r="A569" s="30">
        <v>43047</v>
      </c>
      <c r="B569" t="s">
        <v>24</v>
      </c>
      <c r="C569">
        <v>40</v>
      </c>
      <c r="D569" s="31">
        <v>14.95</v>
      </c>
      <c r="E569" s="31">
        <v>598</v>
      </c>
      <c r="F569">
        <f t="shared" si="8"/>
        <v>0.25</v>
      </c>
      <c r="G569">
        <f>ROUND((1-F569:F1201)*E569:E1201,2)</f>
        <v>448.5</v>
      </c>
    </row>
    <row r="570" spans="1:7">
      <c r="A570" s="30">
        <v>43045</v>
      </c>
      <c r="B570" t="s">
        <v>24</v>
      </c>
      <c r="C570">
        <v>54</v>
      </c>
      <c r="D570" s="31">
        <v>14.95</v>
      </c>
      <c r="E570" s="31">
        <v>807.3</v>
      </c>
      <c r="F570">
        <f t="shared" si="8"/>
        <v>0.375</v>
      </c>
      <c r="G570">
        <f>ROUND((1-F570:F1202)*E570:E1202,2)</f>
        <v>504.56</v>
      </c>
    </row>
    <row r="571" spans="1:7">
      <c r="A571" s="30">
        <v>43041</v>
      </c>
      <c r="B571" t="s">
        <v>24</v>
      </c>
      <c r="C571">
        <v>11</v>
      </c>
      <c r="D571" s="31">
        <v>14.95</v>
      </c>
      <c r="E571" s="31">
        <v>164.45</v>
      </c>
      <c r="F571">
        <f t="shared" si="8"/>
        <v>0</v>
      </c>
      <c r="G571">
        <f>ROUND((1-F571:F1203)*E571:E1203,2)</f>
        <v>164.45</v>
      </c>
    </row>
    <row r="572" spans="1:7">
      <c r="A572" s="30">
        <v>43044</v>
      </c>
      <c r="B572" t="s">
        <v>37</v>
      </c>
      <c r="C572">
        <v>49</v>
      </c>
      <c r="D572" s="31">
        <v>22.95</v>
      </c>
      <c r="E572" s="31">
        <v>1124.55</v>
      </c>
      <c r="F572">
        <f t="shared" si="8"/>
        <v>0.375</v>
      </c>
      <c r="G572">
        <f>ROUND((1-F572:F1204)*E572:E1204,2)</f>
        <v>702.84</v>
      </c>
    </row>
    <row r="573" spans="1:7">
      <c r="A573" s="30">
        <v>43046</v>
      </c>
      <c r="B573" t="s">
        <v>36</v>
      </c>
      <c r="C573">
        <v>146</v>
      </c>
      <c r="D573" s="31">
        <v>21.95</v>
      </c>
      <c r="E573" s="31">
        <v>3204.7</v>
      </c>
      <c r="F573">
        <f t="shared" si="8"/>
        <v>0.5</v>
      </c>
      <c r="G573">
        <f>ROUND((1-F573:F1205)*E573:E1205,2)</f>
        <v>1602.35</v>
      </c>
    </row>
    <row r="574" spans="1:7">
      <c r="A574" s="30">
        <v>43045</v>
      </c>
      <c r="B574" t="s">
        <v>24</v>
      </c>
      <c r="C574">
        <v>162</v>
      </c>
      <c r="D574" s="31">
        <v>14.95</v>
      </c>
      <c r="E574" s="31">
        <v>2421.9</v>
      </c>
      <c r="F574">
        <f t="shared" si="8"/>
        <v>0.5</v>
      </c>
      <c r="G574">
        <f>ROUND((1-F574:F1206)*E574:E1206,2)</f>
        <v>1210.95</v>
      </c>
    </row>
    <row r="575" spans="1:7">
      <c r="A575" s="30">
        <v>43040</v>
      </c>
      <c r="B575" t="s">
        <v>24</v>
      </c>
      <c r="C575">
        <v>179</v>
      </c>
      <c r="D575" s="31">
        <v>14.95</v>
      </c>
      <c r="E575" s="31">
        <v>2676.05</v>
      </c>
      <c r="F575">
        <f t="shared" si="8"/>
        <v>0.55</v>
      </c>
      <c r="G575">
        <f>ROUND((1-F575:F1207)*E575:E1207,2)</f>
        <v>1204.22</v>
      </c>
    </row>
    <row r="576" spans="1:7">
      <c r="A576" s="30">
        <v>43047</v>
      </c>
      <c r="B576" t="s">
        <v>36</v>
      </c>
      <c r="C576">
        <v>88</v>
      </c>
      <c r="D576" s="31">
        <v>21.95</v>
      </c>
      <c r="E576" s="31">
        <v>1931.6</v>
      </c>
      <c r="F576">
        <f t="shared" si="8"/>
        <v>0.375</v>
      </c>
      <c r="G576">
        <f>ROUND((1-F576:F1208)*E576:E1208,2)</f>
        <v>1207.25</v>
      </c>
    </row>
    <row r="577" spans="1:7">
      <c r="A577" s="30">
        <v>43040</v>
      </c>
      <c r="B577" t="s">
        <v>36</v>
      </c>
      <c r="C577">
        <v>104</v>
      </c>
      <c r="D577" s="31">
        <v>21.95</v>
      </c>
      <c r="E577" s="31">
        <v>2282.8</v>
      </c>
      <c r="F577">
        <f t="shared" si="8"/>
        <v>0.4375</v>
      </c>
      <c r="G577">
        <f>ROUND((1-F577:F1209)*E577:E1209,2)</f>
        <v>1284.08</v>
      </c>
    </row>
    <row r="578" spans="1:7">
      <c r="A578" s="30">
        <v>43043</v>
      </c>
      <c r="B578" t="s">
        <v>24</v>
      </c>
      <c r="C578">
        <v>56</v>
      </c>
      <c r="D578" s="31">
        <v>14.95</v>
      </c>
      <c r="E578" s="31">
        <v>837.2</v>
      </c>
      <c r="F578">
        <f t="shared" si="8"/>
        <v>0.375</v>
      </c>
      <c r="G578">
        <f>ROUND((1-F578:F1210)*E578:E1210,2)</f>
        <v>523.25</v>
      </c>
    </row>
    <row r="579" spans="1:7">
      <c r="A579" s="30">
        <v>43043</v>
      </c>
      <c r="B579" t="s">
        <v>36</v>
      </c>
      <c r="C579">
        <v>179</v>
      </c>
      <c r="D579" s="31">
        <v>21.95</v>
      </c>
      <c r="E579" s="31">
        <v>3929.05</v>
      </c>
      <c r="F579">
        <f t="shared" si="8"/>
        <v>0.55</v>
      </c>
      <c r="G579">
        <f>ROUND((1-F579:F1211)*E579:E1211,2)</f>
        <v>1768.07</v>
      </c>
    </row>
    <row r="580" spans="1:7">
      <c r="A580" s="30">
        <v>43045</v>
      </c>
      <c r="B580" t="s">
        <v>24</v>
      </c>
      <c r="C580">
        <v>177</v>
      </c>
      <c r="D580" s="31">
        <v>14.95</v>
      </c>
      <c r="E580" s="31">
        <v>2646.15</v>
      </c>
      <c r="F580">
        <f t="shared" si="8"/>
        <v>0.55</v>
      </c>
      <c r="G580">
        <f>ROUND((1-F580:F1212)*E580:E1212,2)</f>
        <v>1190.77</v>
      </c>
    </row>
    <row r="581" spans="1:7">
      <c r="A581" s="30">
        <v>43046</v>
      </c>
      <c r="B581" t="s">
        <v>36</v>
      </c>
      <c r="C581">
        <v>64</v>
      </c>
      <c r="D581" s="31">
        <v>21.95</v>
      </c>
      <c r="E581" s="31">
        <v>1404.8</v>
      </c>
      <c r="F581">
        <f t="shared" si="8"/>
        <v>0.375</v>
      </c>
      <c r="G581">
        <f>ROUND((1-F581:F1213)*E581:E1213,2)</f>
        <v>878</v>
      </c>
    </row>
    <row r="582" spans="1:7">
      <c r="A582" s="30">
        <v>43040</v>
      </c>
      <c r="B582" t="s">
        <v>26</v>
      </c>
      <c r="C582">
        <v>172</v>
      </c>
      <c r="D582" s="31">
        <v>43.95</v>
      </c>
      <c r="E582" s="31">
        <v>7559.4</v>
      </c>
      <c r="F582">
        <f t="shared" si="8"/>
        <v>0.55</v>
      </c>
      <c r="G582">
        <f>ROUND((1-F582:F1214)*E582:E1214,2)</f>
        <v>3401.73</v>
      </c>
    </row>
    <row r="583" spans="1:7">
      <c r="A583" s="30">
        <v>43044</v>
      </c>
      <c r="B583" t="s">
        <v>24</v>
      </c>
      <c r="C583">
        <v>98</v>
      </c>
      <c r="D583" s="31">
        <v>14.95</v>
      </c>
      <c r="E583" s="31">
        <v>1465.1</v>
      </c>
      <c r="F583">
        <f t="shared" si="8"/>
        <v>0.4375</v>
      </c>
      <c r="G583">
        <f>ROUND((1-F583:F1215)*E583:E1215,2)</f>
        <v>824.12</v>
      </c>
    </row>
    <row r="584" spans="1:7">
      <c r="A584" s="30">
        <v>43046</v>
      </c>
      <c r="B584" t="s">
        <v>36</v>
      </c>
      <c r="C584">
        <v>131</v>
      </c>
      <c r="D584" s="31">
        <v>21.95</v>
      </c>
      <c r="E584" s="31">
        <v>2875.45</v>
      </c>
      <c r="F584">
        <f t="shared" si="8"/>
        <v>0.4375</v>
      </c>
      <c r="G584">
        <f>ROUND((1-F584:F1216)*E584:E1216,2)</f>
        <v>1617.44</v>
      </c>
    </row>
    <row r="585" spans="1:7">
      <c r="A585" s="30">
        <v>43043</v>
      </c>
      <c r="B585" t="s">
        <v>36</v>
      </c>
      <c r="C585">
        <v>73</v>
      </c>
      <c r="D585" s="31">
        <v>21.95</v>
      </c>
      <c r="E585" s="31">
        <v>1602.35</v>
      </c>
      <c r="F585">
        <f t="shared" si="8"/>
        <v>0.375</v>
      </c>
      <c r="G585">
        <f>ROUND((1-F585:F1217)*E585:E1217,2)</f>
        <v>1001.47</v>
      </c>
    </row>
    <row r="586" spans="1:7">
      <c r="A586" s="30">
        <v>43044</v>
      </c>
      <c r="B586" t="s">
        <v>26</v>
      </c>
      <c r="C586">
        <v>168</v>
      </c>
      <c r="D586" s="31">
        <v>43.95</v>
      </c>
      <c r="E586" s="31">
        <v>7383.6</v>
      </c>
      <c r="F586">
        <f t="shared" si="8"/>
        <v>0.55</v>
      </c>
      <c r="G586">
        <f>ROUND((1-F586:F1218)*E586:E1218,2)</f>
        <v>3322.62</v>
      </c>
    </row>
    <row r="587" spans="1:7">
      <c r="A587" s="30">
        <v>43044</v>
      </c>
      <c r="B587" t="s">
        <v>24</v>
      </c>
      <c r="C587">
        <v>44</v>
      </c>
      <c r="D587" s="31">
        <v>14.95</v>
      </c>
      <c r="E587" s="31">
        <v>657.8</v>
      </c>
      <c r="F587">
        <f t="shared" si="8"/>
        <v>0.25</v>
      </c>
      <c r="G587">
        <f>ROUND((1-F587:F1219)*E587:E1219,2)</f>
        <v>493.35</v>
      </c>
    </row>
    <row r="588" spans="1:7">
      <c r="A588" s="30">
        <v>43045</v>
      </c>
      <c r="B588" t="s">
        <v>24</v>
      </c>
      <c r="C588">
        <v>163</v>
      </c>
      <c r="D588" s="31">
        <v>14.95</v>
      </c>
      <c r="E588" s="31">
        <v>2436.85</v>
      </c>
      <c r="F588">
        <f t="shared" si="8"/>
        <v>0.5</v>
      </c>
      <c r="G588">
        <f>ROUND((1-F588:F1220)*E588:E1220,2)</f>
        <v>1218.43</v>
      </c>
    </row>
    <row r="589" spans="1:7">
      <c r="A589" s="30">
        <v>43043</v>
      </c>
      <c r="B589" t="s">
        <v>24</v>
      </c>
      <c r="C589">
        <v>87</v>
      </c>
      <c r="D589" s="31">
        <v>14.95</v>
      </c>
      <c r="E589" s="31">
        <v>1300.65</v>
      </c>
      <c r="F589">
        <f t="shared" si="8"/>
        <v>0.375</v>
      </c>
      <c r="G589">
        <f>ROUND((1-F589:F1221)*E589:E1221,2)</f>
        <v>812.91</v>
      </c>
    </row>
    <row r="590" spans="1:7">
      <c r="A590" s="30">
        <v>43043</v>
      </c>
      <c r="B590" t="s">
        <v>36</v>
      </c>
      <c r="C590">
        <v>47</v>
      </c>
      <c r="D590" s="31">
        <v>21.95</v>
      </c>
      <c r="E590" s="31">
        <v>1031.65</v>
      </c>
      <c r="F590">
        <f t="shared" si="8"/>
        <v>0.25</v>
      </c>
      <c r="G590">
        <f>ROUND((1-F590:F1222)*E590:E1222,2)</f>
        <v>773.74</v>
      </c>
    </row>
    <row r="591" spans="1:7">
      <c r="A591" s="30">
        <v>43046</v>
      </c>
      <c r="B591" t="s">
        <v>24</v>
      </c>
      <c r="C591">
        <v>131</v>
      </c>
      <c r="D591" s="31">
        <v>14.95</v>
      </c>
      <c r="E591" s="31">
        <v>1958.45</v>
      </c>
      <c r="F591">
        <f t="shared" si="8"/>
        <v>0.4375</v>
      </c>
      <c r="G591">
        <f>ROUND((1-F591:F1223)*E591:E1223,2)</f>
        <v>1101.63</v>
      </c>
    </row>
    <row r="592" spans="1:7">
      <c r="A592" s="30">
        <v>43045</v>
      </c>
      <c r="B592" t="s">
        <v>24</v>
      </c>
      <c r="C592">
        <v>146</v>
      </c>
      <c r="D592" s="31">
        <v>14.95</v>
      </c>
      <c r="E592" s="31">
        <v>2182.7</v>
      </c>
      <c r="F592">
        <f t="shared" si="8"/>
        <v>0.5</v>
      </c>
      <c r="G592">
        <f>ROUND((1-F592:F1224)*E592:E1224,2)</f>
        <v>1091.35</v>
      </c>
    </row>
    <row r="593" spans="1:7">
      <c r="A593" s="30">
        <v>43042</v>
      </c>
      <c r="B593" t="s">
        <v>26</v>
      </c>
      <c r="C593">
        <v>82</v>
      </c>
      <c r="D593" s="31">
        <v>43.95</v>
      </c>
      <c r="E593" s="31">
        <v>3603.9</v>
      </c>
      <c r="F593">
        <f t="shared" si="8"/>
        <v>0.375</v>
      </c>
      <c r="G593">
        <f>ROUND((1-F593:F1225)*E593:E1225,2)</f>
        <v>2252.44</v>
      </c>
    </row>
    <row r="594" spans="1:7">
      <c r="A594" s="30">
        <v>43044</v>
      </c>
      <c r="B594" t="s">
        <v>36</v>
      </c>
      <c r="C594">
        <v>129</v>
      </c>
      <c r="D594" s="31">
        <v>21.95</v>
      </c>
      <c r="E594" s="31">
        <v>2831.55</v>
      </c>
      <c r="F594">
        <f t="shared" si="8"/>
        <v>0.4375</v>
      </c>
      <c r="G594">
        <f>ROUND((1-F594:F1226)*E594:E1226,2)</f>
        <v>1592.75</v>
      </c>
    </row>
    <row r="595" spans="1:7">
      <c r="A595" s="30">
        <v>43045</v>
      </c>
      <c r="B595" t="s">
        <v>37</v>
      </c>
      <c r="C595">
        <v>171</v>
      </c>
      <c r="D595" s="31">
        <v>22.95</v>
      </c>
      <c r="E595" s="31">
        <v>3924.45</v>
      </c>
      <c r="F595">
        <f t="shared" si="8"/>
        <v>0.55</v>
      </c>
      <c r="G595">
        <f>ROUND((1-F595:F1227)*E595:E1227,2)</f>
        <v>1766</v>
      </c>
    </row>
    <row r="596" spans="1:7">
      <c r="A596" s="30">
        <v>43042</v>
      </c>
      <c r="B596" t="s">
        <v>24</v>
      </c>
      <c r="C596">
        <v>18</v>
      </c>
      <c r="D596" s="31">
        <v>14.95</v>
      </c>
      <c r="E596" s="31">
        <v>269.1</v>
      </c>
      <c r="F596">
        <f t="shared" si="8"/>
        <v>0.25</v>
      </c>
      <c r="G596">
        <f>ROUND((1-F596:F1228)*E596:E1228,2)</f>
        <v>201.83</v>
      </c>
    </row>
    <row r="597" spans="1:7">
      <c r="A597" s="30">
        <v>43043</v>
      </c>
      <c r="B597" t="s">
        <v>24</v>
      </c>
      <c r="C597">
        <v>54</v>
      </c>
      <c r="D597" s="31">
        <v>14.95</v>
      </c>
      <c r="E597" s="31">
        <v>807.3</v>
      </c>
      <c r="F597">
        <f t="shared" ref="F597:F652" si="9">VLOOKUP(C597:C1232,$I$19:$J$25,2)</f>
        <v>0.375</v>
      </c>
      <c r="G597">
        <f>ROUND((1-F597:F1229)*E597:E1229,2)</f>
        <v>504.56</v>
      </c>
    </row>
    <row r="598" spans="1:7">
      <c r="A598" s="30">
        <v>43043</v>
      </c>
      <c r="B598" t="s">
        <v>36</v>
      </c>
      <c r="C598">
        <v>185</v>
      </c>
      <c r="D598" s="31">
        <v>21.95</v>
      </c>
      <c r="E598" s="31">
        <v>4060.75</v>
      </c>
      <c r="F598">
        <f t="shared" si="9"/>
        <v>0.55</v>
      </c>
      <c r="G598">
        <f>ROUND((1-F598:F1230)*E598:E1230,2)</f>
        <v>1827.34</v>
      </c>
    </row>
    <row r="599" spans="1:7">
      <c r="A599" s="30">
        <v>43040</v>
      </c>
      <c r="B599" t="s">
        <v>37</v>
      </c>
      <c r="C599">
        <v>85</v>
      </c>
      <c r="D599" s="31">
        <v>22.95</v>
      </c>
      <c r="E599" s="31">
        <v>1950.75</v>
      </c>
      <c r="F599">
        <f t="shared" si="9"/>
        <v>0.375</v>
      </c>
      <c r="G599">
        <f>ROUND((1-F599:F1231)*E599:E1231,2)</f>
        <v>1219.22</v>
      </c>
    </row>
    <row r="600" spans="1:7">
      <c r="A600" s="30">
        <v>43045</v>
      </c>
      <c r="B600" t="s">
        <v>37</v>
      </c>
      <c r="C600">
        <v>106</v>
      </c>
      <c r="D600" s="31">
        <v>22.95</v>
      </c>
      <c r="E600" s="31">
        <v>2432.7</v>
      </c>
      <c r="F600">
        <f t="shared" si="9"/>
        <v>0.4375</v>
      </c>
      <c r="G600">
        <f>ROUND((1-F600:F1232)*E600:E1232,2)</f>
        <v>1368.39</v>
      </c>
    </row>
    <row r="601" spans="1:7">
      <c r="A601" s="30">
        <v>43047</v>
      </c>
      <c r="B601" t="s">
        <v>26</v>
      </c>
      <c r="C601">
        <v>136</v>
      </c>
      <c r="D601" s="31">
        <v>43.95</v>
      </c>
      <c r="E601" s="31">
        <v>5977.2</v>
      </c>
      <c r="F601">
        <f t="shared" si="9"/>
        <v>0.4375</v>
      </c>
      <c r="G601">
        <f>ROUND((1-F601:F1233)*E601:E1233,2)</f>
        <v>3362.18</v>
      </c>
    </row>
    <row r="602" spans="1:7">
      <c r="A602" s="30">
        <v>43043</v>
      </c>
      <c r="B602" t="s">
        <v>26</v>
      </c>
      <c r="C602">
        <v>96</v>
      </c>
      <c r="D602" s="31">
        <v>43.95</v>
      </c>
      <c r="E602" s="31">
        <v>4219.2</v>
      </c>
      <c r="F602">
        <f t="shared" si="9"/>
        <v>0.4375</v>
      </c>
      <c r="G602">
        <f>ROUND((1-F602:F1234)*E602:E1234,2)</f>
        <v>2373.3</v>
      </c>
    </row>
    <row r="603" spans="1:7">
      <c r="A603" s="30">
        <v>43043</v>
      </c>
      <c r="B603" t="s">
        <v>37</v>
      </c>
      <c r="C603">
        <v>45</v>
      </c>
      <c r="D603" s="31">
        <v>22.95</v>
      </c>
      <c r="E603" s="31">
        <v>1032.75</v>
      </c>
      <c r="F603">
        <f t="shared" si="9"/>
        <v>0.25</v>
      </c>
      <c r="G603">
        <f>ROUND((1-F603:F1235)*E603:E1235,2)</f>
        <v>774.56</v>
      </c>
    </row>
    <row r="604" spans="1:7">
      <c r="A604" s="30">
        <v>43044</v>
      </c>
      <c r="B604" t="s">
        <v>24</v>
      </c>
      <c r="C604">
        <v>190</v>
      </c>
      <c r="D604" s="31">
        <v>14.95</v>
      </c>
      <c r="E604" s="31">
        <v>2840.5</v>
      </c>
      <c r="F604">
        <f t="shared" si="9"/>
        <v>0.55</v>
      </c>
      <c r="G604">
        <f>ROUND((1-F604:F1236)*E604:E1236,2)</f>
        <v>1278.23</v>
      </c>
    </row>
    <row r="605" spans="1:7">
      <c r="A605" s="30">
        <v>43042</v>
      </c>
      <c r="B605" t="s">
        <v>36</v>
      </c>
      <c r="C605">
        <v>129</v>
      </c>
      <c r="D605" s="31">
        <v>21.95</v>
      </c>
      <c r="E605" s="31">
        <v>2831.55</v>
      </c>
      <c r="F605">
        <f t="shared" si="9"/>
        <v>0.4375</v>
      </c>
      <c r="G605">
        <f>ROUND((1-F605:F1237)*E605:E1237,2)</f>
        <v>1592.75</v>
      </c>
    </row>
    <row r="606" spans="1:7">
      <c r="A606" s="30">
        <v>43043</v>
      </c>
      <c r="B606" t="s">
        <v>37</v>
      </c>
      <c r="C606">
        <v>140</v>
      </c>
      <c r="D606" s="31">
        <v>22.95</v>
      </c>
      <c r="E606" s="31">
        <v>3213</v>
      </c>
      <c r="F606">
        <f t="shared" si="9"/>
        <v>0.4375</v>
      </c>
      <c r="G606">
        <f>ROUND((1-F606:F1238)*E606:E1238,2)</f>
        <v>1807.31</v>
      </c>
    </row>
    <row r="607" spans="1:7">
      <c r="A607" s="30">
        <v>43047</v>
      </c>
      <c r="B607" t="s">
        <v>36</v>
      </c>
      <c r="C607">
        <v>19</v>
      </c>
      <c r="D607" s="31">
        <v>21.95</v>
      </c>
      <c r="E607" s="31">
        <v>417.05</v>
      </c>
      <c r="F607">
        <f t="shared" si="9"/>
        <v>0.25</v>
      </c>
      <c r="G607">
        <f>ROUND((1-F607:F1239)*E607:E1239,2)</f>
        <v>312.79</v>
      </c>
    </row>
    <row r="608" spans="1:7">
      <c r="A608" s="30">
        <v>43046</v>
      </c>
      <c r="B608" t="s">
        <v>37</v>
      </c>
      <c r="C608">
        <v>88</v>
      </c>
      <c r="D608" s="31">
        <v>22.95</v>
      </c>
      <c r="E608" s="31">
        <v>2019.6</v>
      </c>
      <c r="F608">
        <f t="shared" si="9"/>
        <v>0.375</v>
      </c>
      <c r="G608">
        <f>ROUND((1-F608:F1240)*E608:E1240,2)</f>
        <v>1262.25</v>
      </c>
    </row>
    <row r="609" spans="1:7">
      <c r="A609" s="30">
        <v>43040</v>
      </c>
      <c r="B609" t="s">
        <v>36</v>
      </c>
      <c r="C609">
        <v>132</v>
      </c>
      <c r="D609" s="31">
        <v>21.95</v>
      </c>
      <c r="E609" s="31">
        <v>2897.4</v>
      </c>
      <c r="F609">
        <f t="shared" si="9"/>
        <v>0.4375</v>
      </c>
      <c r="G609">
        <f>ROUND((1-F609:F1241)*E609:E1241,2)</f>
        <v>1629.79</v>
      </c>
    </row>
    <row r="610" spans="1:7">
      <c r="A610" s="30">
        <v>43040</v>
      </c>
      <c r="B610" t="s">
        <v>26</v>
      </c>
      <c r="C610">
        <v>38</v>
      </c>
      <c r="D610" s="31">
        <v>43.95</v>
      </c>
      <c r="E610" s="31">
        <v>1670.1</v>
      </c>
      <c r="F610">
        <f t="shared" si="9"/>
        <v>0.25</v>
      </c>
      <c r="G610">
        <f>ROUND((1-F610:F1242)*E610:E1242,2)</f>
        <v>1252.58</v>
      </c>
    </row>
    <row r="611" spans="1:7">
      <c r="A611" s="30">
        <v>43046</v>
      </c>
      <c r="B611" t="s">
        <v>36</v>
      </c>
      <c r="C611">
        <v>82</v>
      </c>
      <c r="D611" s="31">
        <v>21.95</v>
      </c>
      <c r="E611" s="31">
        <v>1799.9</v>
      </c>
      <c r="F611">
        <f t="shared" si="9"/>
        <v>0.375</v>
      </c>
      <c r="G611">
        <f>ROUND((1-F611:F1243)*E611:E1243,2)</f>
        <v>1124.94</v>
      </c>
    </row>
    <row r="612" spans="1:7">
      <c r="A612" s="30">
        <v>43047</v>
      </c>
      <c r="B612" t="s">
        <v>26</v>
      </c>
      <c r="C612">
        <v>101</v>
      </c>
      <c r="D612" s="31">
        <v>43.95</v>
      </c>
      <c r="E612" s="31">
        <v>4438.95</v>
      </c>
      <c r="F612">
        <f t="shared" si="9"/>
        <v>0.4375</v>
      </c>
      <c r="G612">
        <f>ROUND((1-F612:F1244)*E612:E1244,2)</f>
        <v>2496.91</v>
      </c>
    </row>
    <row r="613" spans="1:7">
      <c r="A613" s="30">
        <v>43046</v>
      </c>
      <c r="B613" t="s">
        <v>24</v>
      </c>
      <c r="C613">
        <v>89</v>
      </c>
      <c r="D613" s="31">
        <v>14.95</v>
      </c>
      <c r="E613" s="31">
        <v>1330.55</v>
      </c>
      <c r="F613">
        <f t="shared" si="9"/>
        <v>0.375</v>
      </c>
      <c r="G613">
        <f>ROUND((1-F613:F1245)*E613:E1245,2)</f>
        <v>831.59</v>
      </c>
    </row>
    <row r="614" spans="1:7">
      <c r="A614" s="30">
        <v>43045</v>
      </c>
      <c r="B614" t="s">
        <v>24</v>
      </c>
      <c r="C614">
        <v>59</v>
      </c>
      <c r="D614" s="31">
        <v>14.95</v>
      </c>
      <c r="E614" s="31">
        <v>882.05</v>
      </c>
      <c r="F614">
        <f t="shared" si="9"/>
        <v>0.375</v>
      </c>
      <c r="G614">
        <f>ROUND((1-F614:F1246)*E614:E1246,2)</f>
        <v>551.28</v>
      </c>
    </row>
    <row r="615" spans="1:7">
      <c r="A615" s="30">
        <v>43042</v>
      </c>
      <c r="B615" t="s">
        <v>36</v>
      </c>
      <c r="C615">
        <v>135</v>
      </c>
      <c r="D615" s="31">
        <v>21.95</v>
      </c>
      <c r="E615" s="31">
        <v>2963.25</v>
      </c>
      <c r="F615">
        <f t="shared" si="9"/>
        <v>0.4375</v>
      </c>
      <c r="G615">
        <f>ROUND((1-F615:F1247)*E615:E1247,2)</f>
        <v>1666.83</v>
      </c>
    </row>
    <row r="616" spans="1:7">
      <c r="A616" s="30">
        <v>43046</v>
      </c>
      <c r="B616" t="s">
        <v>26</v>
      </c>
      <c r="C616">
        <v>151</v>
      </c>
      <c r="D616" s="31">
        <v>43.95</v>
      </c>
      <c r="E616" s="31">
        <v>6636.45</v>
      </c>
      <c r="F616">
        <f t="shared" si="9"/>
        <v>0.5</v>
      </c>
      <c r="G616">
        <f>ROUND((1-F616:F1248)*E616:E1248,2)</f>
        <v>3318.23</v>
      </c>
    </row>
    <row r="617" spans="1:7">
      <c r="A617" s="30">
        <v>43045</v>
      </c>
      <c r="B617" t="s">
        <v>26</v>
      </c>
      <c r="C617">
        <v>143</v>
      </c>
      <c r="D617" s="31">
        <v>43.95</v>
      </c>
      <c r="E617" s="31">
        <v>6284.85</v>
      </c>
      <c r="F617">
        <f t="shared" si="9"/>
        <v>0.4375</v>
      </c>
      <c r="G617">
        <f>ROUND((1-F617:F1249)*E617:E1249,2)</f>
        <v>3535.23</v>
      </c>
    </row>
    <row r="618" spans="1:7">
      <c r="A618" s="30">
        <v>43044</v>
      </c>
      <c r="B618" t="s">
        <v>24</v>
      </c>
      <c r="C618">
        <v>50</v>
      </c>
      <c r="D618" s="31">
        <v>14.95</v>
      </c>
      <c r="E618" s="31">
        <v>747.5</v>
      </c>
      <c r="F618">
        <f t="shared" si="9"/>
        <v>0.375</v>
      </c>
      <c r="G618">
        <f>ROUND((1-F618:F1250)*E618:E1250,2)</f>
        <v>467.19</v>
      </c>
    </row>
    <row r="619" spans="1:7">
      <c r="A619" s="30">
        <v>43043</v>
      </c>
      <c r="B619" t="s">
        <v>26</v>
      </c>
      <c r="C619">
        <v>135</v>
      </c>
      <c r="D619" s="31">
        <v>43.95</v>
      </c>
      <c r="E619" s="31">
        <v>5933.25</v>
      </c>
      <c r="F619">
        <f t="shared" si="9"/>
        <v>0.4375</v>
      </c>
      <c r="G619">
        <f>ROUND((1-F619:F1251)*E619:E1251,2)</f>
        <v>3337.45</v>
      </c>
    </row>
    <row r="620" spans="1:7">
      <c r="A620" s="30">
        <v>43045</v>
      </c>
      <c r="B620" t="s">
        <v>37</v>
      </c>
      <c r="C620">
        <v>64</v>
      </c>
      <c r="D620" s="31">
        <v>22.95</v>
      </c>
      <c r="E620" s="31">
        <v>1468.8</v>
      </c>
      <c r="F620">
        <f t="shared" si="9"/>
        <v>0.375</v>
      </c>
      <c r="G620">
        <f>ROUND((1-F620:F1252)*E620:E1252,2)</f>
        <v>918</v>
      </c>
    </row>
    <row r="621" spans="1:7">
      <c r="A621" s="30">
        <v>43042</v>
      </c>
      <c r="B621" t="s">
        <v>24</v>
      </c>
      <c r="C621">
        <v>188</v>
      </c>
      <c r="D621" s="31">
        <v>14.95</v>
      </c>
      <c r="E621" s="31">
        <v>2810.6</v>
      </c>
      <c r="F621">
        <f t="shared" si="9"/>
        <v>0.55</v>
      </c>
      <c r="G621">
        <f>ROUND((1-F621:F1253)*E621:E1253,2)</f>
        <v>1264.77</v>
      </c>
    </row>
    <row r="622" spans="1:7">
      <c r="A622" s="30">
        <v>43045</v>
      </c>
      <c r="B622" t="s">
        <v>37</v>
      </c>
      <c r="C622">
        <v>40</v>
      </c>
      <c r="D622" s="31">
        <v>22.95</v>
      </c>
      <c r="E622" s="31">
        <v>918</v>
      </c>
      <c r="F622">
        <f t="shared" si="9"/>
        <v>0.25</v>
      </c>
      <c r="G622">
        <f>ROUND((1-F622:F1254)*E622:E1254,2)</f>
        <v>688.5</v>
      </c>
    </row>
    <row r="623" spans="1:7">
      <c r="A623" s="30">
        <v>43042</v>
      </c>
      <c r="B623" t="s">
        <v>36</v>
      </c>
      <c r="C623">
        <v>6</v>
      </c>
      <c r="D623" s="31">
        <v>21.95</v>
      </c>
      <c r="E623" s="31">
        <v>131.7</v>
      </c>
      <c r="F623">
        <f t="shared" si="9"/>
        <v>0</v>
      </c>
      <c r="G623">
        <f>ROUND((1-F623:F1255)*E623:E1255,2)</f>
        <v>131.7</v>
      </c>
    </row>
    <row r="624" spans="1:7">
      <c r="A624" s="30">
        <v>43041</v>
      </c>
      <c r="B624" t="s">
        <v>24</v>
      </c>
      <c r="C624">
        <v>18</v>
      </c>
      <c r="D624" s="31">
        <v>14.95</v>
      </c>
      <c r="E624" s="31">
        <v>269.1</v>
      </c>
      <c r="F624">
        <f t="shared" si="9"/>
        <v>0.25</v>
      </c>
      <c r="G624">
        <f>ROUND((1-F624:F1256)*E624:E1256,2)</f>
        <v>201.83</v>
      </c>
    </row>
    <row r="625" spans="1:7">
      <c r="A625" s="30">
        <v>43045</v>
      </c>
      <c r="B625" t="s">
        <v>37</v>
      </c>
      <c r="C625">
        <v>126</v>
      </c>
      <c r="D625" s="31">
        <v>22.95</v>
      </c>
      <c r="E625" s="31">
        <v>2891.7</v>
      </c>
      <c r="F625">
        <f t="shared" si="9"/>
        <v>0.4375</v>
      </c>
      <c r="G625">
        <f>ROUND((1-F625:F1257)*E625:E1257,2)</f>
        <v>1626.58</v>
      </c>
    </row>
    <row r="626" spans="1:7">
      <c r="A626" s="30">
        <v>43044</v>
      </c>
      <c r="B626" t="s">
        <v>37</v>
      </c>
      <c r="C626">
        <v>136</v>
      </c>
      <c r="D626" s="31">
        <v>22.95</v>
      </c>
      <c r="E626" s="31">
        <v>3121.2</v>
      </c>
      <c r="F626">
        <f t="shared" si="9"/>
        <v>0.4375</v>
      </c>
      <c r="G626">
        <f>ROUND((1-F626:F1258)*E626:E1258,2)</f>
        <v>1755.68</v>
      </c>
    </row>
    <row r="627" spans="1:7">
      <c r="A627" s="30">
        <v>43047</v>
      </c>
      <c r="B627" t="s">
        <v>36</v>
      </c>
      <c r="C627">
        <v>101</v>
      </c>
      <c r="D627" s="31">
        <v>21.95</v>
      </c>
      <c r="E627" s="31">
        <v>2216.95</v>
      </c>
      <c r="F627">
        <f t="shared" si="9"/>
        <v>0.4375</v>
      </c>
      <c r="G627">
        <f>ROUND((1-F627:F1259)*E627:E1259,2)</f>
        <v>1247.03</v>
      </c>
    </row>
    <row r="628" spans="1:7">
      <c r="A628" s="30">
        <v>43042</v>
      </c>
      <c r="B628" t="s">
        <v>37</v>
      </c>
      <c r="C628">
        <v>23</v>
      </c>
      <c r="D628" s="31">
        <v>22.95</v>
      </c>
      <c r="E628" s="31">
        <v>527.85</v>
      </c>
      <c r="F628">
        <f t="shared" si="9"/>
        <v>0.25</v>
      </c>
      <c r="G628">
        <f>ROUND((1-F628:F1260)*E628:E1260,2)</f>
        <v>395.89</v>
      </c>
    </row>
    <row r="629" spans="1:7">
      <c r="A629" s="30">
        <v>43040</v>
      </c>
      <c r="B629" t="s">
        <v>26</v>
      </c>
      <c r="C629">
        <v>42</v>
      </c>
      <c r="D629" s="31">
        <v>43.95</v>
      </c>
      <c r="E629" s="31">
        <v>1845.9</v>
      </c>
      <c r="F629">
        <f t="shared" si="9"/>
        <v>0.25</v>
      </c>
      <c r="G629">
        <f>ROUND((1-F629:F1261)*E629:E1261,2)</f>
        <v>1384.43</v>
      </c>
    </row>
    <row r="630" spans="1:7">
      <c r="A630" s="30">
        <v>43043</v>
      </c>
      <c r="B630" t="s">
        <v>26</v>
      </c>
      <c r="C630">
        <v>98</v>
      </c>
      <c r="D630" s="31">
        <v>43.95</v>
      </c>
      <c r="E630" s="31">
        <v>4307.1</v>
      </c>
      <c r="F630">
        <f t="shared" si="9"/>
        <v>0.4375</v>
      </c>
      <c r="G630">
        <f>ROUND((1-F630:F1262)*E630:E1262,2)</f>
        <v>2422.74</v>
      </c>
    </row>
    <row r="631" spans="1:7">
      <c r="A631" s="30">
        <v>43040</v>
      </c>
      <c r="B631" t="s">
        <v>37</v>
      </c>
      <c r="C631">
        <v>104</v>
      </c>
      <c r="D631" s="31">
        <v>22.95</v>
      </c>
      <c r="E631" s="31">
        <v>2386.8</v>
      </c>
      <c r="F631">
        <f t="shared" si="9"/>
        <v>0.4375</v>
      </c>
      <c r="G631">
        <f>ROUND((1-F631:F1263)*E631:E1263,2)</f>
        <v>1342.58</v>
      </c>
    </row>
    <row r="632" spans="1:7">
      <c r="A632" s="30">
        <v>43043</v>
      </c>
      <c r="B632" t="s">
        <v>37</v>
      </c>
      <c r="C632">
        <v>113</v>
      </c>
      <c r="D632" s="31">
        <v>22.95</v>
      </c>
      <c r="E632" s="31">
        <v>2593.35</v>
      </c>
      <c r="F632">
        <f t="shared" si="9"/>
        <v>0.4375</v>
      </c>
      <c r="G632">
        <f>ROUND((1-F632:F1264)*E632:E1264,2)</f>
        <v>1458.76</v>
      </c>
    </row>
    <row r="633" spans="1:7">
      <c r="A633" s="30">
        <v>43042</v>
      </c>
      <c r="B633" t="s">
        <v>36</v>
      </c>
      <c r="C633">
        <v>48</v>
      </c>
      <c r="D633" s="31">
        <v>21.95</v>
      </c>
      <c r="E633" s="31">
        <v>1053.6</v>
      </c>
      <c r="F633">
        <f t="shared" si="9"/>
        <v>0.375</v>
      </c>
      <c r="G633">
        <f>ROUND((1-F633:F1265)*E633:E1265,2)</f>
        <v>658.5</v>
      </c>
    </row>
    <row r="634" spans="1:7">
      <c r="A634" s="30">
        <v>43047</v>
      </c>
      <c r="B634" t="s">
        <v>24</v>
      </c>
      <c r="C634">
        <v>168</v>
      </c>
      <c r="D634" s="31">
        <v>14.95</v>
      </c>
      <c r="E634" s="31">
        <v>2511.6</v>
      </c>
      <c r="F634">
        <f t="shared" si="9"/>
        <v>0.55</v>
      </c>
      <c r="G634">
        <f>ROUND((1-F634:F1266)*E634:E1266,2)</f>
        <v>1130.22</v>
      </c>
    </row>
    <row r="635" spans="1:7">
      <c r="A635" s="30">
        <v>43040</v>
      </c>
      <c r="B635" t="s">
        <v>36</v>
      </c>
      <c r="C635">
        <v>36</v>
      </c>
      <c r="D635" s="31">
        <v>21.95</v>
      </c>
      <c r="E635" s="31">
        <v>790.2</v>
      </c>
      <c r="F635">
        <f t="shared" si="9"/>
        <v>0.25</v>
      </c>
      <c r="G635">
        <f>ROUND((1-F635:F1267)*E635:E1267,2)</f>
        <v>592.65</v>
      </c>
    </row>
    <row r="636" spans="1:7">
      <c r="A636" s="30">
        <v>43040</v>
      </c>
      <c r="B636" t="s">
        <v>37</v>
      </c>
      <c r="C636">
        <v>122</v>
      </c>
      <c r="D636" s="31">
        <v>22.95</v>
      </c>
      <c r="E636" s="31">
        <v>2799.9</v>
      </c>
      <c r="F636">
        <f t="shared" si="9"/>
        <v>0.4375</v>
      </c>
      <c r="G636">
        <f>ROUND((1-F636:F1268)*E636:E1268,2)</f>
        <v>1574.94</v>
      </c>
    </row>
    <row r="637" spans="1:7">
      <c r="A637" s="30">
        <v>43041</v>
      </c>
      <c r="B637" t="s">
        <v>37</v>
      </c>
      <c r="C637">
        <v>136</v>
      </c>
      <c r="D637" s="31">
        <v>22.95</v>
      </c>
      <c r="E637" s="31">
        <v>3121.2</v>
      </c>
      <c r="F637">
        <f t="shared" si="9"/>
        <v>0.4375</v>
      </c>
      <c r="G637">
        <f>ROUND((1-F637:F1269)*E637:E1269,2)</f>
        <v>1755.68</v>
      </c>
    </row>
    <row r="638" spans="1:7">
      <c r="A638" s="30">
        <v>43040</v>
      </c>
      <c r="B638" t="s">
        <v>26</v>
      </c>
      <c r="C638">
        <v>76</v>
      </c>
      <c r="D638" s="31">
        <v>43.95</v>
      </c>
      <c r="E638" s="31">
        <v>3340.2</v>
      </c>
      <c r="F638">
        <f t="shared" si="9"/>
        <v>0.375</v>
      </c>
      <c r="G638">
        <f>ROUND((1-F638:F1270)*E638:E1270,2)</f>
        <v>2087.63</v>
      </c>
    </row>
    <row r="639" spans="1:7">
      <c r="A639" s="30">
        <v>43041</v>
      </c>
      <c r="B639" t="s">
        <v>24</v>
      </c>
      <c r="C639">
        <v>161</v>
      </c>
      <c r="D639" s="31">
        <v>14.95</v>
      </c>
      <c r="E639" s="31">
        <v>2406.95</v>
      </c>
      <c r="F639">
        <f t="shared" si="9"/>
        <v>0.5</v>
      </c>
      <c r="G639">
        <f>ROUND((1-F639:F1271)*E639:E1271,2)</f>
        <v>1203.48</v>
      </c>
    </row>
    <row r="640" spans="1:7">
      <c r="A640" s="30">
        <v>43043</v>
      </c>
      <c r="B640" t="s">
        <v>26</v>
      </c>
      <c r="C640">
        <v>187</v>
      </c>
      <c r="D640" s="31">
        <v>43.95</v>
      </c>
      <c r="E640" s="31">
        <v>8218.65</v>
      </c>
      <c r="F640">
        <f t="shared" si="9"/>
        <v>0.55</v>
      </c>
      <c r="G640">
        <f>ROUND((1-F640:F1272)*E640:E1272,2)</f>
        <v>3698.39</v>
      </c>
    </row>
    <row r="641" spans="1:7">
      <c r="A641" s="30">
        <v>43044</v>
      </c>
      <c r="B641" t="s">
        <v>26</v>
      </c>
      <c r="C641">
        <v>38</v>
      </c>
      <c r="D641" s="31">
        <v>43.95</v>
      </c>
      <c r="E641" s="31">
        <v>1670.1</v>
      </c>
      <c r="F641">
        <f t="shared" si="9"/>
        <v>0.25</v>
      </c>
      <c r="G641">
        <f>ROUND((1-F641:F1273)*E641:E1273,2)</f>
        <v>1252.58</v>
      </c>
    </row>
    <row r="642" spans="1:7">
      <c r="A642" s="30">
        <v>43047</v>
      </c>
      <c r="B642" t="s">
        <v>37</v>
      </c>
      <c r="C642">
        <v>5</v>
      </c>
      <c r="D642" s="31">
        <v>22.95</v>
      </c>
      <c r="E642" s="31">
        <v>114.75</v>
      </c>
      <c r="F642">
        <f t="shared" si="9"/>
        <v>0</v>
      </c>
      <c r="G642">
        <f>ROUND((1-F642:F1274)*E642:E1274,2)</f>
        <v>114.75</v>
      </c>
    </row>
    <row r="643" spans="1:7">
      <c r="A643" s="30">
        <v>43045</v>
      </c>
      <c r="B643" t="s">
        <v>24</v>
      </c>
      <c r="C643">
        <v>44</v>
      </c>
      <c r="D643" s="31">
        <v>14.95</v>
      </c>
      <c r="E643" s="31">
        <v>657.8</v>
      </c>
      <c r="F643">
        <f t="shared" si="9"/>
        <v>0.25</v>
      </c>
      <c r="G643">
        <f>ROUND((1-F643:F1275)*E643:E1275,2)</f>
        <v>493.35</v>
      </c>
    </row>
    <row r="644" spans="1:7">
      <c r="A644" s="30">
        <v>43041</v>
      </c>
      <c r="B644" t="s">
        <v>24</v>
      </c>
      <c r="C644">
        <v>101</v>
      </c>
      <c r="D644" s="31">
        <v>14.95</v>
      </c>
      <c r="E644" s="31">
        <v>1509.95</v>
      </c>
      <c r="F644">
        <f t="shared" si="9"/>
        <v>0.4375</v>
      </c>
      <c r="G644">
        <f>ROUND((1-F644:F1276)*E644:E1276,2)</f>
        <v>849.35</v>
      </c>
    </row>
    <row r="645" spans="1:7">
      <c r="A645" s="30">
        <v>43046</v>
      </c>
      <c r="B645" t="s">
        <v>36</v>
      </c>
      <c r="C645">
        <v>129</v>
      </c>
      <c r="D645" s="31">
        <v>21.95</v>
      </c>
      <c r="E645" s="31">
        <v>2831.55</v>
      </c>
      <c r="F645">
        <f t="shared" si="9"/>
        <v>0.4375</v>
      </c>
      <c r="G645">
        <f>ROUND((1-F645:F1277)*E645:E1277,2)</f>
        <v>1592.75</v>
      </c>
    </row>
    <row r="646" spans="1:7">
      <c r="A646" s="30">
        <v>43045</v>
      </c>
      <c r="B646" t="s">
        <v>26</v>
      </c>
      <c r="C646">
        <v>170</v>
      </c>
      <c r="D646" s="31">
        <v>43.95</v>
      </c>
      <c r="E646" s="31">
        <v>7471.5</v>
      </c>
      <c r="F646">
        <f t="shared" si="9"/>
        <v>0.55</v>
      </c>
      <c r="G646">
        <f>ROUND((1-F646:F1278)*E646:E1278,2)</f>
        <v>3362.18</v>
      </c>
    </row>
    <row r="647" spans="1:7">
      <c r="A647" s="30">
        <v>43047</v>
      </c>
      <c r="B647" t="s">
        <v>26</v>
      </c>
      <c r="C647">
        <v>169</v>
      </c>
      <c r="D647" s="31">
        <v>43.95</v>
      </c>
      <c r="E647" s="31">
        <v>7427.55</v>
      </c>
      <c r="F647">
        <f t="shared" si="9"/>
        <v>0.55</v>
      </c>
      <c r="G647">
        <f>ROUND((1-F647:F1279)*E647:E1279,2)</f>
        <v>3342.4</v>
      </c>
    </row>
    <row r="648" spans="1:7">
      <c r="A648" s="30">
        <v>43047</v>
      </c>
      <c r="B648" t="s">
        <v>24</v>
      </c>
      <c r="C648">
        <v>173</v>
      </c>
      <c r="D648" s="31">
        <v>14.95</v>
      </c>
      <c r="E648" s="31">
        <v>2586.35</v>
      </c>
      <c r="F648">
        <f t="shared" si="9"/>
        <v>0.55</v>
      </c>
      <c r="G648">
        <f>ROUND((1-F648:F1280)*E648:E1280,2)</f>
        <v>1163.86</v>
      </c>
    </row>
    <row r="649" spans="1:7">
      <c r="A649" s="30">
        <v>43044</v>
      </c>
      <c r="B649" t="s">
        <v>26</v>
      </c>
      <c r="C649">
        <v>155</v>
      </c>
      <c r="D649" s="31">
        <v>43.95</v>
      </c>
      <c r="E649" s="31">
        <v>6812.25</v>
      </c>
      <c r="F649">
        <f t="shared" si="9"/>
        <v>0.5</v>
      </c>
      <c r="G649">
        <f>ROUND((1-F649:F1281)*E649:E1281,2)</f>
        <v>3406.13</v>
      </c>
    </row>
    <row r="650" spans="1:7">
      <c r="A650" s="30">
        <v>43043</v>
      </c>
      <c r="B650" t="s">
        <v>37</v>
      </c>
      <c r="C650">
        <v>40</v>
      </c>
      <c r="D650" s="31">
        <v>22.95</v>
      </c>
      <c r="E650" s="31">
        <v>918</v>
      </c>
      <c r="F650">
        <f t="shared" si="9"/>
        <v>0.25</v>
      </c>
      <c r="G650">
        <f>ROUND((1-F650:F1282)*E650:E1282,2)</f>
        <v>688.5</v>
      </c>
    </row>
    <row r="651" spans="1:7">
      <c r="A651" s="30">
        <v>43046</v>
      </c>
      <c r="B651" t="s">
        <v>26</v>
      </c>
      <c r="C651">
        <v>14</v>
      </c>
      <c r="D651" s="31">
        <v>43.95</v>
      </c>
      <c r="E651" s="31">
        <v>615.3</v>
      </c>
      <c r="F651">
        <f t="shared" si="9"/>
        <v>0.25</v>
      </c>
      <c r="G651">
        <f>ROUND((1-F651:F1283)*E651:E1283,2)</f>
        <v>461.48</v>
      </c>
    </row>
    <row r="652" spans="1:7">
      <c r="A652" s="30">
        <v>43042</v>
      </c>
      <c r="B652" t="s">
        <v>36</v>
      </c>
      <c r="C652">
        <v>172</v>
      </c>
      <c r="D652" s="31">
        <v>21.95</v>
      </c>
      <c r="E652" s="31">
        <v>3775.4</v>
      </c>
      <c r="F652">
        <f>VLOOKUP(C20:C1287,$I$19:$J$25,2)</f>
        <v>0.55</v>
      </c>
      <c r="G652">
        <f>ROUND((1-F652:F1284)*E652:E1284,2)</f>
        <v>1698.93</v>
      </c>
    </row>
    <row r="653" spans="1:7">
      <c r="A653" s="30">
        <v>43042</v>
      </c>
      <c r="B653" t="s">
        <v>37</v>
      </c>
      <c r="C653">
        <v>15</v>
      </c>
      <c r="D653">
        <v>22.95</v>
      </c>
      <c r="E653">
        <v>344.25</v>
      </c>
      <c r="F653">
        <f>VLOOKUP(C21:C1288,$I$19:$J$25,2)</f>
        <v>0.25</v>
      </c>
      <c r="G653">
        <f>ROUND((1-F653:F1285)*E653:E1285,2)</f>
        <v>258.19</v>
      </c>
    </row>
    <row r="654" spans="1:7">
      <c r="A654" s="30">
        <v>43040</v>
      </c>
      <c r="B654" t="s">
        <v>26</v>
      </c>
      <c r="C654">
        <v>46</v>
      </c>
      <c r="D654">
        <v>22.95</v>
      </c>
      <c r="E654">
        <v>1055.7</v>
      </c>
      <c r="F654">
        <f>VLOOKUP(C22:C1289,$I$19:$J$25,2)</f>
        <v>0.25</v>
      </c>
      <c r="G654">
        <f>ROUND((1-F654:F1286)*E654:E1286,2)</f>
        <v>791.78</v>
      </c>
    </row>
    <row r="655" spans="1:7">
      <c r="A655" s="30">
        <v>43046</v>
      </c>
      <c r="B655" t="s">
        <v>37</v>
      </c>
      <c r="C655">
        <v>17</v>
      </c>
      <c r="D655">
        <v>43.95</v>
      </c>
      <c r="E655">
        <v>747.15</v>
      </c>
      <c r="F655">
        <f>VLOOKUP(C23:C1290,$I$19:$J$25,2)</f>
        <v>0.25</v>
      </c>
      <c r="G655">
        <f>ROUND((1-F655:F1287)*E655:E1287,2)</f>
        <v>560.36</v>
      </c>
    </row>
  </sheetData>
  <pageMargins left="0.7" right="0.7" top="0.75" bottom="0.75" header="0.3" footer="0.3"/>
  <pageSetup paperSize="1" orientation="portrait"/>
  <headerFooter/>
  <ignoredErrors>
    <ignoredError sqref="G652:G655" formulaRange="1"/>
  </ignoredErrors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AP655"/>
  <sheetViews>
    <sheetView workbookViewId="0">
      <selection activeCell="A655" sqref="A655"/>
    </sheetView>
  </sheetViews>
  <sheetFormatPr defaultColWidth="9" defaultRowHeight="15"/>
  <cols>
    <col min="1" max="5" width="15.7142857142857" customWidth="1"/>
    <col min="6" max="6" width="27.7142857142857" customWidth="1"/>
    <col min="7" max="7" width="15.1428571428571" customWidth="1"/>
    <col min="8" max="9" width="11.2857142857143" customWidth="1"/>
    <col min="10" max="11" width="10.1428571428571" customWidth="1"/>
    <col min="12" max="14" width="9.14285714285714"/>
    <col min="15" max="15" width="12.5714285714286" customWidth="1"/>
    <col min="16" max="24" width="9.14285714285714"/>
    <col min="25" max="25" width="10.2857142857143" customWidth="1"/>
    <col min="26" max="32" width="9.14285714285714"/>
    <col min="33" max="33" width="55" customWidth="1"/>
    <col min="34" max="16384" width="9.14285714285714"/>
  </cols>
  <sheetData>
    <row r="1" spans="1:42">
      <c r="A1" s="21" t="s">
        <v>43</v>
      </c>
      <c r="B1" s="22"/>
      <c r="C1" s="22"/>
      <c r="D1" s="22"/>
      <c r="E1" s="22"/>
      <c r="F1" s="22"/>
      <c r="G1" s="22"/>
      <c r="H1" s="22"/>
      <c r="I1" s="32"/>
      <c r="AO1" s="1" t="s">
        <v>44</v>
      </c>
      <c r="AP1" s="1" t="s">
        <v>45</v>
      </c>
    </row>
    <row r="2" spans="1:42">
      <c r="A2" s="23" t="s">
        <v>46</v>
      </c>
      <c r="B2" s="24"/>
      <c r="C2" s="24"/>
      <c r="D2" s="24"/>
      <c r="E2" s="24"/>
      <c r="F2" s="24"/>
      <c r="G2" s="24"/>
      <c r="H2" s="24"/>
      <c r="I2" s="33"/>
      <c r="AG2" s="35" t="s">
        <v>57</v>
      </c>
      <c r="AO2">
        <v>0</v>
      </c>
      <c r="AP2">
        <v>0</v>
      </c>
    </row>
    <row r="3" spans="1:42">
      <c r="A3" s="25" t="s">
        <v>47</v>
      </c>
      <c r="B3" s="24"/>
      <c r="C3" s="24"/>
      <c r="D3" s="24"/>
      <c r="E3" s="24"/>
      <c r="F3" s="24"/>
      <c r="G3" s="24"/>
      <c r="H3" s="24"/>
      <c r="I3" s="33"/>
      <c r="AG3" s="11" t="str">
        <f>"Discount Decimal or Percentage = "&amp;F22&amp;" or "&amp;TEXT(F22,"0.00%")</f>
        <v>Discount Decimal or Percentage = 0.25 or 25.00%</v>
      </c>
      <c r="AO3">
        <v>12</v>
      </c>
      <c r="AP3">
        <v>0.25</v>
      </c>
    </row>
    <row r="4" spans="1:42">
      <c r="A4" s="26" t="str">
        <f>"If the customer purchased between "&amp;AO3&amp;" and "&amp;AO4-1&amp;" units, then they get a "&amp;TEXT(AP3,"0.00%")&amp;" discount."</f>
        <v>If the customer purchased between 12 and 47 units, then they get a 25.00% discount.</v>
      </c>
      <c r="B4" s="24"/>
      <c r="C4" s="24"/>
      <c r="D4" s="24"/>
      <c r="E4" s="24"/>
      <c r="F4" s="24"/>
      <c r="G4" s="24"/>
      <c r="H4" s="24"/>
      <c r="I4" s="33"/>
      <c r="AG4" s="11" t="str">
        <f>RevenueTableAnswer[[#Headers],[Total Revenue]]&amp;" = "&amp;DOLLAR(E22,0)</f>
        <v>Total Revenue = $527</v>
      </c>
      <c r="AO4">
        <v>48</v>
      </c>
      <c r="AP4">
        <v>0.375</v>
      </c>
    </row>
    <row r="5" spans="1:42">
      <c r="A5" s="26" t="str">
        <f>"If the customer purchased between "&amp;AO4&amp;" and "&amp;AO5-1&amp;" units, then they get a "&amp;TEXT(AP4,"0.00%")&amp;" discount."</f>
        <v>If the customer purchased between 48 and 95 units, then they get a 37.50% discount.</v>
      </c>
      <c r="B5" s="24"/>
      <c r="C5" s="24"/>
      <c r="D5" s="24"/>
      <c r="E5" s="24"/>
      <c r="F5" s="24"/>
      <c r="G5" s="24"/>
      <c r="H5" s="24"/>
      <c r="I5" s="33"/>
      <c r="AG5" s="36" t="s">
        <v>58</v>
      </c>
      <c r="AO5">
        <v>96</v>
      </c>
      <c r="AP5">
        <v>0.4375</v>
      </c>
    </row>
    <row r="6" spans="1:42">
      <c r="A6" s="26" t="str">
        <f>"If the customer purchased between "&amp;AO5&amp;" and "&amp;AO6-1&amp;" units, then they get a "&amp;TEXT(AP5,"0.00%")&amp;" discount."</f>
        <v>If the customer purchased between 96 and 143 units, then they get a 43.75% discount.</v>
      </c>
      <c r="B6" s="24"/>
      <c r="C6" s="24"/>
      <c r="D6" s="24"/>
      <c r="E6" s="24"/>
      <c r="F6" s="24"/>
      <c r="G6" s="24"/>
      <c r="H6" s="24"/>
      <c r="I6" s="33"/>
      <c r="AG6" s="11" t="s">
        <v>59</v>
      </c>
      <c r="AO6">
        <v>144</v>
      </c>
      <c r="AP6">
        <v>0.5</v>
      </c>
    </row>
    <row r="7" spans="1:33">
      <c r="A7" s="26" t="str">
        <f>"If the customer purchased "&amp;AO6&amp;" or more units, then they get a "&amp;TEXT(AP6,"0.00%")&amp;" discount."</f>
        <v>If the customer purchased 144 or more units, then they get a 50.00% discount.</v>
      </c>
      <c r="B7" s="24"/>
      <c r="C7" s="24"/>
      <c r="D7" s="24"/>
      <c r="E7" s="24"/>
      <c r="F7" s="24"/>
      <c r="G7" s="24"/>
      <c r="H7" s="24"/>
      <c r="I7" s="33"/>
      <c r="AG7" s="37" t="str">
        <f>DOLLAR($E$22)&amp;" * "&amp;$F$22&amp;" = "&amp;DOLLAR($E$22*$F$22,2)&amp;" = Amount of Discount"</f>
        <v>$527.40 * 0.25 = $131.85 = Amount of Discount</v>
      </c>
    </row>
    <row r="8" spans="1:33">
      <c r="A8" s="25" t="s">
        <v>48</v>
      </c>
      <c r="B8" s="24"/>
      <c r="C8" s="24"/>
      <c r="D8" s="24"/>
      <c r="E8" s="24"/>
      <c r="F8" s="24"/>
      <c r="G8" s="24"/>
      <c r="H8" s="24"/>
      <c r="I8" s="33"/>
      <c r="AG8" s="11" t="s">
        <v>60</v>
      </c>
    </row>
    <row r="9" spans="1:33">
      <c r="A9" s="27" t="s">
        <v>49</v>
      </c>
      <c r="B9" s="24"/>
      <c r="C9" s="24"/>
      <c r="D9" s="24"/>
      <c r="E9" s="24"/>
      <c r="F9" s="24"/>
      <c r="G9" s="24"/>
      <c r="H9" s="24"/>
      <c r="I9" s="33"/>
      <c r="AG9" s="37" t="str">
        <f>DOLLAR($E$22)&amp;" - "&amp;DOLLAR($E$22*$F$22,2)&amp;" = Net Revenue = "&amp;DOLLAR($E$22-$E$22*$F$22,2)</f>
        <v>$527.40 - $131.85 = Net Revenue = $395.55</v>
      </c>
    </row>
    <row r="10" spans="1:33">
      <c r="A10" s="25" t="s">
        <v>50</v>
      </c>
      <c r="B10" s="24"/>
      <c r="C10" s="24"/>
      <c r="D10" s="24"/>
      <c r="E10" s="24"/>
      <c r="F10" s="24"/>
      <c r="G10" s="24"/>
      <c r="H10" s="24"/>
      <c r="I10" s="33"/>
      <c r="O10" s="1" t="s">
        <v>34</v>
      </c>
      <c r="AG10" s="11" t="s">
        <v>61</v>
      </c>
    </row>
    <row r="11" spans="1:33">
      <c r="A11" s="25" t="str">
        <f>""&amp;ROWS(A$11:A11)+3&amp;") In Cell "&amp;ADDRESS(ROW(RevenueTableAnswer[[#Headers],[Total Revenue]]),COLUMN(RevenueTableAnswer[[#Headers],[Total Revenue]]),4)&amp;" type the Column Name 'Discount on Total Revenue'"</f>
        <v>4) In Cell E19 type the Column Name 'Discount on Total Revenue'</v>
      </c>
      <c r="B11" s="24"/>
      <c r="C11" s="24"/>
      <c r="D11" s="24"/>
      <c r="E11" s="24"/>
      <c r="F11" s="24"/>
      <c r="G11" s="24"/>
      <c r="H11" s="24"/>
      <c r="I11" s="33"/>
      <c r="AG11" s="37" t="str">
        <f>DOLLAR($E$22)&amp;" * (1 - "&amp;$F$22&amp;") = "&amp;" = Net Revenue = "&amp;DOLLAR($E$22-$E$22*$F$22,2)</f>
        <v>$527.40 * (1 - 0.25) =  = Net Revenue = $395.55</v>
      </c>
    </row>
    <row r="12" spans="1:9">
      <c r="A12" s="25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24"/>
      <c r="C12" s="24"/>
      <c r="D12" s="24"/>
      <c r="E12" s="24"/>
      <c r="F12" s="24"/>
      <c r="G12" s="24"/>
      <c r="H12" s="24"/>
      <c r="I12" s="33"/>
    </row>
    <row r="13" spans="1:19">
      <c r="A13" s="23" t="s">
        <v>51</v>
      </c>
      <c r="B13" s="24"/>
      <c r="C13" s="24"/>
      <c r="D13" s="24"/>
      <c r="E13" s="24"/>
      <c r="F13" s="24"/>
      <c r="G13" s="24"/>
      <c r="H13" s="24"/>
      <c r="I13" s="33"/>
      <c r="O13" s="30">
        <v>43042</v>
      </c>
      <c r="P13" t="s">
        <v>37</v>
      </c>
      <c r="Q13">
        <v>15</v>
      </c>
      <c r="R13">
        <v>22.95</v>
      </c>
      <c r="S13">
        <v>344.25</v>
      </c>
    </row>
    <row r="14" spans="1:19">
      <c r="A14" s="23"/>
      <c r="B14" s="24"/>
      <c r="C14" s="24"/>
      <c r="D14" s="24"/>
      <c r="E14" s="24"/>
      <c r="F14" s="24"/>
      <c r="G14" s="24"/>
      <c r="H14" s="24"/>
      <c r="I14" s="33"/>
      <c r="O14" s="30">
        <v>43040</v>
      </c>
      <c r="P14" t="s">
        <v>26</v>
      </c>
      <c r="Q14">
        <v>46</v>
      </c>
      <c r="R14">
        <v>22.95</v>
      </c>
      <c r="S14">
        <v>1055.7</v>
      </c>
    </row>
    <row r="15" spans="1:19">
      <c r="A15" s="28"/>
      <c r="B15" s="29"/>
      <c r="C15" s="29"/>
      <c r="D15" s="29"/>
      <c r="E15" s="29"/>
      <c r="F15" s="29"/>
      <c r="G15" s="29"/>
      <c r="H15" s="29"/>
      <c r="I15" s="34"/>
      <c r="O15" s="30">
        <v>43046</v>
      </c>
      <c r="P15" t="s">
        <v>37</v>
      </c>
      <c r="Q15">
        <v>17</v>
      </c>
      <c r="R15">
        <v>43.95</v>
      </c>
      <c r="S15">
        <v>747.15</v>
      </c>
    </row>
    <row r="17" spans="1:1">
      <c r="A17" s="1" t="s">
        <v>52</v>
      </c>
    </row>
    <row r="19" spans="1:11">
      <c r="A19" s="1" t="s">
        <v>31</v>
      </c>
      <c r="B19" s="1" t="s">
        <v>16</v>
      </c>
      <c r="C19" s="1" t="s">
        <v>35</v>
      </c>
      <c r="D19" s="1" t="s">
        <v>53</v>
      </c>
      <c r="E19" s="1" t="s">
        <v>54</v>
      </c>
      <c r="F19" s="1" t="s">
        <v>62</v>
      </c>
      <c r="G19" s="1" t="s">
        <v>56</v>
      </c>
      <c r="J19" s="1" t="s">
        <v>44</v>
      </c>
      <c r="K19" s="1" t="s">
        <v>45</v>
      </c>
    </row>
    <row r="20" spans="1:11">
      <c r="A20" s="30">
        <v>43045</v>
      </c>
      <c r="B20" t="s">
        <v>37</v>
      </c>
      <c r="C20">
        <v>190</v>
      </c>
      <c r="D20" s="31">
        <v>22.95</v>
      </c>
      <c r="E20" s="31">
        <v>4360.5</v>
      </c>
      <c r="F20">
        <f>VLOOKUP(RevenueTableAnswer[[#This Row],[Units Sold]],DiscountTableAnswer[],2)</f>
        <v>0.55</v>
      </c>
      <c r="G20">
        <f>ROUND((1-RevenueTableAnswer[[#This Row],[Discount on Total Revenue]])*RevenueTableAnswer[[#This Row],[Total Revenue]],2)</f>
        <v>1962.23</v>
      </c>
      <c r="J20">
        <v>0</v>
      </c>
      <c r="K20">
        <v>0</v>
      </c>
    </row>
    <row r="21" spans="1:11">
      <c r="A21" s="30">
        <v>43040</v>
      </c>
      <c r="B21" t="s">
        <v>37</v>
      </c>
      <c r="C21">
        <v>138</v>
      </c>
      <c r="D21" s="31">
        <v>22.95</v>
      </c>
      <c r="E21" s="31">
        <v>3167.1</v>
      </c>
      <c r="F21">
        <f>VLOOKUP(RevenueTableAnswer[[#This Row],[Units Sold]],DiscountTableAnswer[],2)</f>
        <v>0.4375</v>
      </c>
      <c r="G21">
        <f>ROUND((1-RevenueTableAnswer[[#This Row],[Discount on Total Revenue]])*RevenueTableAnswer[[#This Row],[Total Revenue]],2)</f>
        <v>1781.49</v>
      </c>
      <c r="J21">
        <v>12</v>
      </c>
      <c r="K21">
        <v>0.25</v>
      </c>
    </row>
    <row r="22" spans="1:11">
      <c r="A22" s="30">
        <v>43043</v>
      </c>
      <c r="B22" t="s">
        <v>26</v>
      </c>
      <c r="C22">
        <v>12</v>
      </c>
      <c r="D22" s="31">
        <v>43.95</v>
      </c>
      <c r="E22" s="31">
        <v>527.4</v>
      </c>
      <c r="F22">
        <f>VLOOKUP(RevenueTableAnswer[[#This Row],[Units Sold]],DiscountTableAnswer[],2)</f>
        <v>0.25</v>
      </c>
      <c r="G22">
        <f>ROUND((1-RevenueTableAnswer[[#This Row],[Discount on Total Revenue]])*RevenueTableAnswer[[#This Row],[Total Revenue]],2)</f>
        <v>395.55</v>
      </c>
      <c r="J22">
        <v>48</v>
      </c>
      <c r="K22">
        <v>0.375</v>
      </c>
    </row>
    <row r="23" spans="1:11">
      <c r="A23" s="30">
        <v>43041</v>
      </c>
      <c r="B23" t="s">
        <v>24</v>
      </c>
      <c r="C23">
        <v>45</v>
      </c>
      <c r="D23" s="31">
        <v>14.95</v>
      </c>
      <c r="E23" s="31">
        <v>672.75</v>
      </c>
      <c r="F23">
        <f>VLOOKUP(RevenueTableAnswer[[#This Row],[Units Sold]],DiscountTableAnswer[],2)</f>
        <v>0.25</v>
      </c>
      <c r="G23">
        <f>ROUND((1-RevenueTableAnswer[[#This Row],[Discount on Total Revenue]])*RevenueTableAnswer[[#This Row],[Total Revenue]],2)</f>
        <v>504.56</v>
      </c>
      <c r="J23">
        <v>96</v>
      </c>
      <c r="K23">
        <v>0.4375</v>
      </c>
    </row>
    <row r="24" spans="1:11">
      <c r="A24" s="30">
        <v>43043</v>
      </c>
      <c r="B24" t="s">
        <v>37</v>
      </c>
      <c r="C24">
        <v>187</v>
      </c>
      <c r="D24" s="31">
        <v>22.95</v>
      </c>
      <c r="E24" s="31">
        <v>4291.65</v>
      </c>
      <c r="F24">
        <f>VLOOKUP(RevenueTableAnswer[[#This Row],[Units Sold]],DiscountTableAnswer[],2)</f>
        <v>0.55</v>
      </c>
      <c r="G24">
        <f>ROUND((1-RevenueTableAnswer[[#This Row],[Discount on Total Revenue]])*RevenueTableAnswer[[#This Row],[Total Revenue]],2)</f>
        <v>1931.24</v>
      </c>
      <c r="J24">
        <v>144</v>
      </c>
      <c r="K24">
        <v>0.5</v>
      </c>
    </row>
    <row r="25" spans="1:11">
      <c r="A25" s="30">
        <v>43042</v>
      </c>
      <c r="B25" t="s">
        <v>24</v>
      </c>
      <c r="C25">
        <v>29</v>
      </c>
      <c r="D25" s="31">
        <v>14.95</v>
      </c>
      <c r="E25" s="31">
        <v>433.55</v>
      </c>
      <c r="F25">
        <f>VLOOKUP(RevenueTableAnswer[[#This Row],[Units Sold]],DiscountTableAnswer[],2)</f>
        <v>0.25</v>
      </c>
      <c r="G25">
        <f>ROUND((1-RevenueTableAnswer[[#This Row],[Discount on Total Revenue]])*RevenueTableAnswer[[#This Row],[Total Revenue]],2)</f>
        <v>325.16</v>
      </c>
      <c r="J25">
        <v>168</v>
      </c>
      <c r="K25">
        <v>0.55</v>
      </c>
    </row>
    <row r="26" spans="1:7">
      <c r="A26" s="30">
        <v>43046</v>
      </c>
      <c r="B26" t="s">
        <v>24</v>
      </c>
      <c r="C26">
        <v>106</v>
      </c>
      <c r="D26" s="31">
        <v>14.95</v>
      </c>
      <c r="E26" s="31">
        <v>1584.7</v>
      </c>
      <c r="F26">
        <f>VLOOKUP(RevenueTableAnswer[[#This Row],[Units Sold]],DiscountTableAnswer[],2)</f>
        <v>0.4375</v>
      </c>
      <c r="G26">
        <f>ROUND((1-RevenueTableAnswer[[#This Row],[Discount on Total Revenue]])*RevenueTableAnswer[[#This Row],[Total Revenue]],2)</f>
        <v>891.39</v>
      </c>
    </row>
    <row r="27" spans="1:7">
      <c r="A27" s="30">
        <v>43041</v>
      </c>
      <c r="B27" t="s">
        <v>37</v>
      </c>
      <c r="C27">
        <v>147</v>
      </c>
      <c r="D27" s="31">
        <v>22.95</v>
      </c>
      <c r="E27" s="31">
        <v>3373.65</v>
      </c>
      <c r="F27">
        <f>VLOOKUP(RevenueTableAnswer[[#This Row],[Units Sold]],DiscountTableAnswer[],2)</f>
        <v>0.5</v>
      </c>
      <c r="G27">
        <f>ROUND((1-RevenueTableAnswer[[#This Row],[Discount on Total Revenue]])*RevenueTableAnswer[[#This Row],[Total Revenue]],2)</f>
        <v>1686.83</v>
      </c>
    </row>
    <row r="28" spans="1:7">
      <c r="A28" s="30">
        <v>43043</v>
      </c>
      <c r="B28" t="s">
        <v>26</v>
      </c>
      <c r="C28">
        <v>143</v>
      </c>
      <c r="D28" s="31">
        <v>43.95</v>
      </c>
      <c r="E28" s="31">
        <v>6284.85</v>
      </c>
      <c r="F28">
        <f>VLOOKUP(RevenueTableAnswer[[#This Row],[Units Sold]],DiscountTableAnswer[],2)</f>
        <v>0.4375</v>
      </c>
      <c r="G28">
        <f>ROUND((1-RevenueTableAnswer[[#This Row],[Discount on Total Revenue]])*RevenueTableAnswer[[#This Row],[Total Revenue]],2)</f>
        <v>3535.23</v>
      </c>
    </row>
    <row r="29" spans="1:7">
      <c r="A29" s="30">
        <v>43044</v>
      </c>
      <c r="B29" t="s">
        <v>36</v>
      </c>
      <c r="C29">
        <v>33</v>
      </c>
      <c r="D29" s="31">
        <v>21.95</v>
      </c>
      <c r="E29" s="31">
        <v>724.35</v>
      </c>
      <c r="F29">
        <f>VLOOKUP(RevenueTableAnswer[[#This Row],[Units Sold]],DiscountTableAnswer[],2)</f>
        <v>0.25</v>
      </c>
      <c r="G29">
        <f>ROUND((1-RevenueTableAnswer[[#This Row],[Discount on Total Revenue]])*RevenueTableAnswer[[#This Row],[Total Revenue]],2)</f>
        <v>543.26</v>
      </c>
    </row>
    <row r="30" spans="1:7">
      <c r="A30" s="30">
        <v>43045</v>
      </c>
      <c r="B30" t="s">
        <v>36</v>
      </c>
      <c r="C30">
        <v>99</v>
      </c>
      <c r="D30" s="31">
        <v>21.95</v>
      </c>
      <c r="E30" s="31">
        <v>2173.05</v>
      </c>
      <c r="F30">
        <f>VLOOKUP(RevenueTableAnswer[[#This Row],[Units Sold]],DiscountTableAnswer[],2)</f>
        <v>0.4375</v>
      </c>
      <c r="G30">
        <f>ROUND((1-RevenueTableAnswer[[#This Row],[Discount on Total Revenue]])*RevenueTableAnswer[[#This Row],[Total Revenue]],2)</f>
        <v>1222.34</v>
      </c>
    </row>
    <row r="31" spans="1:7">
      <c r="A31" s="30">
        <v>43047</v>
      </c>
      <c r="B31" t="s">
        <v>37</v>
      </c>
      <c r="C31">
        <v>35</v>
      </c>
      <c r="D31" s="31">
        <v>22.95</v>
      </c>
      <c r="E31" s="31">
        <v>803.25</v>
      </c>
      <c r="F31">
        <f>VLOOKUP(RevenueTableAnswer[[#This Row],[Units Sold]],DiscountTableAnswer[],2)</f>
        <v>0.25</v>
      </c>
      <c r="G31">
        <f>ROUND((1-RevenueTableAnswer[[#This Row],[Discount on Total Revenue]])*RevenueTableAnswer[[#This Row],[Total Revenue]],2)</f>
        <v>602.44</v>
      </c>
    </row>
    <row r="32" spans="1:7">
      <c r="A32" s="30">
        <v>43045</v>
      </c>
      <c r="B32" t="s">
        <v>36</v>
      </c>
      <c r="C32">
        <v>21</v>
      </c>
      <c r="D32" s="31">
        <v>21.95</v>
      </c>
      <c r="E32" s="31">
        <v>460.95</v>
      </c>
      <c r="F32">
        <f>VLOOKUP(RevenueTableAnswer[[#This Row],[Units Sold]],DiscountTableAnswer[],2)</f>
        <v>0.25</v>
      </c>
      <c r="G32">
        <f>ROUND((1-RevenueTableAnswer[[#This Row],[Discount on Total Revenue]])*RevenueTableAnswer[[#This Row],[Total Revenue]],2)</f>
        <v>345.71</v>
      </c>
    </row>
    <row r="33" spans="1:7">
      <c r="A33" s="30">
        <v>43047</v>
      </c>
      <c r="B33" t="s">
        <v>26</v>
      </c>
      <c r="C33">
        <v>60</v>
      </c>
      <c r="D33" s="31">
        <v>43.95</v>
      </c>
      <c r="E33" s="31">
        <v>2637</v>
      </c>
      <c r="F33">
        <f>VLOOKUP(RevenueTableAnswer[[#This Row],[Units Sold]],DiscountTableAnswer[],2)</f>
        <v>0.375</v>
      </c>
      <c r="G33">
        <f>ROUND((1-RevenueTableAnswer[[#This Row],[Discount on Total Revenue]])*RevenueTableAnswer[[#This Row],[Total Revenue]],2)</f>
        <v>1648.13</v>
      </c>
    </row>
    <row r="34" spans="1:7">
      <c r="A34" s="30">
        <v>43045</v>
      </c>
      <c r="B34" t="s">
        <v>37</v>
      </c>
      <c r="C34">
        <v>132</v>
      </c>
      <c r="D34" s="31">
        <v>22.95</v>
      </c>
      <c r="E34" s="31">
        <v>3029.4</v>
      </c>
      <c r="F34">
        <f>VLOOKUP(RevenueTableAnswer[[#This Row],[Units Sold]],DiscountTableAnswer[],2)</f>
        <v>0.4375</v>
      </c>
      <c r="G34">
        <f>ROUND((1-RevenueTableAnswer[[#This Row],[Discount on Total Revenue]])*RevenueTableAnswer[[#This Row],[Total Revenue]],2)</f>
        <v>1704.04</v>
      </c>
    </row>
    <row r="35" spans="1:7">
      <c r="A35" s="30">
        <v>43047</v>
      </c>
      <c r="B35" t="s">
        <v>24</v>
      </c>
      <c r="C35">
        <v>156</v>
      </c>
      <c r="D35" s="31">
        <v>14.95</v>
      </c>
      <c r="E35" s="31">
        <v>2332.2</v>
      </c>
      <c r="F35">
        <f>VLOOKUP(RevenueTableAnswer[[#This Row],[Units Sold]],DiscountTableAnswer[],2)</f>
        <v>0.5</v>
      </c>
      <c r="G35">
        <f>ROUND((1-RevenueTableAnswer[[#This Row],[Discount on Total Revenue]])*RevenueTableAnswer[[#This Row],[Total Revenue]],2)</f>
        <v>1166.1</v>
      </c>
    </row>
    <row r="36" spans="1:7">
      <c r="A36" s="30">
        <v>43045</v>
      </c>
      <c r="B36" t="s">
        <v>24</v>
      </c>
      <c r="C36">
        <v>120</v>
      </c>
      <c r="D36" s="31">
        <v>14.95</v>
      </c>
      <c r="E36" s="31">
        <v>1794</v>
      </c>
      <c r="F36">
        <f>VLOOKUP(RevenueTableAnswer[[#This Row],[Units Sold]],DiscountTableAnswer[],2)</f>
        <v>0.4375</v>
      </c>
      <c r="G36">
        <f>ROUND((1-RevenueTableAnswer[[#This Row],[Discount on Total Revenue]])*RevenueTableAnswer[[#This Row],[Total Revenue]],2)</f>
        <v>1009.13</v>
      </c>
    </row>
    <row r="37" spans="1:7">
      <c r="A37" s="30">
        <v>43043</v>
      </c>
      <c r="B37" t="s">
        <v>36</v>
      </c>
      <c r="C37">
        <v>55</v>
      </c>
      <c r="D37" s="31">
        <v>21.95</v>
      </c>
      <c r="E37" s="31">
        <v>1207.25</v>
      </c>
      <c r="F37">
        <f>VLOOKUP(RevenueTableAnswer[[#This Row],[Units Sold]],DiscountTableAnswer[],2)</f>
        <v>0.375</v>
      </c>
      <c r="G37">
        <f>ROUND((1-RevenueTableAnswer[[#This Row],[Discount on Total Revenue]])*RevenueTableAnswer[[#This Row],[Total Revenue]],2)</f>
        <v>754.53</v>
      </c>
    </row>
    <row r="38" spans="1:7">
      <c r="A38" s="30">
        <v>43042</v>
      </c>
      <c r="B38" t="s">
        <v>36</v>
      </c>
      <c r="C38">
        <v>165</v>
      </c>
      <c r="D38" s="31">
        <v>21.95</v>
      </c>
      <c r="E38" s="31">
        <v>3621.75</v>
      </c>
      <c r="F38">
        <f>VLOOKUP(RevenueTableAnswer[[#This Row],[Units Sold]],DiscountTableAnswer[],2)</f>
        <v>0.5</v>
      </c>
      <c r="G38">
        <f>ROUND((1-RevenueTableAnswer[[#This Row],[Discount on Total Revenue]])*RevenueTableAnswer[[#This Row],[Total Revenue]],2)</f>
        <v>1810.88</v>
      </c>
    </row>
    <row r="39" spans="1:7">
      <c r="A39" s="30">
        <v>43046</v>
      </c>
      <c r="B39" t="s">
        <v>36</v>
      </c>
      <c r="C39">
        <v>124</v>
      </c>
      <c r="D39" s="31">
        <v>21.95</v>
      </c>
      <c r="E39" s="31">
        <v>2721.8</v>
      </c>
      <c r="F39">
        <f>VLOOKUP(RevenueTableAnswer[[#This Row],[Units Sold]],DiscountTableAnswer[],2)</f>
        <v>0.4375</v>
      </c>
      <c r="G39">
        <f>ROUND((1-RevenueTableAnswer[[#This Row],[Discount on Total Revenue]])*RevenueTableAnswer[[#This Row],[Total Revenue]],2)</f>
        <v>1531.01</v>
      </c>
    </row>
    <row r="40" spans="1:7">
      <c r="A40" s="30">
        <v>43046</v>
      </c>
      <c r="B40" t="s">
        <v>24</v>
      </c>
      <c r="C40">
        <v>155</v>
      </c>
      <c r="D40" s="31">
        <v>14.95</v>
      </c>
      <c r="E40" s="31">
        <v>2317.25</v>
      </c>
      <c r="F40">
        <f>VLOOKUP(RevenueTableAnswer[[#This Row],[Units Sold]],DiscountTableAnswer[],2)</f>
        <v>0.5</v>
      </c>
      <c r="G40">
        <f>ROUND((1-RevenueTableAnswer[[#This Row],[Discount on Total Revenue]])*RevenueTableAnswer[[#This Row],[Total Revenue]],2)</f>
        <v>1158.63</v>
      </c>
    </row>
    <row r="41" spans="1:7">
      <c r="A41" s="30">
        <v>43045</v>
      </c>
      <c r="B41" t="s">
        <v>37</v>
      </c>
      <c r="C41">
        <v>33</v>
      </c>
      <c r="D41" s="31">
        <v>22.95</v>
      </c>
      <c r="E41" s="31">
        <v>757.35</v>
      </c>
      <c r="F41">
        <f>VLOOKUP(RevenueTableAnswer[[#This Row],[Units Sold]],DiscountTableAnswer[],2)</f>
        <v>0.25</v>
      </c>
      <c r="G41">
        <f>ROUND((1-RevenueTableAnswer[[#This Row],[Discount on Total Revenue]])*RevenueTableAnswer[[#This Row],[Total Revenue]],2)</f>
        <v>568.01</v>
      </c>
    </row>
    <row r="42" spans="1:7">
      <c r="A42" s="30">
        <v>43047</v>
      </c>
      <c r="B42" t="s">
        <v>36</v>
      </c>
      <c r="C42">
        <v>76</v>
      </c>
      <c r="D42" s="31">
        <v>21.95</v>
      </c>
      <c r="E42" s="31">
        <v>1668.2</v>
      </c>
      <c r="F42">
        <f>VLOOKUP(RevenueTableAnswer[[#This Row],[Units Sold]],DiscountTableAnswer[],2)</f>
        <v>0.375</v>
      </c>
      <c r="G42">
        <f>ROUND((1-RevenueTableAnswer[[#This Row],[Discount on Total Revenue]])*RevenueTableAnswer[[#This Row],[Total Revenue]],2)</f>
        <v>1042.63</v>
      </c>
    </row>
    <row r="43" spans="1:7">
      <c r="A43" s="30">
        <v>43044</v>
      </c>
      <c r="B43" t="s">
        <v>36</v>
      </c>
      <c r="C43">
        <v>49</v>
      </c>
      <c r="D43" s="31">
        <v>21.95</v>
      </c>
      <c r="E43" s="31">
        <v>1075.55</v>
      </c>
      <c r="F43">
        <f>VLOOKUP(RevenueTableAnswer[[#This Row],[Units Sold]],DiscountTableAnswer[],2)</f>
        <v>0.375</v>
      </c>
      <c r="G43">
        <f>ROUND((1-RevenueTableAnswer[[#This Row],[Discount on Total Revenue]])*RevenueTableAnswer[[#This Row],[Total Revenue]],2)</f>
        <v>672.22</v>
      </c>
    </row>
    <row r="44" spans="1:7">
      <c r="A44" s="30">
        <v>43042</v>
      </c>
      <c r="B44" t="s">
        <v>24</v>
      </c>
      <c r="C44">
        <v>26</v>
      </c>
      <c r="D44" s="31">
        <v>14.95</v>
      </c>
      <c r="E44" s="31">
        <v>388.7</v>
      </c>
      <c r="F44">
        <f>VLOOKUP(RevenueTableAnswer[[#This Row],[Units Sold]],DiscountTableAnswer[],2)</f>
        <v>0.25</v>
      </c>
      <c r="G44">
        <f>ROUND((1-RevenueTableAnswer[[#This Row],[Discount on Total Revenue]])*RevenueTableAnswer[[#This Row],[Total Revenue]],2)</f>
        <v>291.53</v>
      </c>
    </row>
    <row r="45" spans="1:7">
      <c r="A45" s="30">
        <v>43041</v>
      </c>
      <c r="B45" t="s">
        <v>36</v>
      </c>
      <c r="C45">
        <v>30</v>
      </c>
      <c r="D45" s="31">
        <v>21.95</v>
      </c>
      <c r="E45" s="31">
        <v>658.5</v>
      </c>
      <c r="F45">
        <f>VLOOKUP(RevenueTableAnswer[[#This Row],[Units Sold]],DiscountTableAnswer[],2)</f>
        <v>0.25</v>
      </c>
      <c r="G45">
        <f>ROUND((1-RevenueTableAnswer[[#This Row],[Discount on Total Revenue]])*RevenueTableAnswer[[#This Row],[Total Revenue]],2)</f>
        <v>493.88</v>
      </c>
    </row>
    <row r="46" spans="1:7">
      <c r="A46" s="30">
        <v>43042</v>
      </c>
      <c r="B46" t="s">
        <v>26</v>
      </c>
      <c r="C46">
        <v>116</v>
      </c>
      <c r="D46" s="31">
        <v>43.95</v>
      </c>
      <c r="E46" s="31">
        <v>5098.2</v>
      </c>
      <c r="F46">
        <f>VLOOKUP(RevenueTableAnswer[[#This Row],[Units Sold]],DiscountTableAnswer[],2)</f>
        <v>0.4375</v>
      </c>
      <c r="G46">
        <f>ROUND((1-RevenueTableAnswer[[#This Row],[Discount on Total Revenue]])*RevenueTableAnswer[[#This Row],[Total Revenue]],2)</f>
        <v>2867.74</v>
      </c>
    </row>
    <row r="47" spans="1:7">
      <c r="A47" s="30">
        <v>43041</v>
      </c>
      <c r="B47" t="s">
        <v>37</v>
      </c>
      <c r="C47">
        <v>45</v>
      </c>
      <c r="D47" s="31">
        <v>22.95</v>
      </c>
      <c r="E47" s="31">
        <v>1032.75</v>
      </c>
      <c r="F47">
        <f>VLOOKUP(RevenueTableAnswer[[#This Row],[Units Sold]],DiscountTableAnswer[],2)</f>
        <v>0.25</v>
      </c>
      <c r="G47">
        <f>ROUND((1-RevenueTableAnswer[[#This Row],[Discount on Total Revenue]])*RevenueTableAnswer[[#This Row],[Total Revenue]],2)</f>
        <v>774.56</v>
      </c>
    </row>
    <row r="48" spans="1:7">
      <c r="A48" s="30">
        <v>43041</v>
      </c>
      <c r="B48" t="s">
        <v>24</v>
      </c>
      <c r="C48">
        <v>47</v>
      </c>
      <c r="D48" s="31">
        <v>14.95</v>
      </c>
      <c r="E48" s="31">
        <v>702.65</v>
      </c>
      <c r="F48">
        <f>VLOOKUP(RevenueTableAnswer[[#This Row],[Units Sold]],DiscountTableAnswer[],2)</f>
        <v>0.25</v>
      </c>
      <c r="G48">
        <f>ROUND((1-RevenueTableAnswer[[#This Row],[Discount on Total Revenue]])*RevenueTableAnswer[[#This Row],[Total Revenue]],2)</f>
        <v>526.99</v>
      </c>
    </row>
    <row r="49" spans="1:7">
      <c r="A49" s="30">
        <v>43044</v>
      </c>
      <c r="B49" t="s">
        <v>26</v>
      </c>
      <c r="C49">
        <v>113</v>
      </c>
      <c r="D49" s="31">
        <v>43.95</v>
      </c>
      <c r="E49" s="31">
        <v>4966.35</v>
      </c>
      <c r="F49">
        <f>VLOOKUP(RevenueTableAnswer[[#This Row],[Units Sold]],DiscountTableAnswer[],2)</f>
        <v>0.4375</v>
      </c>
      <c r="G49">
        <f>ROUND((1-RevenueTableAnswer[[#This Row],[Discount on Total Revenue]])*RevenueTableAnswer[[#This Row],[Total Revenue]],2)</f>
        <v>2793.57</v>
      </c>
    </row>
    <row r="50" spans="1:7">
      <c r="A50" s="30">
        <v>43043</v>
      </c>
      <c r="B50" t="s">
        <v>26</v>
      </c>
      <c r="C50">
        <v>70</v>
      </c>
      <c r="D50" s="31">
        <v>43.95</v>
      </c>
      <c r="E50" s="31">
        <v>3076.5</v>
      </c>
      <c r="F50">
        <f>VLOOKUP(RevenueTableAnswer[[#This Row],[Units Sold]],DiscountTableAnswer[],2)</f>
        <v>0.375</v>
      </c>
      <c r="G50">
        <f>ROUND((1-RevenueTableAnswer[[#This Row],[Discount on Total Revenue]])*RevenueTableAnswer[[#This Row],[Total Revenue]],2)</f>
        <v>1922.81</v>
      </c>
    </row>
    <row r="51" spans="1:7">
      <c r="A51" s="30">
        <v>43043</v>
      </c>
      <c r="B51" t="s">
        <v>26</v>
      </c>
      <c r="C51">
        <v>173</v>
      </c>
      <c r="D51" s="31">
        <v>43.95</v>
      </c>
      <c r="E51" s="31">
        <v>7603.35</v>
      </c>
      <c r="F51">
        <f>VLOOKUP(RevenueTableAnswer[[#This Row],[Units Sold]],DiscountTableAnswer[],2)</f>
        <v>0.55</v>
      </c>
      <c r="G51">
        <f>ROUND((1-RevenueTableAnswer[[#This Row],[Discount on Total Revenue]])*RevenueTableAnswer[[#This Row],[Total Revenue]],2)</f>
        <v>3421.51</v>
      </c>
    </row>
    <row r="52" spans="1:7">
      <c r="A52" s="30">
        <v>43044</v>
      </c>
      <c r="B52" t="s">
        <v>37</v>
      </c>
      <c r="C52">
        <v>54</v>
      </c>
      <c r="D52" s="31">
        <v>22.95</v>
      </c>
      <c r="E52" s="31">
        <v>1239.3</v>
      </c>
      <c r="F52">
        <f>VLOOKUP(RevenueTableAnswer[[#This Row],[Units Sold]],DiscountTableAnswer[],2)</f>
        <v>0.375</v>
      </c>
      <c r="G52">
        <f>ROUND((1-RevenueTableAnswer[[#This Row],[Discount on Total Revenue]])*RevenueTableAnswer[[#This Row],[Total Revenue]],2)</f>
        <v>774.56</v>
      </c>
    </row>
    <row r="53" spans="1:7">
      <c r="A53" s="30">
        <v>43041</v>
      </c>
      <c r="B53" t="s">
        <v>37</v>
      </c>
      <c r="C53">
        <v>122</v>
      </c>
      <c r="D53" s="31">
        <v>22.95</v>
      </c>
      <c r="E53" s="31">
        <v>2799.9</v>
      </c>
      <c r="F53">
        <f>VLOOKUP(RevenueTableAnswer[[#This Row],[Units Sold]],DiscountTableAnswer[],2)</f>
        <v>0.4375</v>
      </c>
      <c r="G53">
        <f>ROUND((1-RevenueTableAnswer[[#This Row],[Discount on Total Revenue]])*RevenueTableAnswer[[#This Row],[Total Revenue]],2)</f>
        <v>1574.94</v>
      </c>
    </row>
    <row r="54" spans="1:7">
      <c r="A54" s="30">
        <v>43040</v>
      </c>
      <c r="B54" t="s">
        <v>24</v>
      </c>
      <c r="C54">
        <v>3</v>
      </c>
      <c r="D54" s="31">
        <v>14.95</v>
      </c>
      <c r="E54" s="31">
        <v>44.85</v>
      </c>
      <c r="F54">
        <f>VLOOKUP(RevenueTableAnswer[[#This Row],[Units Sold]],DiscountTableAnswer[],2)</f>
        <v>0</v>
      </c>
      <c r="G54">
        <f>ROUND((1-RevenueTableAnswer[[#This Row],[Discount on Total Revenue]])*RevenueTableAnswer[[#This Row],[Total Revenue]],2)</f>
        <v>44.85</v>
      </c>
    </row>
    <row r="55" spans="1:7">
      <c r="A55" s="30">
        <v>43042</v>
      </c>
      <c r="B55" t="s">
        <v>36</v>
      </c>
      <c r="C55">
        <v>122</v>
      </c>
      <c r="D55" s="31">
        <v>21.95</v>
      </c>
      <c r="E55" s="31">
        <v>2677.9</v>
      </c>
      <c r="F55">
        <f>VLOOKUP(RevenueTableAnswer[[#This Row],[Units Sold]],DiscountTableAnswer[],2)</f>
        <v>0.4375</v>
      </c>
      <c r="G55">
        <f>ROUND((1-RevenueTableAnswer[[#This Row],[Discount on Total Revenue]])*RevenueTableAnswer[[#This Row],[Total Revenue]],2)</f>
        <v>1506.32</v>
      </c>
    </row>
    <row r="56" spans="1:7">
      <c r="A56" s="30">
        <v>43041</v>
      </c>
      <c r="B56" t="s">
        <v>36</v>
      </c>
      <c r="C56">
        <v>81</v>
      </c>
      <c r="D56" s="31">
        <v>21.95</v>
      </c>
      <c r="E56" s="31">
        <v>1777.95</v>
      </c>
      <c r="F56">
        <f>VLOOKUP(RevenueTableAnswer[[#This Row],[Units Sold]],DiscountTableAnswer[],2)</f>
        <v>0.375</v>
      </c>
      <c r="G56">
        <f>ROUND((1-RevenueTableAnswer[[#This Row],[Discount on Total Revenue]])*RevenueTableAnswer[[#This Row],[Total Revenue]],2)</f>
        <v>1111.22</v>
      </c>
    </row>
    <row r="57" spans="1:7">
      <c r="A57" s="30">
        <v>43045</v>
      </c>
      <c r="B57" t="s">
        <v>36</v>
      </c>
      <c r="C57">
        <v>21</v>
      </c>
      <c r="D57" s="31">
        <v>21.95</v>
      </c>
      <c r="E57" s="31">
        <v>460.95</v>
      </c>
      <c r="F57">
        <f>VLOOKUP(RevenueTableAnswer[[#This Row],[Units Sold]],DiscountTableAnswer[],2)</f>
        <v>0.25</v>
      </c>
      <c r="G57">
        <f>ROUND((1-RevenueTableAnswer[[#This Row],[Discount on Total Revenue]])*RevenueTableAnswer[[#This Row],[Total Revenue]],2)</f>
        <v>345.71</v>
      </c>
    </row>
    <row r="58" spans="1:7">
      <c r="A58" s="30">
        <v>43042</v>
      </c>
      <c r="B58" t="s">
        <v>37</v>
      </c>
      <c r="C58">
        <v>144</v>
      </c>
      <c r="D58" s="31">
        <v>22.95</v>
      </c>
      <c r="E58" s="31">
        <v>3304.8</v>
      </c>
      <c r="F58">
        <f>VLOOKUP(RevenueTableAnswer[[#This Row],[Units Sold]],DiscountTableAnswer[],2)</f>
        <v>0.5</v>
      </c>
      <c r="G58">
        <f>ROUND((1-RevenueTableAnswer[[#This Row],[Discount on Total Revenue]])*RevenueTableAnswer[[#This Row],[Total Revenue]],2)</f>
        <v>1652.4</v>
      </c>
    </row>
    <row r="59" spans="1:7">
      <c r="A59" s="30">
        <v>43046</v>
      </c>
      <c r="B59" t="s">
        <v>24</v>
      </c>
      <c r="C59">
        <v>139</v>
      </c>
      <c r="D59" s="31">
        <v>14.95</v>
      </c>
      <c r="E59" s="31">
        <v>2078.05</v>
      </c>
      <c r="F59">
        <f>VLOOKUP(RevenueTableAnswer[[#This Row],[Units Sold]],DiscountTableAnswer[],2)</f>
        <v>0.4375</v>
      </c>
      <c r="G59">
        <f>ROUND((1-RevenueTableAnswer[[#This Row],[Discount on Total Revenue]])*RevenueTableAnswer[[#This Row],[Total Revenue]],2)</f>
        <v>1168.9</v>
      </c>
    </row>
    <row r="60" spans="1:7">
      <c r="A60" s="30">
        <v>43042</v>
      </c>
      <c r="B60" t="s">
        <v>24</v>
      </c>
      <c r="C60">
        <v>105</v>
      </c>
      <c r="D60" s="31">
        <v>14.95</v>
      </c>
      <c r="E60" s="31">
        <v>1569.75</v>
      </c>
      <c r="F60">
        <f>VLOOKUP(RevenueTableAnswer[[#This Row],[Units Sold]],DiscountTableAnswer[],2)</f>
        <v>0.4375</v>
      </c>
      <c r="G60">
        <f>ROUND((1-RevenueTableAnswer[[#This Row],[Discount on Total Revenue]])*RevenueTableAnswer[[#This Row],[Total Revenue]],2)</f>
        <v>882.98</v>
      </c>
    </row>
    <row r="61" spans="1:7">
      <c r="A61" s="30">
        <v>43043</v>
      </c>
      <c r="B61" t="s">
        <v>37</v>
      </c>
      <c r="C61">
        <v>14</v>
      </c>
      <c r="D61" s="31">
        <v>22.95</v>
      </c>
      <c r="E61" s="31">
        <v>321.3</v>
      </c>
      <c r="F61">
        <f>VLOOKUP(RevenueTableAnswer[[#This Row],[Units Sold]],DiscountTableAnswer[],2)</f>
        <v>0.25</v>
      </c>
      <c r="G61">
        <f>ROUND((1-RevenueTableAnswer[[#This Row],[Discount on Total Revenue]])*RevenueTableAnswer[[#This Row],[Total Revenue]],2)</f>
        <v>240.98</v>
      </c>
    </row>
    <row r="62" spans="1:7">
      <c r="A62" s="30">
        <v>43043</v>
      </c>
      <c r="B62" t="s">
        <v>37</v>
      </c>
      <c r="C62">
        <v>95</v>
      </c>
      <c r="D62" s="31">
        <v>22.95</v>
      </c>
      <c r="E62" s="31">
        <v>2180.25</v>
      </c>
      <c r="F62">
        <f>VLOOKUP(RevenueTableAnswer[[#This Row],[Units Sold]],DiscountTableAnswer[],2)</f>
        <v>0.375</v>
      </c>
      <c r="G62">
        <f>ROUND((1-RevenueTableAnswer[[#This Row],[Discount on Total Revenue]])*RevenueTableAnswer[[#This Row],[Total Revenue]],2)</f>
        <v>1362.66</v>
      </c>
    </row>
    <row r="63" spans="1:7">
      <c r="A63" s="30">
        <v>43042</v>
      </c>
      <c r="B63" t="s">
        <v>26</v>
      </c>
      <c r="C63">
        <v>142</v>
      </c>
      <c r="D63" s="31">
        <v>43.95</v>
      </c>
      <c r="E63" s="31">
        <v>6240.9</v>
      </c>
      <c r="F63">
        <f>VLOOKUP(RevenueTableAnswer[[#This Row],[Units Sold]],DiscountTableAnswer[],2)</f>
        <v>0.4375</v>
      </c>
      <c r="G63">
        <f>ROUND((1-RevenueTableAnswer[[#This Row],[Discount on Total Revenue]])*RevenueTableAnswer[[#This Row],[Total Revenue]],2)</f>
        <v>3510.51</v>
      </c>
    </row>
    <row r="64" spans="1:7">
      <c r="A64" s="30">
        <v>43040</v>
      </c>
      <c r="B64" t="s">
        <v>24</v>
      </c>
      <c r="C64">
        <v>150</v>
      </c>
      <c r="D64" s="31">
        <v>14.95</v>
      </c>
      <c r="E64" s="31">
        <v>2242.5</v>
      </c>
      <c r="F64">
        <f>VLOOKUP(RevenueTableAnswer[[#This Row],[Units Sold]],DiscountTableAnswer[],2)</f>
        <v>0.5</v>
      </c>
      <c r="G64">
        <f>ROUND((1-RevenueTableAnswer[[#This Row],[Discount on Total Revenue]])*RevenueTableAnswer[[#This Row],[Total Revenue]],2)</f>
        <v>1121.25</v>
      </c>
    </row>
    <row r="65" spans="1:7">
      <c r="A65" s="30">
        <v>43045</v>
      </c>
      <c r="B65" t="s">
        <v>36</v>
      </c>
      <c r="C65">
        <v>79</v>
      </c>
      <c r="D65" s="31">
        <v>21.95</v>
      </c>
      <c r="E65" s="31">
        <v>1734.05</v>
      </c>
      <c r="F65">
        <f>VLOOKUP(RevenueTableAnswer[[#This Row],[Units Sold]],DiscountTableAnswer[],2)</f>
        <v>0.375</v>
      </c>
      <c r="G65">
        <f>ROUND((1-RevenueTableAnswer[[#This Row],[Discount on Total Revenue]])*RevenueTableAnswer[[#This Row],[Total Revenue]],2)</f>
        <v>1083.78</v>
      </c>
    </row>
    <row r="66" spans="1:7">
      <c r="A66" s="30">
        <v>43040</v>
      </c>
      <c r="B66" t="s">
        <v>24</v>
      </c>
      <c r="C66">
        <v>57</v>
      </c>
      <c r="D66" s="31">
        <v>14.95</v>
      </c>
      <c r="E66" s="31">
        <v>852.15</v>
      </c>
      <c r="F66">
        <f>VLOOKUP(RevenueTableAnswer[[#This Row],[Units Sold]],DiscountTableAnswer[],2)</f>
        <v>0.375</v>
      </c>
      <c r="G66">
        <f>ROUND((1-RevenueTableAnswer[[#This Row],[Discount on Total Revenue]])*RevenueTableAnswer[[#This Row],[Total Revenue]],2)</f>
        <v>532.59</v>
      </c>
    </row>
    <row r="67" spans="1:7">
      <c r="A67" s="30">
        <v>43043</v>
      </c>
      <c r="B67" t="s">
        <v>24</v>
      </c>
      <c r="C67">
        <v>62</v>
      </c>
      <c r="D67" s="31">
        <v>14.95</v>
      </c>
      <c r="E67" s="31">
        <v>926.9</v>
      </c>
      <c r="F67">
        <f>VLOOKUP(RevenueTableAnswer[[#This Row],[Units Sold]],DiscountTableAnswer[],2)</f>
        <v>0.375</v>
      </c>
      <c r="G67">
        <f>ROUND((1-RevenueTableAnswer[[#This Row],[Discount on Total Revenue]])*RevenueTableAnswer[[#This Row],[Total Revenue]],2)</f>
        <v>579.31</v>
      </c>
    </row>
    <row r="68" spans="1:7">
      <c r="A68" s="30">
        <v>43041</v>
      </c>
      <c r="B68" t="s">
        <v>24</v>
      </c>
      <c r="C68">
        <v>177</v>
      </c>
      <c r="D68" s="31">
        <v>14.95</v>
      </c>
      <c r="E68" s="31">
        <v>2646.15</v>
      </c>
      <c r="F68">
        <f>VLOOKUP(RevenueTableAnswer[[#This Row],[Units Sold]],DiscountTableAnswer[],2)</f>
        <v>0.55</v>
      </c>
      <c r="G68">
        <f>ROUND((1-RevenueTableAnswer[[#This Row],[Discount on Total Revenue]])*RevenueTableAnswer[[#This Row],[Total Revenue]],2)</f>
        <v>1190.77</v>
      </c>
    </row>
    <row r="69" spans="1:7">
      <c r="A69" s="30">
        <v>43044</v>
      </c>
      <c r="B69" t="s">
        <v>37</v>
      </c>
      <c r="C69">
        <v>165</v>
      </c>
      <c r="D69" s="31">
        <v>22.95</v>
      </c>
      <c r="E69" s="31">
        <v>3786.75</v>
      </c>
      <c r="F69">
        <f>VLOOKUP(RevenueTableAnswer[[#This Row],[Units Sold]],DiscountTableAnswer[],2)</f>
        <v>0.5</v>
      </c>
      <c r="G69">
        <f>ROUND((1-RevenueTableAnswer[[#This Row],[Discount on Total Revenue]])*RevenueTableAnswer[[#This Row],[Total Revenue]],2)</f>
        <v>1893.38</v>
      </c>
    </row>
    <row r="70" spans="1:7">
      <c r="A70" s="30">
        <v>43041</v>
      </c>
      <c r="B70" t="s">
        <v>36</v>
      </c>
      <c r="C70">
        <v>37</v>
      </c>
      <c r="D70" s="31">
        <v>21.95</v>
      </c>
      <c r="E70" s="31">
        <v>812.15</v>
      </c>
      <c r="F70">
        <f>VLOOKUP(RevenueTableAnswer[[#This Row],[Units Sold]],DiscountTableAnswer[],2)</f>
        <v>0.25</v>
      </c>
      <c r="G70">
        <f>ROUND((1-RevenueTableAnswer[[#This Row],[Discount on Total Revenue]])*RevenueTableAnswer[[#This Row],[Total Revenue]],2)</f>
        <v>609.11</v>
      </c>
    </row>
    <row r="71" spans="1:7">
      <c r="A71" s="30">
        <v>43044</v>
      </c>
      <c r="B71" t="s">
        <v>36</v>
      </c>
      <c r="C71">
        <v>181</v>
      </c>
      <c r="D71" s="31">
        <v>21.95</v>
      </c>
      <c r="E71" s="31">
        <v>3972.95</v>
      </c>
      <c r="F71">
        <f>VLOOKUP(RevenueTableAnswer[[#This Row],[Units Sold]],DiscountTableAnswer[],2)</f>
        <v>0.55</v>
      </c>
      <c r="G71">
        <f>ROUND((1-RevenueTableAnswer[[#This Row],[Discount on Total Revenue]])*RevenueTableAnswer[[#This Row],[Total Revenue]],2)</f>
        <v>1787.83</v>
      </c>
    </row>
    <row r="72" spans="1:7">
      <c r="A72" s="30">
        <v>43043</v>
      </c>
      <c r="B72" t="s">
        <v>36</v>
      </c>
      <c r="C72">
        <v>148</v>
      </c>
      <c r="D72" s="31">
        <v>21.95</v>
      </c>
      <c r="E72" s="31">
        <v>3248.6</v>
      </c>
      <c r="F72">
        <f>VLOOKUP(RevenueTableAnswer[[#This Row],[Units Sold]],DiscountTableAnswer[],2)</f>
        <v>0.5</v>
      </c>
      <c r="G72">
        <f>ROUND((1-RevenueTableAnswer[[#This Row],[Discount on Total Revenue]])*RevenueTableAnswer[[#This Row],[Total Revenue]],2)</f>
        <v>1624.3</v>
      </c>
    </row>
    <row r="73" spans="1:7">
      <c r="A73" s="30">
        <v>43047</v>
      </c>
      <c r="B73" t="s">
        <v>37</v>
      </c>
      <c r="C73">
        <v>132</v>
      </c>
      <c r="D73" s="31">
        <v>22.95</v>
      </c>
      <c r="E73" s="31">
        <v>3029.4</v>
      </c>
      <c r="F73">
        <f>VLOOKUP(RevenueTableAnswer[[#This Row],[Units Sold]],DiscountTableAnswer[],2)</f>
        <v>0.4375</v>
      </c>
      <c r="G73">
        <f>ROUND((1-RevenueTableAnswer[[#This Row],[Discount on Total Revenue]])*RevenueTableAnswer[[#This Row],[Total Revenue]],2)</f>
        <v>1704.04</v>
      </c>
    </row>
    <row r="74" spans="1:7">
      <c r="A74" s="30">
        <v>43045</v>
      </c>
      <c r="B74" t="s">
        <v>24</v>
      </c>
      <c r="C74">
        <v>3</v>
      </c>
      <c r="D74" s="31">
        <v>14.95</v>
      </c>
      <c r="E74" s="31">
        <v>44.85</v>
      </c>
      <c r="F74">
        <f>VLOOKUP(RevenueTableAnswer[[#This Row],[Units Sold]],DiscountTableAnswer[],2)</f>
        <v>0</v>
      </c>
      <c r="G74">
        <f>ROUND((1-RevenueTableAnswer[[#This Row],[Discount on Total Revenue]])*RevenueTableAnswer[[#This Row],[Total Revenue]],2)</f>
        <v>44.85</v>
      </c>
    </row>
    <row r="75" spans="1:7">
      <c r="A75" s="30">
        <v>43040</v>
      </c>
      <c r="B75" t="s">
        <v>24</v>
      </c>
      <c r="C75">
        <v>121</v>
      </c>
      <c r="D75" s="31">
        <v>14.95</v>
      </c>
      <c r="E75" s="31">
        <v>1808.95</v>
      </c>
      <c r="F75">
        <f>VLOOKUP(RevenueTableAnswer[[#This Row],[Units Sold]],DiscountTableAnswer[],2)</f>
        <v>0.4375</v>
      </c>
      <c r="G75">
        <f>ROUND((1-RevenueTableAnswer[[#This Row],[Discount on Total Revenue]])*RevenueTableAnswer[[#This Row],[Total Revenue]],2)</f>
        <v>1017.53</v>
      </c>
    </row>
    <row r="76" spans="1:7">
      <c r="A76" s="30">
        <v>43047</v>
      </c>
      <c r="B76" t="s">
        <v>36</v>
      </c>
      <c r="C76">
        <v>104</v>
      </c>
      <c r="D76" s="31">
        <v>21.95</v>
      </c>
      <c r="E76" s="31">
        <v>2282.8</v>
      </c>
      <c r="F76">
        <f>VLOOKUP(RevenueTableAnswer[[#This Row],[Units Sold]],DiscountTableAnswer[],2)</f>
        <v>0.4375</v>
      </c>
      <c r="G76">
        <f>ROUND((1-RevenueTableAnswer[[#This Row],[Discount on Total Revenue]])*RevenueTableAnswer[[#This Row],[Total Revenue]],2)</f>
        <v>1284.08</v>
      </c>
    </row>
    <row r="77" spans="1:7">
      <c r="A77" s="30">
        <v>43047</v>
      </c>
      <c r="B77" t="s">
        <v>36</v>
      </c>
      <c r="C77">
        <v>155</v>
      </c>
      <c r="D77" s="31">
        <v>21.95</v>
      </c>
      <c r="E77" s="31">
        <v>3402.25</v>
      </c>
      <c r="F77">
        <f>VLOOKUP(RevenueTableAnswer[[#This Row],[Units Sold]],DiscountTableAnswer[],2)</f>
        <v>0.5</v>
      </c>
      <c r="G77">
        <f>ROUND((1-RevenueTableAnswer[[#This Row],[Discount on Total Revenue]])*RevenueTableAnswer[[#This Row],[Total Revenue]],2)</f>
        <v>1701.13</v>
      </c>
    </row>
    <row r="78" spans="1:7">
      <c r="A78" s="30">
        <v>43045</v>
      </c>
      <c r="B78" t="s">
        <v>24</v>
      </c>
      <c r="C78">
        <v>129</v>
      </c>
      <c r="D78" s="31">
        <v>14.95</v>
      </c>
      <c r="E78" s="31">
        <v>1928.55</v>
      </c>
      <c r="F78">
        <f>VLOOKUP(RevenueTableAnswer[[#This Row],[Units Sold]],DiscountTableAnswer[],2)</f>
        <v>0.4375</v>
      </c>
      <c r="G78">
        <f>ROUND((1-RevenueTableAnswer[[#This Row],[Discount on Total Revenue]])*RevenueTableAnswer[[#This Row],[Total Revenue]],2)</f>
        <v>1084.81</v>
      </c>
    </row>
    <row r="79" spans="1:7">
      <c r="A79" s="30">
        <v>43040</v>
      </c>
      <c r="B79" t="s">
        <v>24</v>
      </c>
      <c r="C79">
        <v>72</v>
      </c>
      <c r="D79" s="31">
        <v>14.95</v>
      </c>
      <c r="E79" s="31">
        <v>1076.4</v>
      </c>
      <c r="F79">
        <f>VLOOKUP(RevenueTableAnswer[[#This Row],[Units Sold]],DiscountTableAnswer[],2)</f>
        <v>0.375</v>
      </c>
      <c r="G79">
        <f>ROUND((1-RevenueTableAnswer[[#This Row],[Discount on Total Revenue]])*RevenueTableAnswer[[#This Row],[Total Revenue]],2)</f>
        <v>672.75</v>
      </c>
    </row>
    <row r="80" spans="1:7">
      <c r="A80" s="30">
        <v>43044</v>
      </c>
      <c r="B80" t="s">
        <v>26</v>
      </c>
      <c r="C80">
        <v>164</v>
      </c>
      <c r="D80" s="31">
        <v>43.95</v>
      </c>
      <c r="E80" s="31">
        <v>7207.8</v>
      </c>
      <c r="F80">
        <f>VLOOKUP(RevenueTableAnswer[[#This Row],[Units Sold]],DiscountTableAnswer[],2)</f>
        <v>0.5</v>
      </c>
      <c r="G80">
        <f>ROUND((1-RevenueTableAnswer[[#This Row],[Discount on Total Revenue]])*RevenueTableAnswer[[#This Row],[Total Revenue]],2)</f>
        <v>3603.9</v>
      </c>
    </row>
    <row r="81" spans="1:7">
      <c r="A81" s="30">
        <v>43042</v>
      </c>
      <c r="B81" t="s">
        <v>24</v>
      </c>
      <c r="C81">
        <v>6</v>
      </c>
      <c r="D81" s="31">
        <v>14.95</v>
      </c>
      <c r="E81" s="31">
        <v>89.7</v>
      </c>
      <c r="F81">
        <f>VLOOKUP(RevenueTableAnswer[[#This Row],[Units Sold]],DiscountTableAnswer[],2)</f>
        <v>0</v>
      </c>
      <c r="G81">
        <f>ROUND((1-RevenueTableAnswer[[#This Row],[Discount on Total Revenue]])*RevenueTableAnswer[[#This Row],[Total Revenue]],2)</f>
        <v>89.7</v>
      </c>
    </row>
    <row r="82" spans="1:7">
      <c r="A82" s="30">
        <v>43040</v>
      </c>
      <c r="B82" t="s">
        <v>36</v>
      </c>
      <c r="C82">
        <v>46</v>
      </c>
      <c r="D82" s="31">
        <v>21.95</v>
      </c>
      <c r="E82" s="31">
        <v>1009.7</v>
      </c>
      <c r="F82">
        <f>VLOOKUP(RevenueTableAnswer[[#This Row],[Units Sold]],DiscountTableAnswer[],2)</f>
        <v>0.25</v>
      </c>
      <c r="G82">
        <f>ROUND((1-RevenueTableAnswer[[#This Row],[Discount on Total Revenue]])*RevenueTableAnswer[[#This Row],[Total Revenue]],2)</f>
        <v>757.28</v>
      </c>
    </row>
    <row r="83" spans="1:7">
      <c r="A83" s="30">
        <v>43047</v>
      </c>
      <c r="B83" t="s">
        <v>24</v>
      </c>
      <c r="C83">
        <v>182</v>
      </c>
      <c r="D83" s="31">
        <v>14.95</v>
      </c>
      <c r="E83" s="31">
        <v>2720.9</v>
      </c>
      <c r="F83">
        <f>VLOOKUP(RevenueTableAnswer[[#This Row],[Units Sold]],DiscountTableAnswer[],2)</f>
        <v>0.55</v>
      </c>
      <c r="G83">
        <f>ROUND((1-RevenueTableAnswer[[#This Row],[Discount on Total Revenue]])*RevenueTableAnswer[[#This Row],[Total Revenue]],2)</f>
        <v>1224.41</v>
      </c>
    </row>
    <row r="84" spans="1:7">
      <c r="A84" s="30">
        <v>43041</v>
      </c>
      <c r="B84" t="s">
        <v>24</v>
      </c>
      <c r="C84">
        <v>11</v>
      </c>
      <c r="D84" s="31">
        <v>14.95</v>
      </c>
      <c r="E84" s="31">
        <v>164.45</v>
      </c>
      <c r="F84">
        <f>VLOOKUP(RevenueTableAnswer[[#This Row],[Units Sold]],DiscountTableAnswer[],2)</f>
        <v>0</v>
      </c>
      <c r="G84">
        <f>ROUND((1-RevenueTableAnswer[[#This Row],[Discount on Total Revenue]])*RevenueTableAnswer[[#This Row],[Total Revenue]],2)</f>
        <v>164.45</v>
      </c>
    </row>
    <row r="85" spans="1:7">
      <c r="A85" s="30">
        <v>43047</v>
      </c>
      <c r="B85" t="s">
        <v>26</v>
      </c>
      <c r="C85">
        <v>18</v>
      </c>
      <c r="D85" s="31">
        <v>43.95</v>
      </c>
      <c r="E85" s="31">
        <v>791.1</v>
      </c>
      <c r="F85">
        <f>VLOOKUP(RevenueTableAnswer[[#This Row],[Units Sold]],DiscountTableAnswer[],2)</f>
        <v>0.25</v>
      </c>
      <c r="G85">
        <f>ROUND((1-RevenueTableAnswer[[#This Row],[Discount on Total Revenue]])*RevenueTableAnswer[[#This Row],[Total Revenue]],2)</f>
        <v>593.33</v>
      </c>
    </row>
    <row r="86" spans="1:7">
      <c r="A86" s="30">
        <v>43045</v>
      </c>
      <c r="B86" t="s">
        <v>24</v>
      </c>
      <c r="C86">
        <v>152</v>
      </c>
      <c r="D86" s="31">
        <v>14.95</v>
      </c>
      <c r="E86" s="31">
        <v>2272.4</v>
      </c>
      <c r="F86">
        <f>VLOOKUP(RevenueTableAnswer[[#This Row],[Units Sold]],DiscountTableAnswer[],2)</f>
        <v>0.5</v>
      </c>
      <c r="G86">
        <f>ROUND((1-RevenueTableAnswer[[#This Row],[Discount on Total Revenue]])*RevenueTableAnswer[[#This Row],[Total Revenue]],2)</f>
        <v>1136.2</v>
      </c>
    </row>
    <row r="87" spans="1:7">
      <c r="A87" s="30">
        <v>43040</v>
      </c>
      <c r="B87" t="s">
        <v>36</v>
      </c>
      <c r="C87">
        <v>41</v>
      </c>
      <c r="D87" s="31">
        <v>21.95</v>
      </c>
      <c r="E87" s="31">
        <v>899.95</v>
      </c>
      <c r="F87">
        <f>VLOOKUP(RevenueTableAnswer[[#This Row],[Units Sold]],DiscountTableAnswer[],2)</f>
        <v>0.25</v>
      </c>
      <c r="G87">
        <f>ROUND((1-RevenueTableAnswer[[#This Row],[Discount on Total Revenue]])*RevenueTableAnswer[[#This Row],[Total Revenue]],2)</f>
        <v>674.96</v>
      </c>
    </row>
    <row r="88" spans="1:7">
      <c r="A88" s="30">
        <v>43045</v>
      </c>
      <c r="B88" t="s">
        <v>24</v>
      </c>
      <c r="C88">
        <v>11</v>
      </c>
      <c r="D88" s="31">
        <v>14.95</v>
      </c>
      <c r="E88" s="31">
        <v>164.45</v>
      </c>
      <c r="F88">
        <f>VLOOKUP(RevenueTableAnswer[[#This Row],[Units Sold]],DiscountTableAnswer[],2)</f>
        <v>0</v>
      </c>
      <c r="G88">
        <f>ROUND((1-RevenueTableAnswer[[#This Row],[Discount on Total Revenue]])*RevenueTableAnswer[[#This Row],[Total Revenue]],2)</f>
        <v>164.45</v>
      </c>
    </row>
    <row r="89" spans="1:7">
      <c r="A89" s="30">
        <v>43047</v>
      </c>
      <c r="B89" t="s">
        <v>24</v>
      </c>
      <c r="C89">
        <v>148</v>
      </c>
      <c r="D89" s="31">
        <v>14.95</v>
      </c>
      <c r="E89" s="31">
        <v>2212.6</v>
      </c>
      <c r="F89">
        <f>VLOOKUP(RevenueTableAnswer[[#This Row],[Units Sold]],DiscountTableAnswer[],2)</f>
        <v>0.5</v>
      </c>
      <c r="G89">
        <f>ROUND((1-RevenueTableAnswer[[#This Row],[Discount on Total Revenue]])*RevenueTableAnswer[[#This Row],[Total Revenue]],2)</f>
        <v>1106.3</v>
      </c>
    </row>
    <row r="90" spans="1:7">
      <c r="A90" s="30">
        <v>43044</v>
      </c>
      <c r="B90" t="s">
        <v>24</v>
      </c>
      <c r="C90">
        <v>154</v>
      </c>
      <c r="D90" s="31">
        <v>14.95</v>
      </c>
      <c r="E90" s="31">
        <v>2302.3</v>
      </c>
      <c r="F90">
        <f>VLOOKUP(RevenueTableAnswer[[#This Row],[Units Sold]],DiscountTableAnswer[],2)</f>
        <v>0.5</v>
      </c>
      <c r="G90">
        <f>ROUND((1-RevenueTableAnswer[[#This Row],[Discount on Total Revenue]])*RevenueTableAnswer[[#This Row],[Total Revenue]],2)</f>
        <v>1151.15</v>
      </c>
    </row>
    <row r="91" spans="1:7">
      <c r="A91" s="30">
        <v>43041</v>
      </c>
      <c r="B91" t="s">
        <v>36</v>
      </c>
      <c r="C91">
        <v>115</v>
      </c>
      <c r="D91" s="31">
        <v>21.95</v>
      </c>
      <c r="E91" s="31">
        <v>2524.25</v>
      </c>
      <c r="F91">
        <f>VLOOKUP(RevenueTableAnswer[[#This Row],[Units Sold]],DiscountTableAnswer[],2)</f>
        <v>0.4375</v>
      </c>
      <c r="G91">
        <f>ROUND((1-RevenueTableAnswer[[#This Row],[Discount on Total Revenue]])*RevenueTableAnswer[[#This Row],[Total Revenue]],2)</f>
        <v>1419.89</v>
      </c>
    </row>
    <row r="92" spans="1:7">
      <c r="A92" s="30">
        <v>43046</v>
      </c>
      <c r="B92" t="s">
        <v>26</v>
      </c>
      <c r="C92">
        <v>122</v>
      </c>
      <c r="D92" s="31">
        <v>43.95</v>
      </c>
      <c r="E92" s="31">
        <v>5361.9</v>
      </c>
      <c r="F92">
        <f>VLOOKUP(RevenueTableAnswer[[#This Row],[Units Sold]],DiscountTableAnswer[],2)</f>
        <v>0.4375</v>
      </c>
      <c r="G92">
        <f>ROUND((1-RevenueTableAnswer[[#This Row],[Discount on Total Revenue]])*RevenueTableAnswer[[#This Row],[Total Revenue]],2)</f>
        <v>3016.07</v>
      </c>
    </row>
    <row r="93" spans="1:7">
      <c r="A93" s="30">
        <v>43047</v>
      </c>
      <c r="B93" t="s">
        <v>24</v>
      </c>
      <c r="C93">
        <v>3</v>
      </c>
      <c r="D93" s="31">
        <v>14.95</v>
      </c>
      <c r="E93" s="31">
        <v>44.85</v>
      </c>
      <c r="F93">
        <f>VLOOKUP(RevenueTableAnswer[[#This Row],[Units Sold]],DiscountTableAnswer[],2)</f>
        <v>0</v>
      </c>
      <c r="G93">
        <f>ROUND((1-RevenueTableAnswer[[#This Row],[Discount on Total Revenue]])*RevenueTableAnswer[[#This Row],[Total Revenue]],2)</f>
        <v>44.85</v>
      </c>
    </row>
    <row r="94" spans="1:7">
      <c r="A94" s="30">
        <v>43046</v>
      </c>
      <c r="B94" t="s">
        <v>26</v>
      </c>
      <c r="C94">
        <v>26</v>
      </c>
      <c r="D94" s="31">
        <v>43.95</v>
      </c>
      <c r="E94" s="31">
        <v>1142.7</v>
      </c>
      <c r="F94">
        <f>VLOOKUP(RevenueTableAnswer[[#This Row],[Units Sold]],DiscountTableAnswer[],2)</f>
        <v>0.25</v>
      </c>
      <c r="G94">
        <f>ROUND((1-RevenueTableAnswer[[#This Row],[Discount on Total Revenue]])*RevenueTableAnswer[[#This Row],[Total Revenue]],2)</f>
        <v>857.03</v>
      </c>
    </row>
    <row r="95" spans="1:7">
      <c r="A95" s="30">
        <v>43043</v>
      </c>
      <c r="B95" t="s">
        <v>37</v>
      </c>
      <c r="C95">
        <v>162</v>
      </c>
      <c r="D95" s="31">
        <v>22.95</v>
      </c>
      <c r="E95" s="31">
        <v>3717.9</v>
      </c>
      <c r="F95">
        <f>VLOOKUP(RevenueTableAnswer[[#This Row],[Units Sold]],DiscountTableAnswer[],2)</f>
        <v>0.5</v>
      </c>
      <c r="G95">
        <f>ROUND((1-RevenueTableAnswer[[#This Row],[Discount on Total Revenue]])*RevenueTableAnswer[[#This Row],[Total Revenue]],2)</f>
        <v>1858.95</v>
      </c>
    </row>
    <row r="96" spans="1:7">
      <c r="A96" s="30">
        <v>43046</v>
      </c>
      <c r="B96" t="s">
        <v>26</v>
      </c>
      <c r="C96">
        <v>21</v>
      </c>
      <c r="D96" s="31">
        <v>43.95</v>
      </c>
      <c r="E96" s="31">
        <v>922.95</v>
      </c>
      <c r="F96">
        <f>VLOOKUP(RevenueTableAnswer[[#This Row],[Units Sold]],DiscountTableAnswer[],2)</f>
        <v>0.25</v>
      </c>
      <c r="G96">
        <f>ROUND((1-RevenueTableAnswer[[#This Row],[Discount on Total Revenue]])*RevenueTableAnswer[[#This Row],[Total Revenue]],2)</f>
        <v>692.21</v>
      </c>
    </row>
    <row r="97" spans="1:7">
      <c r="A97" s="30">
        <v>43042</v>
      </c>
      <c r="B97" t="s">
        <v>26</v>
      </c>
      <c r="C97">
        <v>42</v>
      </c>
      <c r="D97" s="31">
        <v>43.95</v>
      </c>
      <c r="E97" s="31">
        <v>1845.9</v>
      </c>
      <c r="F97">
        <f>VLOOKUP(RevenueTableAnswer[[#This Row],[Units Sold]],DiscountTableAnswer[],2)</f>
        <v>0.25</v>
      </c>
      <c r="G97">
        <f>ROUND((1-RevenueTableAnswer[[#This Row],[Discount on Total Revenue]])*RevenueTableAnswer[[#This Row],[Total Revenue]],2)</f>
        <v>1384.43</v>
      </c>
    </row>
    <row r="98" spans="1:7">
      <c r="A98" s="30">
        <v>43044</v>
      </c>
      <c r="B98" t="s">
        <v>37</v>
      </c>
      <c r="C98">
        <v>82</v>
      </c>
      <c r="D98" s="31">
        <v>22.95</v>
      </c>
      <c r="E98" s="31">
        <v>1881.9</v>
      </c>
      <c r="F98">
        <f>VLOOKUP(RevenueTableAnswer[[#This Row],[Units Sold]],DiscountTableAnswer[],2)</f>
        <v>0.375</v>
      </c>
      <c r="G98">
        <f>ROUND((1-RevenueTableAnswer[[#This Row],[Discount on Total Revenue]])*RevenueTableAnswer[[#This Row],[Total Revenue]],2)</f>
        <v>1176.19</v>
      </c>
    </row>
    <row r="99" spans="1:7">
      <c r="A99" s="30">
        <v>43046</v>
      </c>
      <c r="B99" t="s">
        <v>24</v>
      </c>
      <c r="C99">
        <v>78</v>
      </c>
      <c r="D99" s="31">
        <v>14.95</v>
      </c>
      <c r="E99" s="31">
        <v>1166.1</v>
      </c>
      <c r="F99">
        <f>VLOOKUP(RevenueTableAnswer[[#This Row],[Units Sold]],DiscountTableAnswer[],2)</f>
        <v>0.375</v>
      </c>
      <c r="G99">
        <f>ROUND((1-RevenueTableAnswer[[#This Row],[Discount on Total Revenue]])*RevenueTableAnswer[[#This Row],[Total Revenue]],2)</f>
        <v>728.81</v>
      </c>
    </row>
    <row r="100" spans="1:7">
      <c r="A100" s="30">
        <v>43047</v>
      </c>
      <c r="B100" t="s">
        <v>36</v>
      </c>
      <c r="C100">
        <v>127</v>
      </c>
      <c r="D100" s="31">
        <v>21.95</v>
      </c>
      <c r="E100" s="31">
        <v>2787.65</v>
      </c>
      <c r="F100">
        <f>VLOOKUP(RevenueTableAnswer[[#This Row],[Units Sold]],DiscountTableAnswer[],2)</f>
        <v>0.4375</v>
      </c>
      <c r="G100">
        <f>ROUND((1-RevenueTableAnswer[[#This Row],[Discount on Total Revenue]])*RevenueTableAnswer[[#This Row],[Total Revenue]],2)</f>
        <v>1568.05</v>
      </c>
    </row>
    <row r="101" spans="1:7">
      <c r="A101" s="30">
        <v>43040</v>
      </c>
      <c r="B101" t="s">
        <v>26</v>
      </c>
      <c r="C101">
        <v>64</v>
      </c>
      <c r="D101" s="31">
        <v>43.95</v>
      </c>
      <c r="E101" s="31">
        <v>2812.8</v>
      </c>
      <c r="F101">
        <f>VLOOKUP(RevenueTableAnswer[[#This Row],[Units Sold]],DiscountTableAnswer[],2)</f>
        <v>0.375</v>
      </c>
      <c r="G101">
        <f>ROUND((1-RevenueTableAnswer[[#This Row],[Discount on Total Revenue]])*RevenueTableAnswer[[#This Row],[Total Revenue]],2)</f>
        <v>1758</v>
      </c>
    </row>
    <row r="102" spans="1:7">
      <c r="A102" s="30">
        <v>43044</v>
      </c>
      <c r="B102" t="s">
        <v>26</v>
      </c>
      <c r="C102">
        <v>152</v>
      </c>
      <c r="D102" s="31">
        <v>43.95</v>
      </c>
      <c r="E102" s="31">
        <v>6680.4</v>
      </c>
      <c r="F102">
        <f>VLOOKUP(RevenueTableAnswer[[#This Row],[Units Sold]],DiscountTableAnswer[],2)</f>
        <v>0.5</v>
      </c>
      <c r="G102">
        <f>ROUND((1-RevenueTableAnswer[[#This Row],[Discount on Total Revenue]])*RevenueTableAnswer[[#This Row],[Total Revenue]],2)</f>
        <v>3340.2</v>
      </c>
    </row>
    <row r="103" spans="1:7">
      <c r="A103" s="30">
        <v>43042</v>
      </c>
      <c r="B103" t="s">
        <v>24</v>
      </c>
      <c r="C103">
        <v>53</v>
      </c>
      <c r="D103" s="31">
        <v>14.95</v>
      </c>
      <c r="E103" s="31">
        <v>792.35</v>
      </c>
      <c r="F103">
        <f>VLOOKUP(RevenueTableAnswer[[#This Row],[Units Sold]],DiscountTableAnswer[],2)</f>
        <v>0.375</v>
      </c>
      <c r="G103">
        <f>ROUND((1-RevenueTableAnswer[[#This Row],[Discount on Total Revenue]])*RevenueTableAnswer[[#This Row],[Total Revenue]],2)</f>
        <v>495.22</v>
      </c>
    </row>
    <row r="104" spans="1:7">
      <c r="A104" s="30">
        <v>43044</v>
      </c>
      <c r="B104" t="s">
        <v>26</v>
      </c>
      <c r="C104">
        <v>11</v>
      </c>
      <c r="D104" s="31">
        <v>43.95</v>
      </c>
      <c r="E104" s="31">
        <v>483.45</v>
      </c>
      <c r="F104">
        <f>VLOOKUP(RevenueTableAnswer[[#This Row],[Units Sold]],DiscountTableAnswer[],2)</f>
        <v>0</v>
      </c>
      <c r="G104">
        <f>ROUND((1-RevenueTableAnswer[[#This Row],[Discount on Total Revenue]])*RevenueTableAnswer[[#This Row],[Total Revenue]],2)</f>
        <v>483.45</v>
      </c>
    </row>
    <row r="105" spans="1:7">
      <c r="A105" s="30">
        <v>43043</v>
      </c>
      <c r="B105" t="s">
        <v>37</v>
      </c>
      <c r="C105">
        <v>170</v>
      </c>
      <c r="D105" s="31">
        <v>22.95</v>
      </c>
      <c r="E105" s="31">
        <v>3901.5</v>
      </c>
      <c r="F105">
        <f>VLOOKUP(RevenueTableAnswer[[#This Row],[Units Sold]],DiscountTableAnswer[],2)</f>
        <v>0.55</v>
      </c>
      <c r="G105">
        <f>ROUND((1-RevenueTableAnswer[[#This Row],[Discount on Total Revenue]])*RevenueTableAnswer[[#This Row],[Total Revenue]],2)</f>
        <v>1755.68</v>
      </c>
    </row>
    <row r="106" spans="1:7">
      <c r="A106" s="30">
        <v>43041</v>
      </c>
      <c r="B106" t="s">
        <v>24</v>
      </c>
      <c r="C106">
        <v>170</v>
      </c>
      <c r="D106" s="31">
        <v>14.95</v>
      </c>
      <c r="E106" s="31">
        <v>2541.5</v>
      </c>
      <c r="F106">
        <f>VLOOKUP(RevenueTableAnswer[[#This Row],[Units Sold]],DiscountTableAnswer[],2)</f>
        <v>0.55</v>
      </c>
      <c r="G106">
        <f>ROUND((1-RevenueTableAnswer[[#This Row],[Discount on Total Revenue]])*RevenueTableAnswer[[#This Row],[Total Revenue]],2)</f>
        <v>1143.68</v>
      </c>
    </row>
    <row r="107" spans="1:7">
      <c r="A107" s="30">
        <v>43047</v>
      </c>
      <c r="B107" t="s">
        <v>36</v>
      </c>
      <c r="C107">
        <v>31</v>
      </c>
      <c r="D107" s="31">
        <v>21.95</v>
      </c>
      <c r="E107" s="31">
        <v>680.45</v>
      </c>
      <c r="F107">
        <f>VLOOKUP(RevenueTableAnswer[[#This Row],[Units Sold]],DiscountTableAnswer[],2)</f>
        <v>0.25</v>
      </c>
      <c r="G107">
        <f>ROUND((1-RevenueTableAnswer[[#This Row],[Discount on Total Revenue]])*RevenueTableAnswer[[#This Row],[Total Revenue]],2)</f>
        <v>510.34</v>
      </c>
    </row>
    <row r="108" spans="1:7">
      <c r="A108" s="30">
        <v>43041</v>
      </c>
      <c r="B108" t="s">
        <v>26</v>
      </c>
      <c r="C108">
        <v>7</v>
      </c>
      <c r="D108" s="31">
        <v>43.95</v>
      </c>
      <c r="E108" s="31">
        <v>307.65</v>
      </c>
      <c r="F108">
        <f>VLOOKUP(RevenueTableAnswer[[#This Row],[Units Sold]],DiscountTableAnswer[],2)</f>
        <v>0</v>
      </c>
      <c r="G108">
        <f>ROUND((1-RevenueTableAnswer[[#This Row],[Discount on Total Revenue]])*RevenueTableAnswer[[#This Row],[Total Revenue]],2)</f>
        <v>307.65</v>
      </c>
    </row>
    <row r="109" spans="1:7">
      <c r="A109" s="30">
        <v>43046</v>
      </c>
      <c r="B109" t="s">
        <v>26</v>
      </c>
      <c r="C109">
        <v>175</v>
      </c>
      <c r="D109" s="31">
        <v>43.95</v>
      </c>
      <c r="E109" s="31">
        <v>7691.25</v>
      </c>
      <c r="F109">
        <f>VLOOKUP(RevenueTableAnswer[[#This Row],[Units Sold]],DiscountTableAnswer[],2)</f>
        <v>0.55</v>
      </c>
      <c r="G109">
        <f>ROUND((1-RevenueTableAnswer[[#This Row],[Discount on Total Revenue]])*RevenueTableAnswer[[#This Row],[Total Revenue]],2)</f>
        <v>3461.06</v>
      </c>
    </row>
    <row r="110" spans="1:7">
      <c r="A110" s="30">
        <v>43047</v>
      </c>
      <c r="B110" t="s">
        <v>36</v>
      </c>
      <c r="C110">
        <v>107</v>
      </c>
      <c r="D110" s="31">
        <v>21.95</v>
      </c>
      <c r="E110" s="31">
        <v>2348.65</v>
      </c>
      <c r="F110">
        <f>VLOOKUP(RevenueTableAnswer[[#This Row],[Units Sold]],DiscountTableAnswer[],2)</f>
        <v>0.4375</v>
      </c>
      <c r="G110">
        <f>ROUND((1-RevenueTableAnswer[[#This Row],[Discount on Total Revenue]])*RevenueTableAnswer[[#This Row],[Total Revenue]],2)</f>
        <v>1321.12</v>
      </c>
    </row>
    <row r="111" spans="1:7">
      <c r="A111" s="30">
        <v>43046</v>
      </c>
      <c r="B111" t="s">
        <v>24</v>
      </c>
      <c r="C111">
        <v>123</v>
      </c>
      <c r="D111" s="31">
        <v>14.95</v>
      </c>
      <c r="E111" s="31">
        <v>1838.85</v>
      </c>
      <c r="F111">
        <f>VLOOKUP(RevenueTableAnswer[[#This Row],[Units Sold]],DiscountTableAnswer[],2)</f>
        <v>0.4375</v>
      </c>
      <c r="G111">
        <f>ROUND((1-RevenueTableAnswer[[#This Row],[Discount on Total Revenue]])*RevenueTableAnswer[[#This Row],[Total Revenue]],2)</f>
        <v>1034.35</v>
      </c>
    </row>
    <row r="112" spans="1:7">
      <c r="A112" s="30">
        <v>43045</v>
      </c>
      <c r="B112" t="s">
        <v>24</v>
      </c>
      <c r="C112">
        <v>21</v>
      </c>
      <c r="D112" s="31">
        <v>14.95</v>
      </c>
      <c r="E112" s="31">
        <v>313.95</v>
      </c>
      <c r="F112">
        <f>VLOOKUP(RevenueTableAnswer[[#This Row],[Units Sold]],DiscountTableAnswer[],2)</f>
        <v>0.25</v>
      </c>
      <c r="G112">
        <f>ROUND((1-RevenueTableAnswer[[#This Row],[Discount on Total Revenue]])*RevenueTableAnswer[[#This Row],[Total Revenue]],2)</f>
        <v>235.46</v>
      </c>
    </row>
    <row r="113" spans="1:7">
      <c r="A113" s="30">
        <v>43040</v>
      </c>
      <c r="B113" t="s">
        <v>36</v>
      </c>
      <c r="C113">
        <v>8</v>
      </c>
      <c r="D113" s="31">
        <v>21.95</v>
      </c>
      <c r="E113" s="31">
        <v>175.6</v>
      </c>
      <c r="F113">
        <f>VLOOKUP(RevenueTableAnswer[[#This Row],[Units Sold]],DiscountTableAnswer[],2)</f>
        <v>0</v>
      </c>
      <c r="G113">
        <f>ROUND((1-RevenueTableAnswer[[#This Row],[Discount on Total Revenue]])*RevenueTableAnswer[[#This Row],[Total Revenue]],2)</f>
        <v>175.6</v>
      </c>
    </row>
    <row r="114" spans="1:7">
      <c r="A114" s="30">
        <v>43042</v>
      </c>
      <c r="B114" t="s">
        <v>37</v>
      </c>
      <c r="C114">
        <v>115</v>
      </c>
      <c r="D114" s="31">
        <v>22.95</v>
      </c>
      <c r="E114" s="31">
        <v>2639.25</v>
      </c>
      <c r="F114">
        <f>VLOOKUP(RevenueTableAnswer[[#This Row],[Units Sold]],DiscountTableAnswer[],2)</f>
        <v>0.4375</v>
      </c>
      <c r="G114">
        <f>ROUND((1-RevenueTableAnswer[[#This Row],[Discount on Total Revenue]])*RevenueTableAnswer[[#This Row],[Total Revenue]],2)</f>
        <v>1484.58</v>
      </c>
    </row>
    <row r="115" spans="1:7">
      <c r="A115" s="30">
        <v>43043</v>
      </c>
      <c r="B115" t="s">
        <v>24</v>
      </c>
      <c r="C115">
        <v>50</v>
      </c>
      <c r="D115" s="31">
        <v>14.95</v>
      </c>
      <c r="E115" s="31">
        <v>747.5</v>
      </c>
      <c r="F115">
        <f>VLOOKUP(RevenueTableAnswer[[#This Row],[Units Sold]],DiscountTableAnswer[],2)</f>
        <v>0.375</v>
      </c>
      <c r="G115">
        <f>ROUND((1-RevenueTableAnswer[[#This Row],[Discount on Total Revenue]])*RevenueTableAnswer[[#This Row],[Total Revenue]],2)</f>
        <v>467.19</v>
      </c>
    </row>
    <row r="116" spans="1:7">
      <c r="A116" s="30">
        <v>43047</v>
      </c>
      <c r="B116" t="s">
        <v>24</v>
      </c>
      <c r="C116">
        <v>121</v>
      </c>
      <c r="D116" s="31">
        <v>14.95</v>
      </c>
      <c r="E116" s="31">
        <v>1808.95</v>
      </c>
      <c r="F116">
        <f>VLOOKUP(RevenueTableAnswer[[#This Row],[Units Sold]],DiscountTableAnswer[],2)</f>
        <v>0.4375</v>
      </c>
      <c r="G116">
        <f>ROUND((1-RevenueTableAnswer[[#This Row],[Discount on Total Revenue]])*RevenueTableAnswer[[#This Row],[Total Revenue]],2)</f>
        <v>1017.53</v>
      </c>
    </row>
    <row r="117" spans="1:7">
      <c r="A117" s="30">
        <v>43041</v>
      </c>
      <c r="B117" t="s">
        <v>24</v>
      </c>
      <c r="C117">
        <v>35</v>
      </c>
      <c r="D117" s="31">
        <v>14.95</v>
      </c>
      <c r="E117" s="31">
        <v>523.25</v>
      </c>
      <c r="F117">
        <f>VLOOKUP(RevenueTableAnswer[[#This Row],[Units Sold]],DiscountTableAnswer[],2)</f>
        <v>0.25</v>
      </c>
      <c r="G117">
        <f>ROUND((1-RevenueTableAnswer[[#This Row],[Discount on Total Revenue]])*RevenueTableAnswer[[#This Row],[Total Revenue]],2)</f>
        <v>392.44</v>
      </c>
    </row>
    <row r="118" spans="1:7">
      <c r="A118" s="30">
        <v>43044</v>
      </c>
      <c r="B118" t="s">
        <v>37</v>
      </c>
      <c r="C118">
        <v>106</v>
      </c>
      <c r="D118" s="31">
        <v>22.95</v>
      </c>
      <c r="E118" s="31">
        <v>2432.7</v>
      </c>
      <c r="F118">
        <f>VLOOKUP(RevenueTableAnswer[[#This Row],[Units Sold]],DiscountTableAnswer[],2)</f>
        <v>0.4375</v>
      </c>
      <c r="G118">
        <f>ROUND((1-RevenueTableAnswer[[#This Row],[Discount on Total Revenue]])*RevenueTableAnswer[[#This Row],[Total Revenue]],2)</f>
        <v>1368.39</v>
      </c>
    </row>
    <row r="119" spans="1:7">
      <c r="A119" s="30">
        <v>43041</v>
      </c>
      <c r="B119" t="s">
        <v>24</v>
      </c>
      <c r="C119">
        <v>125</v>
      </c>
      <c r="D119" s="31">
        <v>14.95</v>
      </c>
      <c r="E119" s="31">
        <v>1868.75</v>
      </c>
      <c r="F119">
        <f>VLOOKUP(RevenueTableAnswer[[#This Row],[Units Sold]],DiscountTableAnswer[],2)</f>
        <v>0.4375</v>
      </c>
      <c r="G119">
        <f>ROUND((1-RevenueTableAnswer[[#This Row],[Discount on Total Revenue]])*RevenueTableAnswer[[#This Row],[Total Revenue]],2)</f>
        <v>1051.17</v>
      </c>
    </row>
    <row r="120" spans="1:7">
      <c r="A120" s="30">
        <v>43040</v>
      </c>
      <c r="B120" t="s">
        <v>24</v>
      </c>
      <c r="C120">
        <v>182</v>
      </c>
      <c r="D120" s="31">
        <v>14.95</v>
      </c>
      <c r="E120" s="31">
        <v>2720.9</v>
      </c>
      <c r="F120">
        <f>VLOOKUP(RevenueTableAnswer[[#This Row],[Units Sold]],DiscountTableAnswer[],2)</f>
        <v>0.55</v>
      </c>
      <c r="G120">
        <f>ROUND((1-RevenueTableAnswer[[#This Row],[Discount on Total Revenue]])*RevenueTableAnswer[[#This Row],[Total Revenue]],2)</f>
        <v>1224.41</v>
      </c>
    </row>
    <row r="121" spans="1:7">
      <c r="A121" s="30">
        <v>43046</v>
      </c>
      <c r="B121" t="s">
        <v>26</v>
      </c>
      <c r="C121">
        <v>98</v>
      </c>
      <c r="D121" s="31">
        <v>43.95</v>
      </c>
      <c r="E121" s="31">
        <v>4307.1</v>
      </c>
      <c r="F121">
        <f>VLOOKUP(RevenueTableAnswer[[#This Row],[Units Sold]],DiscountTableAnswer[],2)</f>
        <v>0.4375</v>
      </c>
      <c r="G121">
        <f>ROUND((1-RevenueTableAnswer[[#This Row],[Discount on Total Revenue]])*RevenueTableAnswer[[#This Row],[Total Revenue]],2)</f>
        <v>2422.74</v>
      </c>
    </row>
    <row r="122" spans="1:7">
      <c r="A122" s="30">
        <v>43042</v>
      </c>
      <c r="B122" t="s">
        <v>24</v>
      </c>
      <c r="C122">
        <v>80</v>
      </c>
      <c r="D122" s="31">
        <v>14.95</v>
      </c>
      <c r="E122" s="31">
        <v>1196</v>
      </c>
      <c r="F122">
        <f>VLOOKUP(RevenueTableAnswer[[#This Row],[Units Sold]],DiscountTableAnswer[],2)</f>
        <v>0.375</v>
      </c>
      <c r="G122">
        <f>ROUND((1-RevenueTableAnswer[[#This Row],[Discount on Total Revenue]])*RevenueTableAnswer[[#This Row],[Total Revenue]],2)</f>
        <v>747.5</v>
      </c>
    </row>
    <row r="123" spans="1:7">
      <c r="A123" s="30">
        <v>43044</v>
      </c>
      <c r="B123" t="s">
        <v>36</v>
      </c>
      <c r="C123">
        <v>18</v>
      </c>
      <c r="D123" s="31">
        <v>21.95</v>
      </c>
      <c r="E123" s="31">
        <v>395.1</v>
      </c>
      <c r="F123">
        <f>VLOOKUP(RevenueTableAnswer[[#This Row],[Units Sold]],DiscountTableAnswer[],2)</f>
        <v>0.25</v>
      </c>
      <c r="G123">
        <f>ROUND((1-RevenueTableAnswer[[#This Row],[Discount on Total Revenue]])*RevenueTableAnswer[[#This Row],[Total Revenue]],2)</f>
        <v>296.33</v>
      </c>
    </row>
    <row r="124" spans="1:7">
      <c r="A124" s="30">
        <v>43043</v>
      </c>
      <c r="B124" t="s">
        <v>24</v>
      </c>
      <c r="C124">
        <v>80</v>
      </c>
      <c r="D124" s="31">
        <v>14.95</v>
      </c>
      <c r="E124" s="31">
        <v>1196</v>
      </c>
      <c r="F124">
        <f>VLOOKUP(RevenueTableAnswer[[#This Row],[Units Sold]],DiscountTableAnswer[],2)</f>
        <v>0.375</v>
      </c>
      <c r="G124">
        <f>ROUND((1-RevenueTableAnswer[[#This Row],[Discount on Total Revenue]])*RevenueTableAnswer[[#This Row],[Total Revenue]],2)</f>
        <v>747.5</v>
      </c>
    </row>
    <row r="125" spans="1:7">
      <c r="A125" s="30">
        <v>43041</v>
      </c>
      <c r="B125" t="s">
        <v>37</v>
      </c>
      <c r="C125">
        <v>52</v>
      </c>
      <c r="D125" s="31">
        <v>22.95</v>
      </c>
      <c r="E125" s="31">
        <v>1193.4</v>
      </c>
      <c r="F125">
        <f>VLOOKUP(RevenueTableAnswer[[#This Row],[Units Sold]],DiscountTableAnswer[],2)</f>
        <v>0.375</v>
      </c>
      <c r="G125">
        <f>ROUND((1-RevenueTableAnswer[[#This Row],[Discount on Total Revenue]])*RevenueTableAnswer[[#This Row],[Total Revenue]],2)</f>
        <v>745.88</v>
      </c>
    </row>
    <row r="126" spans="1:7">
      <c r="A126" s="30">
        <v>43042</v>
      </c>
      <c r="B126" t="s">
        <v>26</v>
      </c>
      <c r="C126">
        <v>52</v>
      </c>
      <c r="D126" s="31">
        <v>43.95</v>
      </c>
      <c r="E126" s="31">
        <v>2285.4</v>
      </c>
      <c r="F126">
        <f>VLOOKUP(RevenueTableAnswer[[#This Row],[Units Sold]],DiscountTableAnswer[],2)</f>
        <v>0.375</v>
      </c>
      <c r="G126">
        <f>ROUND((1-RevenueTableAnswer[[#This Row],[Discount on Total Revenue]])*RevenueTableAnswer[[#This Row],[Total Revenue]],2)</f>
        <v>1428.38</v>
      </c>
    </row>
    <row r="127" spans="1:7">
      <c r="A127" s="30">
        <v>43045</v>
      </c>
      <c r="B127" t="s">
        <v>37</v>
      </c>
      <c r="C127">
        <v>119</v>
      </c>
      <c r="D127" s="31">
        <v>22.95</v>
      </c>
      <c r="E127" s="31">
        <v>2731.05</v>
      </c>
      <c r="F127">
        <f>VLOOKUP(RevenueTableAnswer[[#This Row],[Units Sold]],DiscountTableAnswer[],2)</f>
        <v>0.4375</v>
      </c>
      <c r="G127">
        <f>ROUND((1-RevenueTableAnswer[[#This Row],[Discount on Total Revenue]])*RevenueTableAnswer[[#This Row],[Total Revenue]],2)</f>
        <v>1536.22</v>
      </c>
    </row>
    <row r="128" spans="1:7">
      <c r="A128" s="30">
        <v>43047</v>
      </c>
      <c r="B128" t="s">
        <v>24</v>
      </c>
      <c r="C128">
        <v>129</v>
      </c>
      <c r="D128" s="31">
        <v>14.95</v>
      </c>
      <c r="E128" s="31">
        <v>1928.55</v>
      </c>
      <c r="F128">
        <f>VLOOKUP(RevenueTableAnswer[[#This Row],[Units Sold]],DiscountTableAnswer[],2)</f>
        <v>0.4375</v>
      </c>
      <c r="G128">
        <f>ROUND((1-RevenueTableAnswer[[#This Row],[Discount on Total Revenue]])*RevenueTableAnswer[[#This Row],[Total Revenue]],2)</f>
        <v>1084.81</v>
      </c>
    </row>
    <row r="129" spans="1:7">
      <c r="A129" s="30">
        <v>43047</v>
      </c>
      <c r="B129" t="s">
        <v>24</v>
      </c>
      <c r="C129">
        <v>141</v>
      </c>
      <c r="D129" s="31">
        <v>14.95</v>
      </c>
      <c r="E129" s="31">
        <v>2107.95</v>
      </c>
      <c r="F129">
        <f>VLOOKUP(RevenueTableAnswer[[#This Row],[Units Sold]],DiscountTableAnswer[],2)</f>
        <v>0.4375</v>
      </c>
      <c r="G129">
        <f>ROUND((1-RevenueTableAnswer[[#This Row],[Discount on Total Revenue]])*RevenueTableAnswer[[#This Row],[Total Revenue]],2)</f>
        <v>1185.72</v>
      </c>
    </row>
    <row r="130" spans="1:7">
      <c r="A130" s="30">
        <v>43047</v>
      </c>
      <c r="B130" t="s">
        <v>26</v>
      </c>
      <c r="C130">
        <v>95</v>
      </c>
      <c r="D130" s="31">
        <v>43.95</v>
      </c>
      <c r="E130" s="31">
        <v>4175.25</v>
      </c>
      <c r="F130">
        <f>VLOOKUP(RevenueTableAnswer[[#This Row],[Units Sold]],DiscountTableAnswer[],2)</f>
        <v>0.375</v>
      </c>
      <c r="G130">
        <f>ROUND((1-RevenueTableAnswer[[#This Row],[Discount on Total Revenue]])*RevenueTableAnswer[[#This Row],[Total Revenue]],2)</f>
        <v>2609.53</v>
      </c>
    </row>
    <row r="131" spans="1:7">
      <c r="A131" s="30">
        <v>43041</v>
      </c>
      <c r="B131" t="s">
        <v>37</v>
      </c>
      <c r="C131">
        <v>112</v>
      </c>
      <c r="D131" s="31">
        <v>22.95</v>
      </c>
      <c r="E131" s="31">
        <v>2570.4</v>
      </c>
      <c r="F131">
        <f>VLOOKUP(RevenueTableAnswer[[#This Row],[Units Sold]],DiscountTableAnswer[],2)</f>
        <v>0.4375</v>
      </c>
      <c r="G131">
        <f>ROUND((1-RevenueTableAnswer[[#This Row],[Discount on Total Revenue]])*RevenueTableAnswer[[#This Row],[Total Revenue]],2)</f>
        <v>1445.85</v>
      </c>
    </row>
    <row r="132" spans="1:7">
      <c r="A132" s="30">
        <v>43043</v>
      </c>
      <c r="B132" t="s">
        <v>26</v>
      </c>
      <c r="C132">
        <v>40</v>
      </c>
      <c r="D132" s="31">
        <v>43.95</v>
      </c>
      <c r="E132" s="31">
        <v>1758</v>
      </c>
      <c r="F132">
        <f>VLOOKUP(RevenueTableAnswer[[#This Row],[Units Sold]],DiscountTableAnswer[],2)</f>
        <v>0.25</v>
      </c>
      <c r="G132">
        <f>ROUND((1-RevenueTableAnswer[[#This Row],[Discount on Total Revenue]])*RevenueTableAnswer[[#This Row],[Total Revenue]],2)</f>
        <v>1318.5</v>
      </c>
    </row>
    <row r="133" spans="1:7">
      <c r="A133" s="30">
        <v>43044</v>
      </c>
      <c r="B133" t="s">
        <v>26</v>
      </c>
      <c r="C133">
        <v>160</v>
      </c>
      <c r="D133" s="31">
        <v>43.95</v>
      </c>
      <c r="E133" s="31">
        <v>7032</v>
      </c>
      <c r="F133">
        <f>VLOOKUP(RevenueTableAnswer[[#This Row],[Units Sold]],DiscountTableAnswer[],2)</f>
        <v>0.5</v>
      </c>
      <c r="G133">
        <f>ROUND((1-RevenueTableAnswer[[#This Row],[Discount on Total Revenue]])*RevenueTableAnswer[[#This Row],[Total Revenue]],2)</f>
        <v>3516</v>
      </c>
    </row>
    <row r="134" spans="1:7">
      <c r="A134" s="30">
        <v>43043</v>
      </c>
      <c r="B134" t="s">
        <v>24</v>
      </c>
      <c r="C134">
        <v>81</v>
      </c>
      <c r="D134" s="31">
        <v>14.95</v>
      </c>
      <c r="E134" s="31">
        <v>1210.95</v>
      </c>
      <c r="F134">
        <f>VLOOKUP(RevenueTableAnswer[[#This Row],[Units Sold]],DiscountTableAnswer[],2)</f>
        <v>0.375</v>
      </c>
      <c r="G134">
        <f>ROUND((1-RevenueTableAnswer[[#This Row],[Discount on Total Revenue]])*RevenueTableAnswer[[#This Row],[Total Revenue]],2)</f>
        <v>756.84</v>
      </c>
    </row>
    <row r="135" spans="1:7">
      <c r="A135" s="30">
        <v>43044</v>
      </c>
      <c r="B135" t="s">
        <v>26</v>
      </c>
      <c r="C135">
        <v>157</v>
      </c>
      <c r="D135" s="31">
        <v>43.95</v>
      </c>
      <c r="E135" s="31">
        <v>6900.15</v>
      </c>
      <c r="F135">
        <f>VLOOKUP(RevenueTableAnswer[[#This Row],[Units Sold]],DiscountTableAnswer[],2)</f>
        <v>0.5</v>
      </c>
      <c r="G135">
        <f>ROUND((1-RevenueTableAnswer[[#This Row],[Discount on Total Revenue]])*RevenueTableAnswer[[#This Row],[Total Revenue]],2)</f>
        <v>3450.08</v>
      </c>
    </row>
    <row r="136" spans="1:7">
      <c r="A136" s="30">
        <v>43046</v>
      </c>
      <c r="B136" t="s">
        <v>37</v>
      </c>
      <c r="C136">
        <v>12</v>
      </c>
      <c r="D136" s="31">
        <v>22.95</v>
      </c>
      <c r="E136" s="31">
        <v>275.4</v>
      </c>
      <c r="F136">
        <f>VLOOKUP(RevenueTableAnswer[[#This Row],[Units Sold]],DiscountTableAnswer[],2)</f>
        <v>0.25</v>
      </c>
      <c r="G136">
        <f>ROUND((1-RevenueTableAnswer[[#This Row],[Discount on Total Revenue]])*RevenueTableAnswer[[#This Row],[Total Revenue]],2)</f>
        <v>206.55</v>
      </c>
    </row>
    <row r="137" spans="1:7">
      <c r="A137" s="30">
        <v>43040</v>
      </c>
      <c r="B137" t="s">
        <v>24</v>
      </c>
      <c r="C137">
        <v>117</v>
      </c>
      <c r="D137" s="31">
        <v>14.95</v>
      </c>
      <c r="E137" s="31">
        <v>1749.15</v>
      </c>
      <c r="F137">
        <f>VLOOKUP(RevenueTableAnswer[[#This Row],[Units Sold]],DiscountTableAnswer[],2)</f>
        <v>0.4375</v>
      </c>
      <c r="G137">
        <f>ROUND((1-RevenueTableAnswer[[#This Row],[Discount on Total Revenue]])*RevenueTableAnswer[[#This Row],[Total Revenue]],2)</f>
        <v>983.9</v>
      </c>
    </row>
    <row r="138" spans="1:7">
      <c r="A138" s="30">
        <v>43043</v>
      </c>
      <c r="B138" t="s">
        <v>26</v>
      </c>
      <c r="C138">
        <v>118</v>
      </c>
      <c r="D138" s="31">
        <v>43.95</v>
      </c>
      <c r="E138" s="31">
        <v>5186.1</v>
      </c>
      <c r="F138">
        <f>VLOOKUP(RevenueTableAnswer[[#This Row],[Units Sold]],DiscountTableAnswer[],2)</f>
        <v>0.4375</v>
      </c>
      <c r="G138">
        <f>ROUND((1-RevenueTableAnswer[[#This Row],[Discount on Total Revenue]])*RevenueTableAnswer[[#This Row],[Total Revenue]],2)</f>
        <v>2917.18</v>
      </c>
    </row>
    <row r="139" spans="1:7">
      <c r="A139" s="30">
        <v>43042</v>
      </c>
      <c r="B139" t="s">
        <v>37</v>
      </c>
      <c r="C139">
        <v>6</v>
      </c>
      <c r="D139" s="31">
        <v>22.95</v>
      </c>
      <c r="E139" s="31">
        <v>137.7</v>
      </c>
      <c r="F139">
        <f>VLOOKUP(RevenueTableAnswer[[#This Row],[Units Sold]],DiscountTableAnswer[],2)</f>
        <v>0</v>
      </c>
      <c r="G139">
        <f>ROUND((1-RevenueTableAnswer[[#This Row],[Discount on Total Revenue]])*RevenueTableAnswer[[#This Row],[Total Revenue]],2)</f>
        <v>137.7</v>
      </c>
    </row>
    <row r="140" spans="1:7">
      <c r="A140" s="30">
        <v>43043</v>
      </c>
      <c r="B140" t="s">
        <v>24</v>
      </c>
      <c r="C140">
        <v>107</v>
      </c>
      <c r="D140" s="31">
        <v>14.95</v>
      </c>
      <c r="E140" s="31">
        <v>1599.65</v>
      </c>
      <c r="F140">
        <f>VLOOKUP(RevenueTableAnswer[[#This Row],[Units Sold]],DiscountTableAnswer[],2)</f>
        <v>0.4375</v>
      </c>
      <c r="G140">
        <f>ROUND((1-RevenueTableAnswer[[#This Row],[Discount on Total Revenue]])*RevenueTableAnswer[[#This Row],[Total Revenue]],2)</f>
        <v>899.8</v>
      </c>
    </row>
    <row r="141" spans="1:7">
      <c r="A141" s="30">
        <v>43041</v>
      </c>
      <c r="B141" t="s">
        <v>36</v>
      </c>
      <c r="C141">
        <v>15</v>
      </c>
      <c r="D141" s="31">
        <v>21.95</v>
      </c>
      <c r="E141" s="31">
        <v>329.25</v>
      </c>
      <c r="F141">
        <f>VLOOKUP(RevenueTableAnswer[[#This Row],[Units Sold]],DiscountTableAnswer[],2)</f>
        <v>0.25</v>
      </c>
      <c r="G141">
        <f>ROUND((1-RevenueTableAnswer[[#This Row],[Discount on Total Revenue]])*RevenueTableAnswer[[#This Row],[Total Revenue]],2)</f>
        <v>246.94</v>
      </c>
    </row>
    <row r="142" spans="1:7">
      <c r="A142" s="30">
        <v>43041</v>
      </c>
      <c r="B142" t="s">
        <v>36</v>
      </c>
      <c r="C142">
        <v>7</v>
      </c>
      <c r="D142" s="31">
        <v>21.95</v>
      </c>
      <c r="E142" s="31">
        <v>153.65</v>
      </c>
      <c r="F142">
        <f>VLOOKUP(RevenueTableAnswer[[#This Row],[Units Sold]],DiscountTableAnswer[],2)</f>
        <v>0</v>
      </c>
      <c r="G142">
        <f>ROUND((1-RevenueTableAnswer[[#This Row],[Discount on Total Revenue]])*RevenueTableAnswer[[#This Row],[Total Revenue]],2)</f>
        <v>153.65</v>
      </c>
    </row>
    <row r="143" spans="1:7">
      <c r="A143" s="30">
        <v>43046</v>
      </c>
      <c r="B143" t="s">
        <v>37</v>
      </c>
      <c r="C143">
        <v>178</v>
      </c>
      <c r="D143" s="31">
        <v>22.95</v>
      </c>
      <c r="E143" s="31">
        <v>4085.1</v>
      </c>
      <c r="F143">
        <f>VLOOKUP(RevenueTableAnswer[[#This Row],[Units Sold]],DiscountTableAnswer[],2)</f>
        <v>0.55</v>
      </c>
      <c r="G143">
        <f>ROUND((1-RevenueTableAnswer[[#This Row],[Discount on Total Revenue]])*RevenueTableAnswer[[#This Row],[Total Revenue]],2)</f>
        <v>1838.3</v>
      </c>
    </row>
    <row r="144" spans="1:7">
      <c r="A144" s="30">
        <v>43042</v>
      </c>
      <c r="B144" t="s">
        <v>24</v>
      </c>
      <c r="C144">
        <v>159</v>
      </c>
      <c r="D144" s="31">
        <v>14.95</v>
      </c>
      <c r="E144" s="31">
        <v>2377.05</v>
      </c>
      <c r="F144">
        <f>VLOOKUP(RevenueTableAnswer[[#This Row],[Units Sold]],DiscountTableAnswer[],2)</f>
        <v>0.5</v>
      </c>
      <c r="G144">
        <f>ROUND((1-RevenueTableAnswer[[#This Row],[Discount on Total Revenue]])*RevenueTableAnswer[[#This Row],[Total Revenue]],2)</f>
        <v>1188.53</v>
      </c>
    </row>
    <row r="145" spans="1:7">
      <c r="A145" s="30">
        <v>43042</v>
      </c>
      <c r="B145" t="s">
        <v>36</v>
      </c>
      <c r="C145">
        <v>48</v>
      </c>
      <c r="D145" s="31">
        <v>21.95</v>
      </c>
      <c r="E145" s="31">
        <v>1053.6</v>
      </c>
      <c r="F145">
        <f>VLOOKUP(RevenueTableAnswer[[#This Row],[Units Sold]],DiscountTableAnswer[],2)</f>
        <v>0.375</v>
      </c>
      <c r="G145">
        <f>ROUND((1-RevenueTableAnswer[[#This Row],[Discount on Total Revenue]])*RevenueTableAnswer[[#This Row],[Total Revenue]],2)</f>
        <v>658.5</v>
      </c>
    </row>
    <row r="146" spans="1:7">
      <c r="A146" s="30">
        <v>43043</v>
      </c>
      <c r="B146" t="s">
        <v>26</v>
      </c>
      <c r="C146">
        <v>12</v>
      </c>
      <c r="D146" s="31">
        <v>43.95</v>
      </c>
      <c r="E146" s="31">
        <v>527.4</v>
      </c>
      <c r="F146">
        <f>VLOOKUP(RevenueTableAnswer[[#This Row],[Units Sold]],DiscountTableAnswer[],2)</f>
        <v>0.25</v>
      </c>
      <c r="G146">
        <f>ROUND((1-RevenueTableAnswer[[#This Row],[Discount on Total Revenue]])*RevenueTableAnswer[[#This Row],[Total Revenue]],2)</f>
        <v>395.55</v>
      </c>
    </row>
    <row r="147" spans="1:7">
      <c r="A147" s="30">
        <v>43041</v>
      </c>
      <c r="B147" t="s">
        <v>26</v>
      </c>
      <c r="C147">
        <v>163</v>
      </c>
      <c r="D147" s="31">
        <v>43.95</v>
      </c>
      <c r="E147" s="31">
        <v>7163.85</v>
      </c>
      <c r="F147">
        <f>VLOOKUP(RevenueTableAnswer[[#This Row],[Units Sold]],DiscountTableAnswer[],2)</f>
        <v>0.5</v>
      </c>
      <c r="G147">
        <f>ROUND((1-RevenueTableAnswer[[#This Row],[Discount on Total Revenue]])*RevenueTableAnswer[[#This Row],[Total Revenue]],2)</f>
        <v>3581.93</v>
      </c>
    </row>
    <row r="148" spans="1:7">
      <c r="A148" s="30">
        <v>43041</v>
      </c>
      <c r="B148" t="s">
        <v>36</v>
      </c>
      <c r="C148">
        <v>133</v>
      </c>
      <c r="D148" s="31">
        <v>21.95</v>
      </c>
      <c r="E148" s="31">
        <v>2919.35</v>
      </c>
      <c r="F148">
        <f>VLOOKUP(RevenueTableAnswer[[#This Row],[Units Sold]],DiscountTableAnswer[],2)</f>
        <v>0.4375</v>
      </c>
      <c r="G148">
        <f>ROUND((1-RevenueTableAnswer[[#This Row],[Discount on Total Revenue]])*RevenueTableAnswer[[#This Row],[Total Revenue]],2)</f>
        <v>1642.13</v>
      </c>
    </row>
    <row r="149" spans="1:7">
      <c r="A149" s="30">
        <v>43042</v>
      </c>
      <c r="B149" t="s">
        <v>24</v>
      </c>
      <c r="C149">
        <v>63</v>
      </c>
      <c r="D149" s="31">
        <v>14.95</v>
      </c>
      <c r="E149" s="31">
        <v>941.85</v>
      </c>
      <c r="F149">
        <f>VLOOKUP(RevenueTableAnswer[[#This Row],[Units Sold]],DiscountTableAnswer[],2)</f>
        <v>0.375</v>
      </c>
      <c r="G149">
        <f>ROUND((1-RevenueTableAnswer[[#This Row],[Discount on Total Revenue]])*RevenueTableAnswer[[#This Row],[Total Revenue]],2)</f>
        <v>588.66</v>
      </c>
    </row>
    <row r="150" spans="1:7">
      <c r="A150" s="30">
        <v>43040</v>
      </c>
      <c r="B150" t="s">
        <v>26</v>
      </c>
      <c r="C150">
        <v>95</v>
      </c>
      <c r="D150" s="31">
        <v>43.95</v>
      </c>
      <c r="E150" s="31">
        <v>4175.25</v>
      </c>
      <c r="F150">
        <f>VLOOKUP(RevenueTableAnswer[[#This Row],[Units Sold]],DiscountTableAnswer[],2)</f>
        <v>0.375</v>
      </c>
      <c r="G150">
        <f>ROUND((1-RevenueTableAnswer[[#This Row],[Discount on Total Revenue]])*RevenueTableAnswer[[#This Row],[Total Revenue]],2)</f>
        <v>2609.53</v>
      </c>
    </row>
    <row r="151" spans="1:7">
      <c r="A151" s="30">
        <v>43042</v>
      </c>
      <c r="B151" t="s">
        <v>24</v>
      </c>
      <c r="C151">
        <v>51</v>
      </c>
      <c r="D151" s="31">
        <v>14.95</v>
      </c>
      <c r="E151" s="31">
        <v>762.45</v>
      </c>
      <c r="F151">
        <f>VLOOKUP(RevenueTableAnswer[[#This Row],[Units Sold]],DiscountTableAnswer[],2)</f>
        <v>0.375</v>
      </c>
      <c r="G151">
        <f>ROUND((1-RevenueTableAnswer[[#This Row],[Discount on Total Revenue]])*RevenueTableAnswer[[#This Row],[Total Revenue]],2)</f>
        <v>476.53</v>
      </c>
    </row>
    <row r="152" spans="1:7">
      <c r="A152" s="30">
        <v>43045</v>
      </c>
      <c r="B152" t="s">
        <v>26</v>
      </c>
      <c r="C152">
        <v>75</v>
      </c>
      <c r="D152" s="31">
        <v>43.95</v>
      </c>
      <c r="E152" s="31">
        <v>3296.25</v>
      </c>
      <c r="F152">
        <f>VLOOKUP(RevenueTableAnswer[[#This Row],[Units Sold]],DiscountTableAnswer[],2)</f>
        <v>0.375</v>
      </c>
      <c r="G152">
        <f>ROUND((1-RevenueTableAnswer[[#This Row],[Discount on Total Revenue]])*RevenueTableAnswer[[#This Row],[Total Revenue]],2)</f>
        <v>2060.16</v>
      </c>
    </row>
    <row r="153" spans="1:7">
      <c r="A153" s="30">
        <v>43043</v>
      </c>
      <c r="B153" t="s">
        <v>24</v>
      </c>
      <c r="C153">
        <v>174</v>
      </c>
      <c r="D153" s="31">
        <v>14.95</v>
      </c>
      <c r="E153" s="31">
        <v>2601.3</v>
      </c>
      <c r="F153">
        <f>VLOOKUP(RevenueTableAnswer[[#This Row],[Units Sold]],DiscountTableAnswer[],2)</f>
        <v>0.55</v>
      </c>
      <c r="G153">
        <f>ROUND((1-RevenueTableAnswer[[#This Row],[Discount on Total Revenue]])*RevenueTableAnswer[[#This Row],[Total Revenue]],2)</f>
        <v>1170.59</v>
      </c>
    </row>
    <row r="154" spans="1:7">
      <c r="A154" s="30">
        <v>43040</v>
      </c>
      <c r="B154" t="s">
        <v>24</v>
      </c>
      <c r="C154">
        <v>150</v>
      </c>
      <c r="D154" s="31">
        <v>14.95</v>
      </c>
      <c r="E154" s="31">
        <v>2242.5</v>
      </c>
      <c r="F154">
        <f>VLOOKUP(RevenueTableAnswer[[#This Row],[Units Sold]],DiscountTableAnswer[],2)</f>
        <v>0.5</v>
      </c>
      <c r="G154">
        <f>ROUND((1-RevenueTableAnswer[[#This Row],[Discount on Total Revenue]])*RevenueTableAnswer[[#This Row],[Total Revenue]],2)</f>
        <v>1121.25</v>
      </c>
    </row>
    <row r="155" spans="1:7">
      <c r="A155" s="30">
        <v>43043</v>
      </c>
      <c r="B155" t="s">
        <v>24</v>
      </c>
      <c r="C155">
        <v>4</v>
      </c>
      <c r="D155" s="31">
        <v>14.95</v>
      </c>
      <c r="E155" s="31">
        <v>59.8</v>
      </c>
      <c r="F155">
        <f>VLOOKUP(RevenueTableAnswer[[#This Row],[Units Sold]],DiscountTableAnswer[],2)</f>
        <v>0</v>
      </c>
      <c r="G155">
        <f>ROUND((1-RevenueTableAnswer[[#This Row],[Discount on Total Revenue]])*RevenueTableAnswer[[#This Row],[Total Revenue]],2)</f>
        <v>59.8</v>
      </c>
    </row>
    <row r="156" spans="1:7">
      <c r="A156" s="30">
        <v>43040</v>
      </c>
      <c r="B156" t="s">
        <v>26</v>
      </c>
      <c r="C156">
        <v>87</v>
      </c>
      <c r="D156" s="31">
        <v>43.95</v>
      </c>
      <c r="E156" s="31">
        <v>3823.65</v>
      </c>
      <c r="F156">
        <f>VLOOKUP(RevenueTableAnswer[[#This Row],[Units Sold]],DiscountTableAnswer[],2)</f>
        <v>0.375</v>
      </c>
      <c r="G156">
        <f>ROUND((1-RevenueTableAnswer[[#This Row],[Discount on Total Revenue]])*RevenueTableAnswer[[#This Row],[Total Revenue]],2)</f>
        <v>2389.78</v>
      </c>
    </row>
    <row r="157" spans="1:7">
      <c r="A157" s="30">
        <v>43040</v>
      </c>
      <c r="B157" t="s">
        <v>24</v>
      </c>
      <c r="C157">
        <v>105</v>
      </c>
      <c r="D157" s="31">
        <v>14.95</v>
      </c>
      <c r="E157" s="31">
        <v>1569.75</v>
      </c>
      <c r="F157">
        <f>VLOOKUP(RevenueTableAnswer[[#This Row],[Units Sold]],DiscountTableAnswer[],2)</f>
        <v>0.4375</v>
      </c>
      <c r="G157">
        <f>ROUND((1-RevenueTableAnswer[[#This Row],[Discount on Total Revenue]])*RevenueTableAnswer[[#This Row],[Total Revenue]],2)</f>
        <v>882.98</v>
      </c>
    </row>
    <row r="158" spans="1:7">
      <c r="A158" s="30">
        <v>43045</v>
      </c>
      <c r="B158" t="s">
        <v>24</v>
      </c>
      <c r="C158">
        <v>129</v>
      </c>
      <c r="D158" s="31">
        <v>14.95</v>
      </c>
      <c r="E158" s="31">
        <v>1928.55</v>
      </c>
      <c r="F158">
        <f>VLOOKUP(RevenueTableAnswer[[#This Row],[Units Sold]],DiscountTableAnswer[],2)</f>
        <v>0.4375</v>
      </c>
      <c r="G158">
        <f>ROUND((1-RevenueTableAnswer[[#This Row],[Discount on Total Revenue]])*RevenueTableAnswer[[#This Row],[Total Revenue]],2)</f>
        <v>1084.81</v>
      </c>
    </row>
    <row r="159" spans="1:7">
      <c r="A159" s="30">
        <v>43047</v>
      </c>
      <c r="B159" t="s">
        <v>24</v>
      </c>
      <c r="C159">
        <v>9</v>
      </c>
      <c r="D159" s="31">
        <v>14.95</v>
      </c>
      <c r="E159" s="31">
        <v>134.55</v>
      </c>
      <c r="F159">
        <f>VLOOKUP(RevenueTableAnswer[[#This Row],[Units Sold]],DiscountTableAnswer[],2)</f>
        <v>0</v>
      </c>
      <c r="G159">
        <f>ROUND((1-RevenueTableAnswer[[#This Row],[Discount on Total Revenue]])*RevenueTableAnswer[[#This Row],[Total Revenue]],2)</f>
        <v>134.55</v>
      </c>
    </row>
    <row r="160" spans="1:7">
      <c r="A160" s="30">
        <v>43044</v>
      </c>
      <c r="B160" t="s">
        <v>24</v>
      </c>
      <c r="C160">
        <v>90</v>
      </c>
      <c r="D160" s="31">
        <v>14.95</v>
      </c>
      <c r="E160" s="31">
        <v>1345.5</v>
      </c>
      <c r="F160">
        <f>VLOOKUP(RevenueTableAnswer[[#This Row],[Units Sold]],DiscountTableAnswer[],2)</f>
        <v>0.375</v>
      </c>
      <c r="G160">
        <f>ROUND((1-RevenueTableAnswer[[#This Row],[Discount on Total Revenue]])*RevenueTableAnswer[[#This Row],[Total Revenue]],2)</f>
        <v>840.94</v>
      </c>
    </row>
    <row r="161" spans="1:7">
      <c r="A161" s="30">
        <v>43041</v>
      </c>
      <c r="B161" t="s">
        <v>36</v>
      </c>
      <c r="C161">
        <v>14</v>
      </c>
      <c r="D161" s="31">
        <v>21.95</v>
      </c>
      <c r="E161" s="31">
        <v>307.3</v>
      </c>
      <c r="F161">
        <f>VLOOKUP(RevenueTableAnswer[[#This Row],[Units Sold]],DiscountTableAnswer[],2)</f>
        <v>0.25</v>
      </c>
      <c r="G161">
        <f>ROUND((1-RevenueTableAnswer[[#This Row],[Discount on Total Revenue]])*RevenueTableAnswer[[#This Row],[Total Revenue]],2)</f>
        <v>230.48</v>
      </c>
    </row>
    <row r="162" spans="1:7">
      <c r="A162" s="30">
        <v>43041</v>
      </c>
      <c r="B162" t="s">
        <v>36</v>
      </c>
      <c r="C162">
        <v>134</v>
      </c>
      <c r="D162" s="31">
        <v>21.95</v>
      </c>
      <c r="E162" s="31">
        <v>2941.3</v>
      </c>
      <c r="F162">
        <f>VLOOKUP(RevenueTableAnswer[[#This Row],[Units Sold]],DiscountTableAnswer[],2)</f>
        <v>0.4375</v>
      </c>
      <c r="G162">
        <f>ROUND((1-RevenueTableAnswer[[#This Row],[Discount on Total Revenue]])*RevenueTableAnswer[[#This Row],[Total Revenue]],2)</f>
        <v>1654.48</v>
      </c>
    </row>
    <row r="163" spans="1:7">
      <c r="A163" s="30">
        <v>43047</v>
      </c>
      <c r="B163" t="s">
        <v>37</v>
      </c>
      <c r="C163">
        <v>102</v>
      </c>
      <c r="D163" s="31">
        <v>22.95</v>
      </c>
      <c r="E163" s="31">
        <v>2340.9</v>
      </c>
      <c r="F163">
        <f>VLOOKUP(RevenueTableAnswer[[#This Row],[Units Sold]],DiscountTableAnswer[],2)</f>
        <v>0.4375</v>
      </c>
      <c r="G163">
        <f>ROUND((1-RevenueTableAnswer[[#This Row],[Discount on Total Revenue]])*RevenueTableAnswer[[#This Row],[Total Revenue]],2)</f>
        <v>1316.76</v>
      </c>
    </row>
    <row r="164" spans="1:7">
      <c r="A164" s="30">
        <v>43042</v>
      </c>
      <c r="B164" t="s">
        <v>26</v>
      </c>
      <c r="C164">
        <v>46</v>
      </c>
      <c r="D164" s="31">
        <v>43.95</v>
      </c>
      <c r="E164" s="31">
        <v>2021.7</v>
      </c>
      <c r="F164">
        <f>VLOOKUP(RevenueTableAnswer[[#This Row],[Units Sold]],DiscountTableAnswer[],2)</f>
        <v>0.25</v>
      </c>
      <c r="G164">
        <f>ROUND((1-RevenueTableAnswer[[#This Row],[Discount on Total Revenue]])*RevenueTableAnswer[[#This Row],[Total Revenue]],2)</f>
        <v>1516.28</v>
      </c>
    </row>
    <row r="165" spans="1:7">
      <c r="A165" s="30">
        <v>43046</v>
      </c>
      <c r="B165" t="s">
        <v>26</v>
      </c>
      <c r="C165">
        <v>182</v>
      </c>
      <c r="D165" s="31">
        <v>43.95</v>
      </c>
      <c r="E165" s="31">
        <v>7998.9</v>
      </c>
      <c r="F165">
        <f>VLOOKUP(RevenueTableAnswer[[#This Row],[Units Sold]],DiscountTableAnswer[],2)</f>
        <v>0.55</v>
      </c>
      <c r="G165">
        <f>ROUND((1-RevenueTableAnswer[[#This Row],[Discount on Total Revenue]])*RevenueTableAnswer[[#This Row],[Total Revenue]],2)</f>
        <v>3599.51</v>
      </c>
    </row>
    <row r="166" spans="1:7">
      <c r="A166" s="30">
        <v>43041</v>
      </c>
      <c r="B166" t="s">
        <v>26</v>
      </c>
      <c r="C166">
        <v>190</v>
      </c>
      <c r="D166" s="31">
        <v>43.95</v>
      </c>
      <c r="E166" s="31">
        <v>8350.5</v>
      </c>
      <c r="F166">
        <f>VLOOKUP(RevenueTableAnswer[[#This Row],[Units Sold]],DiscountTableAnswer[],2)</f>
        <v>0.55</v>
      </c>
      <c r="G166">
        <f>ROUND((1-RevenueTableAnswer[[#This Row],[Discount on Total Revenue]])*RevenueTableAnswer[[#This Row],[Total Revenue]],2)</f>
        <v>3757.73</v>
      </c>
    </row>
    <row r="167" spans="1:7">
      <c r="A167" s="30">
        <v>43045</v>
      </c>
      <c r="B167" t="s">
        <v>37</v>
      </c>
      <c r="C167">
        <v>13</v>
      </c>
      <c r="D167" s="31">
        <v>22.95</v>
      </c>
      <c r="E167" s="31">
        <v>298.35</v>
      </c>
      <c r="F167">
        <f>VLOOKUP(RevenueTableAnswer[[#This Row],[Units Sold]],DiscountTableAnswer[],2)</f>
        <v>0.25</v>
      </c>
      <c r="G167">
        <f>ROUND((1-RevenueTableAnswer[[#This Row],[Discount on Total Revenue]])*RevenueTableAnswer[[#This Row],[Total Revenue]],2)</f>
        <v>223.76</v>
      </c>
    </row>
    <row r="168" spans="1:7">
      <c r="A168" s="30">
        <v>43045</v>
      </c>
      <c r="B168" t="s">
        <v>36</v>
      </c>
      <c r="C168">
        <v>132</v>
      </c>
      <c r="D168" s="31">
        <v>21.95</v>
      </c>
      <c r="E168" s="31">
        <v>2897.4</v>
      </c>
      <c r="F168">
        <f>VLOOKUP(RevenueTableAnswer[[#This Row],[Units Sold]],DiscountTableAnswer[],2)</f>
        <v>0.4375</v>
      </c>
      <c r="G168">
        <f>ROUND((1-RevenueTableAnswer[[#This Row],[Discount on Total Revenue]])*RevenueTableAnswer[[#This Row],[Total Revenue]],2)</f>
        <v>1629.79</v>
      </c>
    </row>
    <row r="169" spans="1:7">
      <c r="A169" s="30">
        <v>43047</v>
      </c>
      <c r="B169" t="s">
        <v>36</v>
      </c>
      <c r="C169">
        <v>52</v>
      </c>
      <c r="D169" s="31">
        <v>21.95</v>
      </c>
      <c r="E169" s="31">
        <v>1141.4</v>
      </c>
      <c r="F169">
        <f>VLOOKUP(RevenueTableAnswer[[#This Row],[Units Sold]],DiscountTableAnswer[],2)</f>
        <v>0.375</v>
      </c>
      <c r="G169">
        <f>ROUND((1-RevenueTableAnswer[[#This Row],[Discount on Total Revenue]])*RevenueTableAnswer[[#This Row],[Total Revenue]],2)</f>
        <v>713.38</v>
      </c>
    </row>
    <row r="170" spans="1:7">
      <c r="A170" s="30">
        <v>43040</v>
      </c>
      <c r="B170" t="s">
        <v>24</v>
      </c>
      <c r="C170">
        <v>105</v>
      </c>
      <c r="D170" s="31">
        <v>14.95</v>
      </c>
      <c r="E170" s="31">
        <v>1569.75</v>
      </c>
      <c r="F170">
        <f>VLOOKUP(RevenueTableAnswer[[#This Row],[Units Sold]],DiscountTableAnswer[],2)</f>
        <v>0.4375</v>
      </c>
      <c r="G170">
        <f>ROUND((1-RevenueTableAnswer[[#This Row],[Discount on Total Revenue]])*RevenueTableAnswer[[#This Row],[Total Revenue]],2)</f>
        <v>882.98</v>
      </c>
    </row>
    <row r="171" spans="1:7">
      <c r="A171" s="30">
        <v>43041</v>
      </c>
      <c r="B171" t="s">
        <v>37</v>
      </c>
      <c r="C171">
        <v>142</v>
      </c>
      <c r="D171" s="31">
        <v>22.95</v>
      </c>
      <c r="E171" s="31">
        <v>3258.9</v>
      </c>
      <c r="F171">
        <f>VLOOKUP(RevenueTableAnswer[[#This Row],[Units Sold]],DiscountTableAnswer[],2)</f>
        <v>0.4375</v>
      </c>
      <c r="G171">
        <f>ROUND((1-RevenueTableAnswer[[#This Row],[Discount on Total Revenue]])*RevenueTableAnswer[[#This Row],[Total Revenue]],2)</f>
        <v>1833.13</v>
      </c>
    </row>
    <row r="172" spans="1:7">
      <c r="A172" s="30">
        <v>43047</v>
      </c>
      <c r="B172" t="s">
        <v>37</v>
      </c>
      <c r="C172">
        <v>132</v>
      </c>
      <c r="D172" s="31">
        <v>22.95</v>
      </c>
      <c r="E172" s="31">
        <v>3029.4</v>
      </c>
      <c r="F172">
        <f>VLOOKUP(RevenueTableAnswer[[#This Row],[Units Sold]],DiscountTableAnswer[],2)</f>
        <v>0.4375</v>
      </c>
      <c r="G172">
        <f>ROUND((1-RevenueTableAnswer[[#This Row],[Discount on Total Revenue]])*RevenueTableAnswer[[#This Row],[Total Revenue]],2)</f>
        <v>1704.04</v>
      </c>
    </row>
    <row r="173" spans="1:7">
      <c r="A173" s="30">
        <v>43043</v>
      </c>
      <c r="B173" t="s">
        <v>24</v>
      </c>
      <c r="C173">
        <v>116</v>
      </c>
      <c r="D173" s="31">
        <v>14.95</v>
      </c>
      <c r="E173" s="31">
        <v>1734.2</v>
      </c>
      <c r="F173">
        <f>VLOOKUP(RevenueTableAnswer[[#This Row],[Units Sold]],DiscountTableAnswer[],2)</f>
        <v>0.4375</v>
      </c>
      <c r="G173">
        <f>ROUND((1-RevenueTableAnswer[[#This Row],[Discount on Total Revenue]])*RevenueTableAnswer[[#This Row],[Total Revenue]],2)</f>
        <v>975.49</v>
      </c>
    </row>
    <row r="174" spans="1:7">
      <c r="A174" s="30">
        <v>43047</v>
      </c>
      <c r="B174" t="s">
        <v>24</v>
      </c>
      <c r="C174">
        <v>89</v>
      </c>
      <c r="D174" s="31">
        <v>14.95</v>
      </c>
      <c r="E174" s="31">
        <v>1330.55</v>
      </c>
      <c r="F174">
        <f>VLOOKUP(RevenueTableAnswer[[#This Row],[Units Sold]],DiscountTableAnswer[],2)</f>
        <v>0.375</v>
      </c>
      <c r="G174">
        <f>ROUND((1-RevenueTableAnswer[[#This Row],[Discount on Total Revenue]])*RevenueTableAnswer[[#This Row],[Total Revenue]],2)</f>
        <v>831.59</v>
      </c>
    </row>
    <row r="175" spans="1:7">
      <c r="A175" s="30">
        <v>43042</v>
      </c>
      <c r="B175" t="s">
        <v>26</v>
      </c>
      <c r="C175">
        <v>156</v>
      </c>
      <c r="D175" s="31">
        <v>43.95</v>
      </c>
      <c r="E175" s="31">
        <v>6856.2</v>
      </c>
      <c r="F175">
        <f>VLOOKUP(RevenueTableAnswer[[#This Row],[Units Sold]],DiscountTableAnswer[],2)</f>
        <v>0.5</v>
      </c>
      <c r="G175">
        <f>ROUND((1-RevenueTableAnswer[[#This Row],[Discount on Total Revenue]])*RevenueTableAnswer[[#This Row],[Total Revenue]],2)</f>
        <v>3428.1</v>
      </c>
    </row>
    <row r="176" spans="1:7">
      <c r="A176" s="30">
        <v>43045</v>
      </c>
      <c r="B176" t="s">
        <v>26</v>
      </c>
      <c r="C176">
        <v>136</v>
      </c>
      <c r="D176" s="31">
        <v>43.95</v>
      </c>
      <c r="E176" s="31">
        <v>5977.2</v>
      </c>
      <c r="F176">
        <f>VLOOKUP(RevenueTableAnswer[[#This Row],[Units Sold]],DiscountTableAnswer[],2)</f>
        <v>0.4375</v>
      </c>
      <c r="G176">
        <f>ROUND((1-RevenueTableAnswer[[#This Row],[Discount on Total Revenue]])*RevenueTableAnswer[[#This Row],[Total Revenue]],2)</f>
        <v>3362.18</v>
      </c>
    </row>
    <row r="177" spans="1:7">
      <c r="A177" s="30">
        <v>43043</v>
      </c>
      <c r="B177" t="s">
        <v>36</v>
      </c>
      <c r="C177">
        <v>77</v>
      </c>
      <c r="D177" s="31">
        <v>21.95</v>
      </c>
      <c r="E177" s="31">
        <v>1690.15</v>
      </c>
      <c r="F177">
        <f>VLOOKUP(RevenueTableAnswer[[#This Row],[Units Sold]],DiscountTableAnswer[],2)</f>
        <v>0.375</v>
      </c>
      <c r="G177">
        <f>ROUND((1-RevenueTableAnswer[[#This Row],[Discount on Total Revenue]])*RevenueTableAnswer[[#This Row],[Total Revenue]],2)</f>
        <v>1056.34</v>
      </c>
    </row>
    <row r="178" spans="1:7">
      <c r="A178" s="30">
        <v>43044</v>
      </c>
      <c r="B178" t="s">
        <v>37</v>
      </c>
      <c r="C178">
        <v>97</v>
      </c>
      <c r="D178" s="31">
        <v>22.95</v>
      </c>
      <c r="E178" s="31">
        <v>2226.15</v>
      </c>
      <c r="F178">
        <f>VLOOKUP(RevenueTableAnswer[[#This Row],[Units Sold]],DiscountTableAnswer[],2)</f>
        <v>0.4375</v>
      </c>
      <c r="G178">
        <f>ROUND((1-RevenueTableAnswer[[#This Row],[Discount on Total Revenue]])*RevenueTableAnswer[[#This Row],[Total Revenue]],2)</f>
        <v>1252.21</v>
      </c>
    </row>
    <row r="179" spans="1:7">
      <c r="A179" s="30">
        <v>43047</v>
      </c>
      <c r="B179" t="s">
        <v>36</v>
      </c>
      <c r="C179">
        <v>121</v>
      </c>
      <c r="D179" s="31">
        <v>21.95</v>
      </c>
      <c r="E179" s="31">
        <v>2655.95</v>
      </c>
      <c r="F179">
        <f>VLOOKUP(RevenueTableAnswer[[#This Row],[Units Sold]],DiscountTableAnswer[],2)</f>
        <v>0.4375</v>
      </c>
      <c r="G179">
        <f>ROUND((1-RevenueTableAnswer[[#This Row],[Discount on Total Revenue]])*RevenueTableAnswer[[#This Row],[Total Revenue]],2)</f>
        <v>1493.97</v>
      </c>
    </row>
    <row r="180" spans="1:7">
      <c r="A180" s="30">
        <v>43041</v>
      </c>
      <c r="B180" t="s">
        <v>26</v>
      </c>
      <c r="C180">
        <v>3</v>
      </c>
      <c r="D180" s="31">
        <v>43.95</v>
      </c>
      <c r="E180" s="31">
        <v>131.85</v>
      </c>
      <c r="F180">
        <f>VLOOKUP(RevenueTableAnswer[[#This Row],[Units Sold]],DiscountTableAnswer[],2)</f>
        <v>0</v>
      </c>
      <c r="G180">
        <f>ROUND((1-RevenueTableAnswer[[#This Row],[Discount on Total Revenue]])*RevenueTableAnswer[[#This Row],[Total Revenue]],2)</f>
        <v>131.85</v>
      </c>
    </row>
    <row r="181" spans="1:7">
      <c r="A181" s="30">
        <v>43043</v>
      </c>
      <c r="B181" t="s">
        <v>37</v>
      </c>
      <c r="C181">
        <v>56</v>
      </c>
      <c r="D181" s="31">
        <v>22.95</v>
      </c>
      <c r="E181" s="31">
        <v>1285.2</v>
      </c>
      <c r="F181">
        <f>VLOOKUP(RevenueTableAnswer[[#This Row],[Units Sold]],DiscountTableAnswer[],2)</f>
        <v>0.375</v>
      </c>
      <c r="G181">
        <f>ROUND((1-RevenueTableAnswer[[#This Row],[Discount on Total Revenue]])*RevenueTableAnswer[[#This Row],[Total Revenue]],2)</f>
        <v>803.25</v>
      </c>
    </row>
    <row r="182" spans="1:7">
      <c r="A182" s="30">
        <v>43043</v>
      </c>
      <c r="B182" t="s">
        <v>26</v>
      </c>
      <c r="C182">
        <v>177</v>
      </c>
      <c r="D182" s="31">
        <v>43.95</v>
      </c>
      <c r="E182" s="31">
        <v>7779.15</v>
      </c>
      <c r="F182">
        <f>VLOOKUP(RevenueTableAnswer[[#This Row],[Units Sold]],DiscountTableAnswer[],2)</f>
        <v>0.55</v>
      </c>
      <c r="G182">
        <f>ROUND((1-RevenueTableAnswer[[#This Row],[Discount on Total Revenue]])*RevenueTableAnswer[[#This Row],[Total Revenue]],2)</f>
        <v>3500.62</v>
      </c>
    </row>
    <row r="183" spans="1:7">
      <c r="A183" s="30">
        <v>43043</v>
      </c>
      <c r="B183" t="s">
        <v>26</v>
      </c>
      <c r="C183">
        <v>140</v>
      </c>
      <c r="D183" s="31">
        <v>43.95</v>
      </c>
      <c r="E183" s="31">
        <v>6153</v>
      </c>
      <c r="F183">
        <f>VLOOKUP(RevenueTableAnswer[[#This Row],[Units Sold]],DiscountTableAnswer[],2)</f>
        <v>0.4375</v>
      </c>
      <c r="G183">
        <f>ROUND((1-RevenueTableAnswer[[#This Row],[Discount on Total Revenue]])*RevenueTableAnswer[[#This Row],[Total Revenue]],2)</f>
        <v>3461.06</v>
      </c>
    </row>
    <row r="184" spans="1:7">
      <c r="A184" s="30">
        <v>43047</v>
      </c>
      <c r="B184" t="s">
        <v>36</v>
      </c>
      <c r="C184">
        <v>173</v>
      </c>
      <c r="D184" s="31">
        <v>21.95</v>
      </c>
      <c r="E184" s="31">
        <v>3797.35</v>
      </c>
      <c r="F184">
        <f>VLOOKUP(RevenueTableAnswer[[#This Row],[Units Sold]],DiscountTableAnswer[],2)</f>
        <v>0.55</v>
      </c>
      <c r="G184">
        <f>ROUND((1-RevenueTableAnswer[[#This Row],[Discount on Total Revenue]])*RevenueTableAnswer[[#This Row],[Total Revenue]],2)</f>
        <v>1708.81</v>
      </c>
    </row>
    <row r="185" spans="1:7">
      <c r="A185" s="30">
        <v>43045</v>
      </c>
      <c r="B185" t="s">
        <v>36</v>
      </c>
      <c r="C185">
        <v>27</v>
      </c>
      <c r="D185" s="31">
        <v>21.95</v>
      </c>
      <c r="E185" s="31">
        <v>592.65</v>
      </c>
      <c r="F185">
        <f>VLOOKUP(RevenueTableAnswer[[#This Row],[Units Sold]],DiscountTableAnswer[],2)</f>
        <v>0.25</v>
      </c>
      <c r="G185">
        <f>ROUND((1-RevenueTableAnswer[[#This Row],[Discount on Total Revenue]])*RevenueTableAnswer[[#This Row],[Total Revenue]],2)</f>
        <v>444.49</v>
      </c>
    </row>
    <row r="186" spans="1:7">
      <c r="A186" s="30">
        <v>43043</v>
      </c>
      <c r="B186" t="s">
        <v>26</v>
      </c>
      <c r="C186">
        <v>87</v>
      </c>
      <c r="D186" s="31">
        <v>43.95</v>
      </c>
      <c r="E186" s="31">
        <v>3823.65</v>
      </c>
      <c r="F186">
        <f>VLOOKUP(RevenueTableAnswer[[#This Row],[Units Sold]],DiscountTableAnswer[],2)</f>
        <v>0.375</v>
      </c>
      <c r="G186">
        <f>ROUND((1-RevenueTableAnswer[[#This Row],[Discount on Total Revenue]])*RevenueTableAnswer[[#This Row],[Total Revenue]],2)</f>
        <v>2389.78</v>
      </c>
    </row>
    <row r="187" spans="1:7">
      <c r="A187" s="30">
        <v>43043</v>
      </c>
      <c r="B187" t="s">
        <v>36</v>
      </c>
      <c r="C187">
        <v>20</v>
      </c>
      <c r="D187" s="31">
        <v>21.95</v>
      </c>
      <c r="E187" s="31">
        <v>439</v>
      </c>
      <c r="F187">
        <f>VLOOKUP(RevenueTableAnswer[[#This Row],[Units Sold]],DiscountTableAnswer[],2)</f>
        <v>0.25</v>
      </c>
      <c r="G187">
        <f>ROUND((1-RevenueTableAnswer[[#This Row],[Discount on Total Revenue]])*RevenueTableAnswer[[#This Row],[Total Revenue]],2)</f>
        <v>329.25</v>
      </c>
    </row>
    <row r="188" spans="1:7">
      <c r="A188" s="30">
        <v>43043</v>
      </c>
      <c r="B188" t="s">
        <v>26</v>
      </c>
      <c r="C188">
        <v>191</v>
      </c>
      <c r="D188" s="31">
        <v>43.95</v>
      </c>
      <c r="E188" s="31">
        <v>8394.45</v>
      </c>
      <c r="F188">
        <f>VLOOKUP(RevenueTableAnswer[[#This Row],[Units Sold]],DiscountTableAnswer[],2)</f>
        <v>0.55</v>
      </c>
      <c r="G188">
        <f>ROUND((1-RevenueTableAnswer[[#This Row],[Discount on Total Revenue]])*RevenueTableAnswer[[#This Row],[Total Revenue]],2)</f>
        <v>3777.5</v>
      </c>
    </row>
    <row r="189" spans="1:7">
      <c r="A189" s="30">
        <v>43040</v>
      </c>
      <c r="B189" t="s">
        <v>26</v>
      </c>
      <c r="C189">
        <v>70</v>
      </c>
      <c r="D189" s="31">
        <v>43.95</v>
      </c>
      <c r="E189" s="31">
        <v>3076.5</v>
      </c>
      <c r="F189">
        <f>VLOOKUP(RevenueTableAnswer[[#This Row],[Units Sold]],DiscountTableAnswer[],2)</f>
        <v>0.375</v>
      </c>
      <c r="G189">
        <f>ROUND((1-RevenueTableAnswer[[#This Row],[Discount on Total Revenue]])*RevenueTableAnswer[[#This Row],[Total Revenue]],2)</f>
        <v>1922.81</v>
      </c>
    </row>
    <row r="190" spans="1:7">
      <c r="A190" s="30">
        <v>43043</v>
      </c>
      <c r="B190" t="s">
        <v>24</v>
      </c>
      <c r="C190">
        <v>186</v>
      </c>
      <c r="D190" s="31">
        <v>14.95</v>
      </c>
      <c r="E190" s="31">
        <v>2780.7</v>
      </c>
      <c r="F190">
        <f>VLOOKUP(RevenueTableAnswer[[#This Row],[Units Sold]],DiscountTableAnswer[],2)</f>
        <v>0.55</v>
      </c>
      <c r="G190">
        <f>ROUND((1-RevenueTableAnswer[[#This Row],[Discount on Total Revenue]])*RevenueTableAnswer[[#This Row],[Total Revenue]],2)</f>
        <v>1251.32</v>
      </c>
    </row>
    <row r="191" spans="1:7">
      <c r="A191" s="30">
        <v>43043</v>
      </c>
      <c r="B191" t="s">
        <v>36</v>
      </c>
      <c r="C191">
        <v>126</v>
      </c>
      <c r="D191" s="31">
        <v>21.95</v>
      </c>
      <c r="E191" s="31">
        <v>2765.7</v>
      </c>
      <c r="F191">
        <f>VLOOKUP(RevenueTableAnswer[[#This Row],[Units Sold]],DiscountTableAnswer[],2)</f>
        <v>0.4375</v>
      </c>
      <c r="G191">
        <f>ROUND((1-RevenueTableAnswer[[#This Row],[Discount on Total Revenue]])*RevenueTableAnswer[[#This Row],[Total Revenue]],2)</f>
        <v>1555.71</v>
      </c>
    </row>
    <row r="192" spans="1:7">
      <c r="A192" s="30">
        <v>43040</v>
      </c>
      <c r="B192" t="s">
        <v>24</v>
      </c>
      <c r="C192">
        <v>3</v>
      </c>
      <c r="D192" s="31">
        <v>14.95</v>
      </c>
      <c r="E192" s="31">
        <v>44.85</v>
      </c>
      <c r="F192">
        <f>VLOOKUP(RevenueTableAnswer[[#This Row],[Units Sold]],DiscountTableAnswer[],2)</f>
        <v>0</v>
      </c>
      <c r="G192">
        <f>ROUND((1-RevenueTableAnswer[[#This Row],[Discount on Total Revenue]])*RevenueTableAnswer[[#This Row],[Total Revenue]],2)</f>
        <v>44.85</v>
      </c>
    </row>
    <row r="193" spans="1:7">
      <c r="A193" s="30">
        <v>43043</v>
      </c>
      <c r="B193" t="s">
        <v>36</v>
      </c>
      <c r="C193">
        <v>92</v>
      </c>
      <c r="D193" s="31">
        <v>21.95</v>
      </c>
      <c r="E193" s="31">
        <v>2019.4</v>
      </c>
      <c r="F193">
        <f>VLOOKUP(RevenueTableAnswer[[#This Row],[Units Sold]],DiscountTableAnswer[],2)</f>
        <v>0.375</v>
      </c>
      <c r="G193">
        <f>ROUND((1-RevenueTableAnswer[[#This Row],[Discount on Total Revenue]])*RevenueTableAnswer[[#This Row],[Total Revenue]],2)</f>
        <v>1262.13</v>
      </c>
    </row>
    <row r="194" spans="1:7">
      <c r="A194" s="30">
        <v>43043</v>
      </c>
      <c r="B194" t="s">
        <v>37</v>
      </c>
      <c r="C194">
        <v>3</v>
      </c>
      <c r="D194" s="31">
        <v>22.95</v>
      </c>
      <c r="E194" s="31">
        <v>68.85</v>
      </c>
      <c r="F194">
        <f>VLOOKUP(RevenueTableAnswer[[#This Row],[Units Sold]],DiscountTableAnswer[],2)</f>
        <v>0</v>
      </c>
      <c r="G194">
        <f>ROUND((1-RevenueTableAnswer[[#This Row],[Discount on Total Revenue]])*RevenueTableAnswer[[#This Row],[Total Revenue]],2)</f>
        <v>68.85</v>
      </c>
    </row>
    <row r="195" spans="1:7">
      <c r="A195" s="30">
        <v>43044</v>
      </c>
      <c r="B195" t="s">
        <v>26</v>
      </c>
      <c r="C195">
        <v>82</v>
      </c>
      <c r="D195" s="31">
        <v>43.95</v>
      </c>
      <c r="E195" s="31">
        <v>3603.9</v>
      </c>
      <c r="F195">
        <f>VLOOKUP(RevenueTableAnswer[[#This Row],[Units Sold]],DiscountTableAnswer[],2)</f>
        <v>0.375</v>
      </c>
      <c r="G195">
        <f>ROUND((1-RevenueTableAnswer[[#This Row],[Discount on Total Revenue]])*RevenueTableAnswer[[#This Row],[Total Revenue]],2)</f>
        <v>2252.44</v>
      </c>
    </row>
    <row r="196" spans="1:7">
      <c r="A196" s="30">
        <v>43040</v>
      </c>
      <c r="B196" t="s">
        <v>26</v>
      </c>
      <c r="C196">
        <v>99</v>
      </c>
      <c r="D196" s="31">
        <v>43.95</v>
      </c>
      <c r="E196" s="31">
        <v>4351.05</v>
      </c>
      <c r="F196">
        <f>VLOOKUP(RevenueTableAnswer[[#This Row],[Units Sold]],DiscountTableAnswer[],2)</f>
        <v>0.4375</v>
      </c>
      <c r="G196">
        <f>ROUND((1-RevenueTableAnswer[[#This Row],[Discount on Total Revenue]])*RevenueTableAnswer[[#This Row],[Total Revenue]],2)</f>
        <v>2447.47</v>
      </c>
    </row>
    <row r="197" spans="1:7">
      <c r="A197" s="30">
        <v>43045</v>
      </c>
      <c r="B197" t="s">
        <v>36</v>
      </c>
      <c r="C197">
        <v>131</v>
      </c>
      <c r="D197" s="31">
        <v>21.95</v>
      </c>
      <c r="E197" s="31">
        <v>2875.45</v>
      </c>
      <c r="F197">
        <f>VLOOKUP(RevenueTableAnswer[[#This Row],[Units Sold]],DiscountTableAnswer[],2)</f>
        <v>0.4375</v>
      </c>
      <c r="G197">
        <f>ROUND((1-RevenueTableAnswer[[#This Row],[Discount on Total Revenue]])*RevenueTableAnswer[[#This Row],[Total Revenue]],2)</f>
        <v>1617.44</v>
      </c>
    </row>
    <row r="198" spans="1:7">
      <c r="A198" s="30">
        <v>43040</v>
      </c>
      <c r="B198" t="s">
        <v>37</v>
      </c>
      <c r="C198">
        <v>175</v>
      </c>
      <c r="D198" s="31">
        <v>22.95</v>
      </c>
      <c r="E198" s="31">
        <v>4016.25</v>
      </c>
      <c r="F198">
        <f>VLOOKUP(RevenueTableAnswer[[#This Row],[Units Sold]],DiscountTableAnswer[],2)</f>
        <v>0.55</v>
      </c>
      <c r="G198">
        <f>ROUND((1-RevenueTableAnswer[[#This Row],[Discount on Total Revenue]])*RevenueTableAnswer[[#This Row],[Total Revenue]],2)</f>
        <v>1807.31</v>
      </c>
    </row>
    <row r="199" spans="1:7">
      <c r="A199" s="30">
        <v>43043</v>
      </c>
      <c r="B199" t="s">
        <v>26</v>
      </c>
      <c r="C199">
        <v>41</v>
      </c>
      <c r="D199" s="31">
        <v>43.95</v>
      </c>
      <c r="E199" s="31">
        <v>1801.95</v>
      </c>
      <c r="F199">
        <f>VLOOKUP(RevenueTableAnswer[[#This Row],[Units Sold]],DiscountTableAnswer[],2)</f>
        <v>0.25</v>
      </c>
      <c r="G199">
        <f>ROUND((1-RevenueTableAnswer[[#This Row],[Discount on Total Revenue]])*RevenueTableAnswer[[#This Row],[Total Revenue]],2)</f>
        <v>1351.46</v>
      </c>
    </row>
    <row r="200" spans="1:7">
      <c r="A200" s="30">
        <v>43043</v>
      </c>
      <c r="B200" t="s">
        <v>24</v>
      </c>
      <c r="C200">
        <v>14</v>
      </c>
      <c r="D200" s="31">
        <v>14.95</v>
      </c>
      <c r="E200" s="31">
        <v>209.3</v>
      </c>
      <c r="F200">
        <f>VLOOKUP(RevenueTableAnswer[[#This Row],[Units Sold]],DiscountTableAnswer[],2)</f>
        <v>0.25</v>
      </c>
      <c r="G200">
        <f>ROUND((1-RevenueTableAnswer[[#This Row],[Discount on Total Revenue]])*RevenueTableAnswer[[#This Row],[Total Revenue]],2)</f>
        <v>156.98</v>
      </c>
    </row>
    <row r="201" spans="1:7">
      <c r="A201" s="30">
        <v>43045</v>
      </c>
      <c r="B201" t="s">
        <v>37</v>
      </c>
      <c r="C201">
        <v>122</v>
      </c>
      <c r="D201" s="31">
        <v>22.95</v>
      </c>
      <c r="E201" s="31">
        <v>2799.9</v>
      </c>
      <c r="F201">
        <f>VLOOKUP(RevenueTableAnswer[[#This Row],[Units Sold]],DiscountTableAnswer[],2)</f>
        <v>0.4375</v>
      </c>
      <c r="G201">
        <f>ROUND((1-RevenueTableAnswer[[#This Row],[Discount on Total Revenue]])*RevenueTableAnswer[[#This Row],[Total Revenue]],2)</f>
        <v>1574.94</v>
      </c>
    </row>
    <row r="202" spans="1:7">
      <c r="A202" s="30">
        <v>43041</v>
      </c>
      <c r="B202" t="s">
        <v>37</v>
      </c>
      <c r="C202">
        <v>48</v>
      </c>
      <c r="D202" s="31">
        <v>22.95</v>
      </c>
      <c r="E202" s="31">
        <v>1101.6</v>
      </c>
      <c r="F202">
        <f>VLOOKUP(RevenueTableAnswer[[#This Row],[Units Sold]],DiscountTableAnswer[],2)</f>
        <v>0.375</v>
      </c>
      <c r="G202">
        <f>ROUND((1-RevenueTableAnswer[[#This Row],[Discount on Total Revenue]])*RevenueTableAnswer[[#This Row],[Total Revenue]],2)</f>
        <v>688.5</v>
      </c>
    </row>
    <row r="203" spans="1:7">
      <c r="A203" s="30">
        <v>43042</v>
      </c>
      <c r="B203" t="s">
        <v>36</v>
      </c>
      <c r="C203">
        <v>57</v>
      </c>
      <c r="D203" s="31">
        <v>21.95</v>
      </c>
      <c r="E203" s="31">
        <v>1251.15</v>
      </c>
      <c r="F203">
        <f>VLOOKUP(RevenueTableAnswer[[#This Row],[Units Sold]],DiscountTableAnswer[],2)</f>
        <v>0.375</v>
      </c>
      <c r="G203">
        <f>ROUND((1-RevenueTableAnswer[[#This Row],[Discount on Total Revenue]])*RevenueTableAnswer[[#This Row],[Total Revenue]],2)</f>
        <v>781.97</v>
      </c>
    </row>
    <row r="204" spans="1:7">
      <c r="A204" s="30">
        <v>43047</v>
      </c>
      <c r="B204" t="s">
        <v>26</v>
      </c>
      <c r="C204">
        <v>113</v>
      </c>
      <c r="D204" s="31">
        <v>43.95</v>
      </c>
      <c r="E204" s="31">
        <v>4966.35</v>
      </c>
      <c r="F204">
        <f>VLOOKUP(RevenueTableAnswer[[#This Row],[Units Sold]],DiscountTableAnswer[],2)</f>
        <v>0.4375</v>
      </c>
      <c r="G204">
        <f>ROUND((1-RevenueTableAnswer[[#This Row],[Discount on Total Revenue]])*RevenueTableAnswer[[#This Row],[Total Revenue]],2)</f>
        <v>2793.57</v>
      </c>
    </row>
    <row r="205" spans="1:7">
      <c r="A205" s="30">
        <v>43047</v>
      </c>
      <c r="B205" t="s">
        <v>36</v>
      </c>
      <c r="C205">
        <v>186</v>
      </c>
      <c r="D205" s="31">
        <v>21.95</v>
      </c>
      <c r="E205" s="31">
        <v>4082.7</v>
      </c>
      <c r="F205">
        <f>VLOOKUP(RevenueTableAnswer[[#This Row],[Units Sold]],DiscountTableAnswer[],2)</f>
        <v>0.55</v>
      </c>
      <c r="G205">
        <f>ROUND((1-RevenueTableAnswer[[#This Row],[Discount on Total Revenue]])*RevenueTableAnswer[[#This Row],[Total Revenue]],2)</f>
        <v>1837.22</v>
      </c>
    </row>
    <row r="206" spans="1:7">
      <c r="A206" s="30">
        <v>43043</v>
      </c>
      <c r="B206" t="s">
        <v>36</v>
      </c>
      <c r="C206">
        <v>102</v>
      </c>
      <c r="D206" s="31">
        <v>21.95</v>
      </c>
      <c r="E206" s="31">
        <v>2238.9</v>
      </c>
      <c r="F206">
        <f>VLOOKUP(RevenueTableAnswer[[#This Row],[Units Sold]],DiscountTableAnswer[],2)</f>
        <v>0.4375</v>
      </c>
      <c r="G206">
        <f>ROUND((1-RevenueTableAnswer[[#This Row],[Discount on Total Revenue]])*RevenueTableAnswer[[#This Row],[Total Revenue]],2)</f>
        <v>1259.38</v>
      </c>
    </row>
    <row r="207" spans="1:7">
      <c r="A207" s="30">
        <v>43040</v>
      </c>
      <c r="B207" t="s">
        <v>37</v>
      </c>
      <c r="C207">
        <v>77</v>
      </c>
      <c r="D207" s="31">
        <v>22.95</v>
      </c>
      <c r="E207" s="31">
        <v>1767.15</v>
      </c>
      <c r="F207">
        <f>VLOOKUP(RevenueTableAnswer[[#This Row],[Units Sold]],DiscountTableAnswer[],2)</f>
        <v>0.375</v>
      </c>
      <c r="G207">
        <f>ROUND((1-RevenueTableAnswer[[#This Row],[Discount on Total Revenue]])*RevenueTableAnswer[[#This Row],[Total Revenue]],2)</f>
        <v>1104.47</v>
      </c>
    </row>
    <row r="208" spans="1:7">
      <c r="A208" s="30">
        <v>43043</v>
      </c>
      <c r="B208" t="s">
        <v>37</v>
      </c>
      <c r="C208">
        <v>4</v>
      </c>
      <c r="D208" s="31">
        <v>22.95</v>
      </c>
      <c r="E208" s="31">
        <v>91.8</v>
      </c>
      <c r="F208">
        <f>VLOOKUP(RevenueTableAnswer[[#This Row],[Units Sold]],DiscountTableAnswer[],2)</f>
        <v>0</v>
      </c>
      <c r="G208">
        <f>ROUND((1-RevenueTableAnswer[[#This Row],[Discount on Total Revenue]])*RevenueTableAnswer[[#This Row],[Total Revenue]],2)</f>
        <v>91.8</v>
      </c>
    </row>
    <row r="209" spans="1:7">
      <c r="A209" s="30">
        <v>43045</v>
      </c>
      <c r="B209" t="s">
        <v>24</v>
      </c>
      <c r="C209">
        <v>127</v>
      </c>
      <c r="D209" s="31">
        <v>14.95</v>
      </c>
      <c r="E209" s="31">
        <v>1898.65</v>
      </c>
      <c r="F209">
        <f>VLOOKUP(RevenueTableAnswer[[#This Row],[Units Sold]],DiscountTableAnswer[],2)</f>
        <v>0.4375</v>
      </c>
      <c r="G209">
        <f>ROUND((1-RevenueTableAnswer[[#This Row],[Discount on Total Revenue]])*RevenueTableAnswer[[#This Row],[Total Revenue]],2)</f>
        <v>1067.99</v>
      </c>
    </row>
    <row r="210" spans="1:7">
      <c r="A210" s="30">
        <v>43047</v>
      </c>
      <c r="B210" t="s">
        <v>37</v>
      </c>
      <c r="C210">
        <v>172</v>
      </c>
      <c r="D210" s="31">
        <v>22.95</v>
      </c>
      <c r="E210" s="31">
        <v>3947.4</v>
      </c>
      <c r="F210">
        <f>VLOOKUP(RevenueTableAnswer[[#This Row],[Units Sold]],DiscountTableAnswer[],2)</f>
        <v>0.55</v>
      </c>
      <c r="G210">
        <f>ROUND((1-RevenueTableAnswer[[#This Row],[Discount on Total Revenue]])*RevenueTableAnswer[[#This Row],[Total Revenue]],2)</f>
        <v>1776.33</v>
      </c>
    </row>
    <row r="211" spans="1:7">
      <c r="A211" s="30">
        <v>43040</v>
      </c>
      <c r="B211" t="s">
        <v>36</v>
      </c>
      <c r="C211">
        <v>86</v>
      </c>
      <c r="D211" s="31">
        <v>21.95</v>
      </c>
      <c r="E211" s="31">
        <v>1887.7</v>
      </c>
      <c r="F211">
        <f>VLOOKUP(RevenueTableAnswer[[#This Row],[Units Sold]],DiscountTableAnswer[],2)</f>
        <v>0.375</v>
      </c>
      <c r="G211">
        <f>ROUND((1-RevenueTableAnswer[[#This Row],[Discount on Total Revenue]])*RevenueTableAnswer[[#This Row],[Total Revenue]],2)</f>
        <v>1179.81</v>
      </c>
    </row>
    <row r="212" spans="1:7">
      <c r="A212" s="30">
        <v>43044</v>
      </c>
      <c r="B212" t="s">
        <v>24</v>
      </c>
      <c r="C212">
        <v>177</v>
      </c>
      <c r="D212" s="31">
        <v>14.95</v>
      </c>
      <c r="E212" s="31">
        <v>2646.15</v>
      </c>
      <c r="F212">
        <f>VLOOKUP(RevenueTableAnswer[[#This Row],[Units Sold]],DiscountTableAnswer[],2)</f>
        <v>0.55</v>
      </c>
      <c r="G212">
        <f>ROUND((1-RevenueTableAnswer[[#This Row],[Discount on Total Revenue]])*RevenueTableAnswer[[#This Row],[Total Revenue]],2)</f>
        <v>1190.77</v>
      </c>
    </row>
    <row r="213" spans="1:7">
      <c r="A213" s="30">
        <v>43041</v>
      </c>
      <c r="B213" t="s">
        <v>36</v>
      </c>
      <c r="C213">
        <v>103</v>
      </c>
      <c r="D213" s="31">
        <v>21.95</v>
      </c>
      <c r="E213" s="31">
        <v>2260.85</v>
      </c>
      <c r="F213">
        <f>VLOOKUP(RevenueTableAnswer[[#This Row],[Units Sold]],DiscountTableAnswer[],2)</f>
        <v>0.4375</v>
      </c>
      <c r="G213">
        <f>ROUND((1-RevenueTableAnswer[[#This Row],[Discount on Total Revenue]])*RevenueTableAnswer[[#This Row],[Total Revenue]],2)</f>
        <v>1271.73</v>
      </c>
    </row>
    <row r="214" spans="1:7">
      <c r="A214" s="30">
        <v>43043</v>
      </c>
      <c r="B214" t="s">
        <v>24</v>
      </c>
      <c r="C214">
        <v>84</v>
      </c>
      <c r="D214" s="31">
        <v>14.95</v>
      </c>
      <c r="E214" s="31">
        <v>1255.8</v>
      </c>
      <c r="F214">
        <f>VLOOKUP(RevenueTableAnswer[[#This Row],[Units Sold]],DiscountTableAnswer[],2)</f>
        <v>0.375</v>
      </c>
      <c r="G214">
        <f>ROUND((1-RevenueTableAnswer[[#This Row],[Discount on Total Revenue]])*RevenueTableAnswer[[#This Row],[Total Revenue]],2)</f>
        <v>784.88</v>
      </c>
    </row>
    <row r="215" spans="1:7">
      <c r="A215" s="30">
        <v>43044</v>
      </c>
      <c r="B215" t="s">
        <v>36</v>
      </c>
      <c r="C215">
        <v>118</v>
      </c>
      <c r="D215" s="31">
        <v>21.95</v>
      </c>
      <c r="E215" s="31">
        <v>2590.1</v>
      </c>
      <c r="F215">
        <f>VLOOKUP(RevenueTableAnswer[[#This Row],[Units Sold]],DiscountTableAnswer[],2)</f>
        <v>0.4375</v>
      </c>
      <c r="G215">
        <f>ROUND((1-RevenueTableAnswer[[#This Row],[Discount on Total Revenue]])*RevenueTableAnswer[[#This Row],[Total Revenue]],2)</f>
        <v>1456.93</v>
      </c>
    </row>
    <row r="216" spans="1:7">
      <c r="A216" s="30">
        <v>43046</v>
      </c>
      <c r="B216" t="s">
        <v>37</v>
      </c>
      <c r="C216">
        <v>66</v>
      </c>
      <c r="D216" s="31">
        <v>22.95</v>
      </c>
      <c r="E216" s="31">
        <v>1514.7</v>
      </c>
      <c r="F216">
        <f>VLOOKUP(RevenueTableAnswer[[#This Row],[Units Sold]],DiscountTableAnswer[],2)</f>
        <v>0.375</v>
      </c>
      <c r="G216">
        <f>ROUND((1-RevenueTableAnswer[[#This Row],[Discount on Total Revenue]])*RevenueTableAnswer[[#This Row],[Total Revenue]],2)</f>
        <v>946.69</v>
      </c>
    </row>
    <row r="217" spans="1:7">
      <c r="A217" s="30">
        <v>43042</v>
      </c>
      <c r="B217" t="s">
        <v>36</v>
      </c>
      <c r="C217">
        <v>168</v>
      </c>
      <c r="D217" s="31">
        <v>21.95</v>
      </c>
      <c r="E217" s="31">
        <v>3687.6</v>
      </c>
      <c r="F217">
        <f>VLOOKUP(RevenueTableAnswer[[#This Row],[Units Sold]],DiscountTableAnswer[],2)</f>
        <v>0.55</v>
      </c>
      <c r="G217">
        <f>ROUND((1-RevenueTableAnswer[[#This Row],[Discount on Total Revenue]])*RevenueTableAnswer[[#This Row],[Total Revenue]],2)</f>
        <v>1659.42</v>
      </c>
    </row>
    <row r="218" spans="1:7">
      <c r="A218" s="30">
        <v>43043</v>
      </c>
      <c r="B218" t="s">
        <v>24</v>
      </c>
      <c r="C218">
        <v>155</v>
      </c>
      <c r="D218" s="31">
        <v>14.95</v>
      </c>
      <c r="E218" s="31">
        <v>2317.25</v>
      </c>
      <c r="F218">
        <f>VLOOKUP(RevenueTableAnswer[[#This Row],[Units Sold]],DiscountTableAnswer[],2)</f>
        <v>0.5</v>
      </c>
      <c r="G218">
        <f>ROUND((1-RevenueTableAnswer[[#This Row],[Discount on Total Revenue]])*RevenueTableAnswer[[#This Row],[Total Revenue]],2)</f>
        <v>1158.63</v>
      </c>
    </row>
    <row r="219" spans="1:7">
      <c r="A219" s="30">
        <v>43045</v>
      </c>
      <c r="B219" t="s">
        <v>24</v>
      </c>
      <c r="C219">
        <v>145</v>
      </c>
      <c r="D219" s="31">
        <v>14.95</v>
      </c>
      <c r="E219" s="31">
        <v>2167.75</v>
      </c>
      <c r="F219">
        <f>VLOOKUP(RevenueTableAnswer[[#This Row],[Units Sold]],DiscountTableAnswer[],2)</f>
        <v>0.5</v>
      </c>
      <c r="G219">
        <f>ROUND((1-RevenueTableAnswer[[#This Row],[Discount on Total Revenue]])*RevenueTableAnswer[[#This Row],[Total Revenue]],2)</f>
        <v>1083.88</v>
      </c>
    </row>
    <row r="220" spans="1:7">
      <c r="A220" s="30">
        <v>43040</v>
      </c>
      <c r="B220" t="s">
        <v>24</v>
      </c>
      <c r="C220">
        <v>98</v>
      </c>
      <c r="D220" s="31">
        <v>14.95</v>
      </c>
      <c r="E220" s="31">
        <v>1465.1</v>
      </c>
      <c r="F220">
        <f>VLOOKUP(RevenueTableAnswer[[#This Row],[Units Sold]],DiscountTableAnswer[],2)</f>
        <v>0.4375</v>
      </c>
      <c r="G220">
        <f>ROUND((1-RevenueTableAnswer[[#This Row],[Discount on Total Revenue]])*RevenueTableAnswer[[#This Row],[Total Revenue]],2)</f>
        <v>824.12</v>
      </c>
    </row>
    <row r="221" spans="1:7">
      <c r="A221" s="30">
        <v>43045</v>
      </c>
      <c r="B221" t="s">
        <v>24</v>
      </c>
      <c r="C221">
        <v>46</v>
      </c>
      <c r="D221" s="31">
        <v>14.95</v>
      </c>
      <c r="E221" s="31">
        <v>687.7</v>
      </c>
      <c r="F221">
        <f>VLOOKUP(RevenueTableAnswer[[#This Row],[Units Sold]],DiscountTableAnswer[],2)</f>
        <v>0.25</v>
      </c>
      <c r="G221">
        <f>ROUND((1-RevenueTableAnswer[[#This Row],[Discount on Total Revenue]])*RevenueTableAnswer[[#This Row],[Total Revenue]],2)</f>
        <v>515.78</v>
      </c>
    </row>
    <row r="222" spans="1:7">
      <c r="A222" s="30">
        <v>43040</v>
      </c>
      <c r="B222" t="s">
        <v>26</v>
      </c>
      <c r="C222">
        <v>42</v>
      </c>
      <c r="D222" s="31">
        <v>43.95</v>
      </c>
      <c r="E222" s="31">
        <v>1845.9</v>
      </c>
      <c r="F222">
        <f>VLOOKUP(RevenueTableAnswer[[#This Row],[Units Sold]],DiscountTableAnswer[],2)</f>
        <v>0.25</v>
      </c>
      <c r="G222">
        <f>ROUND((1-RevenueTableAnswer[[#This Row],[Discount on Total Revenue]])*RevenueTableAnswer[[#This Row],[Total Revenue]],2)</f>
        <v>1384.43</v>
      </c>
    </row>
    <row r="223" spans="1:7">
      <c r="A223" s="30">
        <v>43047</v>
      </c>
      <c r="B223" t="s">
        <v>24</v>
      </c>
      <c r="C223">
        <v>156</v>
      </c>
      <c r="D223" s="31">
        <v>14.95</v>
      </c>
      <c r="E223" s="31">
        <v>2332.2</v>
      </c>
      <c r="F223">
        <f>VLOOKUP(RevenueTableAnswer[[#This Row],[Units Sold]],DiscountTableAnswer[],2)</f>
        <v>0.5</v>
      </c>
      <c r="G223">
        <f>ROUND((1-RevenueTableAnswer[[#This Row],[Discount on Total Revenue]])*RevenueTableAnswer[[#This Row],[Total Revenue]],2)</f>
        <v>1166.1</v>
      </c>
    </row>
    <row r="224" spans="1:7">
      <c r="A224" s="30">
        <v>43040</v>
      </c>
      <c r="B224" t="s">
        <v>36</v>
      </c>
      <c r="C224">
        <v>20</v>
      </c>
      <c r="D224" s="31">
        <v>21.95</v>
      </c>
      <c r="E224" s="31">
        <v>439</v>
      </c>
      <c r="F224">
        <f>VLOOKUP(RevenueTableAnswer[[#This Row],[Units Sold]],DiscountTableAnswer[],2)</f>
        <v>0.25</v>
      </c>
      <c r="G224">
        <f>ROUND((1-RevenueTableAnswer[[#This Row],[Discount on Total Revenue]])*RevenueTableAnswer[[#This Row],[Total Revenue]],2)</f>
        <v>329.25</v>
      </c>
    </row>
    <row r="225" spans="1:7">
      <c r="A225" s="30">
        <v>43045</v>
      </c>
      <c r="B225" t="s">
        <v>24</v>
      </c>
      <c r="C225">
        <v>75</v>
      </c>
      <c r="D225" s="31">
        <v>14.95</v>
      </c>
      <c r="E225" s="31">
        <v>1121.25</v>
      </c>
      <c r="F225">
        <f>VLOOKUP(RevenueTableAnswer[[#This Row],[Units Sold]],DiscountTableAnswer[],2)</f>
        <v>0.375</v>
      </c>
      <c r="G225">
        <f>ROUND((1-RevenueTableAnswer[[#This Row],[Discount on Total Revenue]])*RevenueTableAnswer[[#This Row],[Total Revenue]],2)</f>
        <v>700.78</v>
      </c>
    </row>
    <row r="226" spans="1:7">
      <c r="A226" s="30">
        <v>43042</v>
      </c>
      <c r="B226" t="s">
        <v>24</v>
      </c>
      <c r="C226">
        <v>108</v>
      </c>
      <c r="D226" s="31">
        <v>14.95</v>
      </c>
      <c r="E226" s="31">
        <v>1614.6</v>
      </c>
      <c r="F226">
        <f>VLOOKUP(RevenueTableAnswer[[#This Row],[Units Sold]],DiscountTableAnswer[],2)</f>
        <v>0.4375</v>
      </c>
      <c r="G226">
        <f>ROUND((1-RevenueTableAnswer[[#This Row],[Discount on Total Revenue]])*RevenueTableAnswer[[#This Row],[Total Revenue]],2)</f>
        <v>908.21</v>
      </c>
    </row>
    <row r="227" spans="1:7">
      <c r="A227" s="30">
        <v>43043</v>
      </c>
      <c r="B227" t="s">
        <v>37</v>
      </c>
      <c r="C227">
        <v>129</v>
      </c>
      <c r="D227" s="31">
        <v>22.95</v>
      </c>
      <c r="E227" s="31">
        <v>2960.55</v>
      </c>
      <c r="F227">
        <f>VLOOKUP(RevenueTableAnswer[[#This Row],[Units Sold]],DiscountTableAnswer[],2)</f>
        <v>0.4375</v>
      </c>
      <c r="G227">
        <f>ROUND((1-RevenueTableAnswer[[#This Row],[Discount on Total Revenue]])*RevenueTableAnswer[[#This Row],[Total Revenue]],2)</f>
        <v>1665.31</v>
      </c>
    </row>
    <row r="228" spans="1:7">
      <c r="A228" s="30">
        <v>43044</v>
      </c>
      <c r="B228" t="s">
        <v>26</v>
      </c>
      <c r="C228">
        <v>113</v>
      </c>
      <c r="D228" s="31">
        <v>43.95</v>
      </c>
      <c r="E228" s="31">
        <v>4966.35</v>
      </c>
      <c r="F228">
        <f>VLOOKUP(RevenueTableAnswer[[#This Row],[Units Sold]],DiscountTableAnswer[],2)</f>
        <v>0.4375</v>
      </c>
      <c r="G228">
        <f>ROUND((1-RevenueTableAnswer[[#This Row],[Discount on Total Revenue]])*RevenueTableAnswer[[#This Row],[Total Revenue]],2)</f>
        <v>2793.57</v>
      </c>
    </row>
    <row r="229" spans="1:7">
      <c r="A229" s="30">
        <v>43040</v>
      </c>
      <c r="B229" t="s">
        <v>37</v>
      </c>
      <c r="C229">
        <v>118</v>
      </c>
      <c r="D229" s="31">
        <v>22.95</v>
      </c>
      <c r="E229" s="31">
        <v>2708.1</v>
      </c>
      <c r="F229">
        <f>VLOOKUP(RevenueTableAnswer[[#This Row],[Units Sold]],DiscountTableAnswer[],2)</f>
        <v>0.4375</v>
      </c>
      <c r="G229">
        <f>ROUND((1-RevenueTableAnswer[[#This Row],[Discount on Total Revenue]])*RevenueTableAnswer[[#This Row],[Total Revenue]],2)</f>
        <v>1523.31</v>
      </c>
    </row>
    <row r="230" spans="1:7">
      <c r="A230" s="30">
        <v>43041</v>
      </c>
      <c r="B230" t="s">
        <v>26</v>
      </c>
      <c r="C230">
        <v>46</v>
      </c>
      <c r="D230" s="31">
        <v>43.95</v>
      </c>
      <c r="E230" s="31">
        <v>2021.7</v>
      </c>
      <c r="F230">
        <f>VLOOKUP(RevenueTableAnswer[[#This Row],[Units Sold]],DiscountTableAnswer[],2)</f>
        <v>0.25</v>
      </c>
      <c r="G230">
        <f>ROUND((1-RevenueTableAnswer[[#This Row],[Discount on Total Revenue]])*RevenueTableAnswer[[#This Row],[Total Revenue]],2)</f>
        <v>1516.28</v>
      </c>
    </row>
    <row r="231" spans="1:7">
      <c r="A231" s="30">
        <v>43043</v>
      </c>
      <c r="B231" t="s">
        <v>24</v>
      </c>
      <c r="C231">
        <v>72</v>
      </c>
      <c r="D231" s="31">
        <v>14.95</v>
      </c>
      <c r="E231" s="31">
        <v>1076.4</v>
      </c>
      <c r="F231">
        <f>VLOOKUP(RevenueTableAnswer[[#This Row],[Units Sold]],DiscountTableAnswer[],2)</f>
        <v>0.375</v>
      </c>
      <c r="G231">
        <f>ROUND((1-RevenueTableAnswer[[#This Row],[Discount on Total Revenue]])*RevenueTableAnswer[[#This Row],[Total Revenue]],2)</f>
        <v>672.75</v>
      </c>
    </row>
    <row r="232" spans="1:7">
      <c r="A232" s="30">
        <v>43046</v>
      </c>
      <c r="B232" t="s">
        <v>24</v>
      </c>
      <c r="C232">
        <v>96</v>
      </c>
      <c r="D232" s="31">
        <v>14.95</v>
      </c>
      <c r="E232" s="31">
        <v>1435.2</v>
      </c>
      <c r="F232">
        <f>VLOOKUP(RevenueTableAnswer[[#This Row],[Units Sold]],DiscountTableAnswer[],2)</f>
        <v>0.4375</v>
      </c>
      <c r="G232">
        <f>ROUND((1-RevenueTableAnswer[[#This Row],[Discount on Total Revenue]])*RevenueTableAnswer[[#This Row],[Total Revenue]],2)</f>
        <v>807.3</v>
      </c>
    </row>
    <row r="233" spans="1:7">
      <c r="A233" s="30">
        <v>43042</v>
      </c>
      <c r="B233" t="s">
        <v>24</v>
      </c>
      <c r="C233">
        <v>69</v>
      </c>
      <c r="D233" s="31">
        <v>14.95</v>
      </c>
      <c r="E233" s="31">
        <v>1031.55</v>
      </c>
      <c r="F233">
        <f>VLOOKUP(RevenueTableAnswer[[#This Row],[Units Sold]],DiscountTableAnswer[],2)</f>
        <v>0.375</v>
      </c>
      <c r="G233">
        <f>ROUND((1-RevenueTableAnswer[[#This Row],[Discount on Total Revenue]])*RevenueTableAnswer[[#This Row],[Total Revenue]],2)</f>
        <v>644.72</v>
      </c>
    </row>
    <row r="234" spans="1:7">
      <c r="A234" s="30">
        <v>43042</v>
      </c>
      <c r="B234" t="s">
        <v>37</v>
      </c>
      <c r="C234">
        <v>149</v>
      </c>
      <c r="D234" s="31">
        <v>22.95</v>
      </c>
      <c r="E234" s="31">
        <v>3419.55</v>
      </c>
      <c r="F234">
        <f>VLOOKUP(RevenueTableAnswer[[#This Row],[Units Sold]],DiscountTableAnswer[],2)</f>
        <v>0.5</v>
      </c>
      <c r="G234">
        <f>ROUND((1-RevenueTableAnswer[[#This Row],[Discount on Total Revenue]])*RevenueTableAnswer[[#This Row],[Total Revenue]],2)</f>
        <v>1709.78</v>
      </c>
    </row>
    <row r="235" spans="1:7">
      <c r="A235" s="30">
        <v>43040</v>
      </c>
      <c r="B235" t="s">
        <v>37</v>
      </c>
      <c r="C235">
        <v>38</v>
      </c>
      <c r="D235" s="31">
        <v>22.95</v>
      </c>
      <c r="E235" s="31">
        <v>872.1</v>
      </c>
      <c r="F235">
        <f>VLOOKUP(RevenueTableAnswer[[#This Row],[Units Sold]],DiscountTableAnswer[],2)</f>
        <v>0.25</v>
      </c>
      <c r="G235">
        <f>ROUND((1-RevenueTableAnswer[[#This Row],[Discount on Total Revenue]])*RevenueTableAnswer[[#This Row],[Total Revenue]],2)</f>
        <v>654.08</v>
      </c>
    </row>
    <row r="236" spans="1:7">
      <c r="A236" s="30">
        <v>43042</v>
      </c>
      <c r="B236" t="s">
        <v>26</v>
      </c>
      <c r="C236">
        <v>161</v>
      </c>
      <c r="D236" s="31">
        <v>43.95</v>
      </c>
      <c r="E236" s="31">
        <v>7075.95</v>
      </c>
      <c r="F236">
        <f>VLOOKUP(RevenueTableAnswer[[#This Row],[Units Sold]],DiscountTableAnswer[],2)</f>
        <v>0.5</v>
      </c>
      <c r="G236">
        <f>ROUND((1-RevenueTableAnswer[[#This Row],[Discount on Total Revenue]])*RevenueTableAnswer[[#This Row],[Total Revenue]],2)</f>
        <v>3537.98</v>
      </c>
    </row>
    <row r="237" spans="1:7">
      <c r="A237" s="30">
        <v>43043</v>
      </c>
      <c r="B237" t="s">
        <v>24</v>
      </c>
      <c r="C237">
        <v>157</v>
      </c>
      <c r="D237" s="31">
        <v>14.95</v>
      </c>
      <c r="E237" s="31">
        <v>2347.15</v>
      </c>
      <c r="F237">
        <f>VLOOKUP(RevenueTableAnswer[[#This Row],[Units Sold]],DiscountTableAnswer[],2)</f>
        <v>0.5</v>
      </c>
      <c r="G237">
        <f>ROUND((1-RevenueTableAnswer[[#This Row],[Discount on Total Revenue]])*RevenueTableAnswer[[#This Row],[Total Revenue]],2)</f>
        <v>1173.58</v>
      </c>
    </row>
    <row r="238" spans="1:7">
      <c r="A238" s="30">
        <v>43040</v>
      </c>
      <c r="B238" t="s">
        <v>26</v>
      </c>
      <c r="C238">
        <v>86</v>
      </c>
      <c r="D238" s="31">
        <v>43.95</v>
      </c>
      <c r="E238" s="31">
        <v>3779.7</v>
      </c>
      <c r="F238">
        <f>VLOOKUP(RevenueTableAnswer[[#This Row],[Units Sold]],DiscountTableAnswer[],2)</f>
        <v>0.375</v>
      </c>
      <c r="G238">
        <f>ROUND((1-RevenueTableAnswer[[#This Row],[Discount on Total Revenue]])*RevenueTableAnswer[[#This Row],[Total Revenue]],2)</f>
        <v>2362.31</v>
      </c>
    </row>
    <row r="239" spans="1:7">
      <c r="A239" s="30">
        <v>43042</v>
      </c>
      <c r="B239" t="s">
        <v>37</v>
      </c>
      <c r="C239">
        <v>78</v>
      </c>
      <c r="D239" s="31">
        <v>22.95</v>
      </c>
      <c r="E239" s="31">
        <v>1790.1</v>
      </c>
      <c r="F239">
        <f>VLOOKUP(RevenueTableAnswer[[#This Row],[Units Sold]],DiscountTableAnswer[],2)</f>
        <v>0.375</v>
      </c>
      <c r="G239">
        <f>ROUND((1-RevenueTableAnswer[[#This Row],[Discount on Total Revenue]])*RevenueTableAnswer[[#This Row],[Total Revenue]],2)</f>
        <v>1118.81</v>
      </c>
    </row>
    <row r="240" spans="1:7">
      <c r="A240" s="30">
        <v>43040</v>
      </c>
      <c r="B240" t="s">
        <v>24</v>
      </c>
      <c r="C240">
        <v>125</v>
      </c>
      <c r="D240" s="31">
        <v>14.95</v>
      </c>
      <c r="E240" s="31">
        <v>1868.75</v>
      </c>
      <c r="F240">
        <f>VLOOKUP(RevenueTableAnswer[[#This Row],[Units Sold]],DiscountTableAnswer[],2)</f>
        <v>0.4375</v>
      </c>
      <c r="G240">
        <f>ROUND((1-RevenueTableAnswer[[#This Row],[Discount on Total Revenue]])*RevenueTableAnswer[[#This Row],[Total Revenue]],2)</f>
        <v>1051.17</v>
      </c>
    </row>
    <row r="241" spans="1:7">
      <c r="A241" s="30">
        <v>43045</v>
      </c>
      <c r="B241" t="s">
        <v>24</v>
      </c>
      <c r="C241">
        <v>48</v>
      </c>
      <c r="D241" s="31">
        <v>14.95</v>
      </c>
      <c r="E241" s="31">
        <v>717.6</v>
      </c>
      <c r="F241">
        <f>VLOOKUP(RevenueTableAnswer[[#This Row],[Units Sold]],DiscountTableAnswer[],2)</f>
        <v>0.375</v>
      </c>
      <c r="G241">
        <f>ROUND((1-RevenueTableAnswer[[#This Row],[Discount on Total Revenue]])*RevenueTableAnswer[[#This Row],[Total Revenue]],2)</f>
        <v>448.5</v>
      </c>
    </row>
    <row r="242" spans="1:7">
      <c r="A242" s="30">
        <v>43047</v>
      </c>
      <c r="B242" t="s">
        <v>37</v>
      </c>
      <c r="C242">
        <v>71</v>
      </c>
      <c r="D242" s="31">
        <v>22.95</v>
      </c>
      <c r="E242" s="31">
        <v>1629.45</v>
      </c>
      <c r="F242">
        <f>VLOOKUP(RevenueTableAnswer[[#This Row],[Units Sold]],DiscountTableAnswer[],2)</f>
        <v>0.375</v>
      </c>
      <c r="G242">
        <f>ROUND((1-RevenueTableAnswer[[#This Row],[Discount on Total Revenue]])*RevenueTableAnswer[[#This Row],[Total Revenue]],2)</f>
        <v>1018.41</v>
      </c>
    </row>
    <row r="243" spans="1:7">
      <c r="A243" s="30">
        <v>43043</v>
      </c>
      <c r="B243" t="s">
        <v>24</v>
      </c>
      <c r="C243">
        <v>32</v>
      </c>
      <c r="D243" s="31">
        <v>14.95</v>
      </c>
      <c r="E243" s="31">
        <v>478.4</v>
      </c>
      <c r="F243">
        <f>VLOOKUP(RevenueTableAnswer[[#This Row],[Units Sold]],DiscountTableAnswer[],2)</f>
        <v>0.25</v>
      </c>
      <c r="G243">
        <f>ROUND((1-RevenueTableAnswer[[#This Row],[Discount on Total Revenue]])*RevenueTableAnswer[[#This Row],[Total Revenue]],2)</f>
        <v>358.8</v>
      </c>
    </row>
    <row r="244" spans="1:7">
      <c r="A244" s="30">
        <v>43045</v>
      </c>
      <c r="B244" t="s">
        <v>36</v>
      </c>
      <c r="C244">
        <v>161</v>
      </c>
      <c r="D244" s="31">
        <v>21.95</v>
      </c>
      <c r="E244" s="31">
        <v>3533.95</v>
      </c>
      <c r="F244">
        <f>VLOOKUP(RevenueTableAnswer[[#This Row],[Units Sold]],DiscountTableAnswer[],2)</f>
        <v>0.5</v>
      </c>
      <c r="G244">
        <f>ROUND((1-RevenueTableAnswer[[#This Row],[Discount on Total Revenue]])*RevenueTableAnswer[[#This Row],[Total Revenue]],2)</f>
        <v>1766.98</v>
      </c>
    </row>
    <row r="245" spans="1:7">
      <c r="A245" s="30">
        <v>43047</v>
      </c>
      <c r="B245" t="s">
        <v>24</v>
      </c>
      <c r="C245">
        <v>65</v>
      </c>
      <c r="D245" s="31">
        <v>14.95</v>
      </c>
      <c r="E245" s="31">
        <v>971.75</v>
      </c>
      <c r="F245">
        <f>VLOOKUP(RevenueTableAnswer[[#This Row],[Units Sold]],DiscountTableAnswer[],2)</f>
        <v>0.375</v>
      </c>
      <c r="G245">
        <f>ROUND((1-RevenueTableAnswer[[#This Row],[Discount on Total Revenue]])*RevenueTableAnswer[[#This Row],[Total Revenue]],2)</f>
        <v>607.34</v>
      </c>
    </row>
    <row r="246" spans="1:7">
      <c r="A246" s="30">
        <v>43040</v>
      </c>
      <c r="B246" t="s">
        <v>26</v>
      </c>
      <c r="C246">
        <v>189</v>
      </c>
      <c r="D246" s="31">
        <v>43.95</v>
      </c>
      <c r="E246" s="31">
        <v>8306.55</v>
      </c>
      <c r="F246">
        <f>VLOOKUP(RevenueTableAnswer[[#This Row],[Units Sold]],DiscountTableAnswer[],2)</f>
        <v>0.55</v>
      </c>
      <c r="G246">
        <f>ROUND((1-RevenueTableAnswer[[#This Row],[Discount on Total Revenue]])*RevenueTableAnswer[[#This Row],[Total Revenue]],2)</f>
        <v>3737.95</v>
      </c>
    </row>
    <row r="247" spans="1:7">
      <c r="A247" s="30">
        <v>43045</v>
      </c>
      <c r="B247" t="s">
        <v>37</v>
      </c>
      <c r="C247">
        <v>181</v>
      </c>
      <c r="D247" s="31">
        <v>22.95</v>
      </c>
      <c r="E247" s="31">
        <v>4153.95</v>
      </c>
      <c r="F247">
        <f>VLOOKUP(RevenueTableAnswer[[#This Row],[Units Sold]],DiscountTableAnswer[],2)</f>
        <v>0.55</v>
      </c>
      <c r="G247">
        <f>ROUND((1-RevenueTableAnswer[[#This Row],[Discount on Total Revenue]])*RevenueTableAnswer[[#This Row],[Total Revenue]],2)</f>
        <v>1869.28</v>
      </c>
    </row>
    <row r="248" spans="1:7">
      <c r="A248" s="30">
        <v>43044</v>
      </c>
      <c r="B248" t="s">
        <v>24</v>
      </c>
      <c r="C248">
        <v>48</v>
      </c>
      <c r="D248" s="31">
        <v>14.95</v>
      </c>
      <c r="E248" s="31">
        <v>717.6</v>
      </c>
      <c r="F248">
        <f>VLOOKUP(RevenueTableAnswer[[#This Row],[Units Sold]],DiscountTableAnswer[],2)</f>
        <v>0.375</v>
      </c>
      <c r="G248">
        <f>ROUND((1-RevenueTableAnswer[[#This Row],[Discount on Total Revenue]])*RevenueTableAnswer[[#This Row],[Total Revenue]],2)</f>
        <v>448.5</v>
      </c>
    </row>
    <row r="249" spans="1:7">
      <c r="A249" s="30">
        <v>43044</v>
      </c>
      <c r="B249" t="s">
        <v>24</v>
      </c>
      <c r="C249">
        <v>132</v>
      </c>
      <c r="D249" s="31">
        <v>14.95</v>
      </c>
      <c r="E249" s="31">
        <v>1973.4</v>
      </c>
      <c r="F249">
        <f>VLOOKUP(RevenueTableAnswer[[#This Row],[Units Sold]],DiscountTableAnswer[],2)</f>
        <v>0.4375</v>
      </c>
      <c r="G249">
        <f>ROUND((1-RevenueTableAnswer[[#This Row],[Discount on Total Revenue]])*RevenueTableAnswer[[#This Row],[Total Revenue]],2)</f>
        <v>1110.04</v>
      </c>
    </row>
    <row r="250" spans="1:7">
      <c r="A250" s="30">
        <v>43045</v>
      </c>
      <c r="B250" t="s">
        <v>37</v>
      </c>
      <c r="C250">
        <v>54</v>
      </c>
      <c r="D250" s="31">
        <v>22.95</v>
      </c>
      <c r="E250" s="31">
        <v>1239.3</v>
      </c>
      <c r="F250">
        <f>VLOOKUP(RevenueTableAnswer[[#This Row],[Units Sold]],DiscountTableAnswer[],2)</f>
        <v>0.375</v>
      </c>
      <c r="G250">
        <f>ROUND((1-RevenueTableAnswer[[#This Row],[Discount on Total Revenue]])*RevenueTableAnswer[[#This Row],[Total Revenue]],2)</f>
        <v>774.56</v>
      </c>
    </row>
    <row r="251" spans="1:7">
      <c r="A251" s="30">
        <v>43044</v>
      </c>
      <c r="B251" t="s">
        <v>37</v>
      </c>
      <c r="C251">
        <v>103</v>
      </c>
      <c r="D251" s="31">
        <v>22.95</v>
      </c>
      <c r="E251" s="31">
        <v>2363.85</v>
      </c>
      <c r="F251">
        <f>VLOOKUP(RevenueTableAnswer[[#This Row],[Units Sold]],DiscountTableAnswer[],2)</f>
        <v>0.4375</v>
      </c>
      <c r="G251">
        <f>ROUND((1-RevenueTableAnswer[[#This Row],[Discount on Total Revenue]])*RevenueTableAnswer[[#This Row],[Total Revenue]],2)</f>
        <v>1329.67</v>
      </c>
    </row>
    <row r="252" spans="1:7">
      <c r="A252" s="30">
        <v>43043</v>
      </c>
      <c r="B252" t="s">
        <v>36</v>
      </c>
      <c r="C252">
        <v>129</v>
      </c>
      <c r="D252" s="31">
        <v>21.95</v>
      </c>
      <c r="E252" s="31">
        <v>2831.55</v>
      </c>
      <c r="F252">
        <f>VLOOKUP(RevenueTableAnswer[[#This Row],[Units Sold]],DiscountTableAnswer[],2)</f>
        <v>0.4375</v>
      </c>
      <c r="G252">
        <f>ROUND((1-RevenueTableAnswer[[#This Row],[Discount on Total Revenue]])*RevenueTableAnswer[[#This Row],[Total Revenue]],2)</f>
        <v>1592.75</v>
      </c>
    </row>
    <row r="253" spans="1:7">
      <c r="A253" s="30">
        <v>43042</v>
      </c>
      <c r="B253" t="s">
        <v>37</v>
      </c>
      <c r="C253">
        <v>104</v>
      </c>
      <c r="D253" s="31">
        <v>22.95</v>
      </c>
      <c r="E253" s="31">
        <v>2386.8</v>
      </c>
      <c r="F253">
        <f>VLOOKUP(RevenueTableAnswer[[#This Row],[Units Sold]],DiscountTableAnswer[],2)</f>
        <v>0.4375</v>
      </c>
      <c r="G253">
        <f>ROUND((1-RevenueTableAnswer[[#This Row],[Discount on Total Revenue]])*RevenueTableAnswer[[#This Row],[Total Revenue]],2)</f>
        <v>1342.58</v>
      </c>
    </row>
    <row r="254" spans="1:7">
      <c r="A254" s="30">
        <v>43047</v>
      </c>
      <c r="B254" t="s">
        <v>36</v>
      </c>
      <c r="C254">
        <v>121</v>
      </c>
      <c r="D254" s="31">
        <v>21.95</v>
      </c>
      <c r="E254" s="31">
        <v>2655.95</v>
      </c>
      <c r="F254">
        <f>VLOOKUP(RevenueTableAnswer[[#This Row],[Units Sold]],DiscountTableAnswer[],2)</f>
        <v>0.4375</v>
      </c>
      <c r="G254">
        <f>ROUND((1-RevenueTableAnswer[[#This Row],[Discount on Total Revenue]])*RevenueTableAnswer[[#This Row],[Total Revenue]],2)</f>
        <v>1493.97</v>
      </c>
    </row>
    <row r="255" spans="1:7">
      <c r="A255" s="30">
        <v>43043</v>
      </c>
      <c r="B255" t="s">
        <v>24</v>
      </c>
      <c r="C255">
        <v>148</v>
      </c>
      <c r="D255" s="31">
        <v>14.95</v>
      </c>
      <c r="E255" s="31">
        <v>2212.6</v>
      </c>
      <c r="F255">
        <f>VLOOKUP(RevenueTableAnswer[[#This Row],[Units Sold]],DiscountTableAnswer[],2)</f>
        <v>0.5</v>
      </c>
      <c r="G255">
        <f>ROUND((1-RevenueTableAnswer[[#This Row],[Discount on Total Revenue]])*RevenueTableAnswer[[#This Row],[Total Revenue]],2)</f>
        <v>1106.3</v>
      </c>
    </row>
    <row r="256" spans="1:7">
      <c r="A256" s="30">
        <v>43044</v>
      </c>
      <c r="B256" t="s">
        <v>24</v>
      </c>
      <c r="C256">
        <v>79</v>
      </c>
      <c r="D256" s="31">
        <v>14.95</v>
      </c>
      <c r="E256" s="31">
        <v>1181.05</v>
      </c>
      <c r="F256">
        <f>VLOOKUP(RevenueTableAnswer[[#This Row],[Units Sold]],DiscountTableAnswer[],2)</f>
        <v>0.375</v>
      </c>
      <c r="G256">
        <f>ROUND((1-RevenueTableAnswer[[#This Row],[Discount on Total Revenue]])*RevenueTableAnswer[[#This Row],[Total Revenue]],2)</f>
        <v>738.16</v>
      </c>
    </row>
    <row r="257" spans="1:7">
      <c r="A257" s="30">
        <v>43046</v>
      </c>
      <c r="B257" t="s">
        <v>37</v>
      </c>
      <c r="C257">
        <v>180</v>
      </c>
      <c r="D257" s="31">
        <v>22.95</v>
      </c>
      <c r="E257" s="31">
        <v>4131</v>
      </c>
      <c r="F257">
        <f>VLOOKUP(RevenueTableAnswer[[#This Row],[Units Sold]],DiscountTableAnswer[],2)</f>
        <v>0.55</v>
      </c>
      <c r="G257">
        <f>ROUND((1-RevenueTableAnswer[[#This Row],[Discount on Total Revenue]])*RevenueTableAnswer[[#This Row],[Total Revenue]],2)</f>
        <v>1858.95</v>
      </c>
    </row>
    <row r="258" spans="1:7">
      <c r="A258" s="30">
        <v>43040</v>
      </c>
      <c r="B258" t="s">
        <v>37</v>
      </c>
      <c r="C258">
        <v>154</v>
      </c>
      <c r="D258" s="31">
        <v>22.95</v>
      </c>
      <c r="E258" s="31">
        <v>3534.3</v>
      </c>
      <c r="F258">
        <f>VLOOKUP(RevenueTableAnswer[[#This Row],[Units Sold]],DiscountTableAnswer[],2)</f>
        <v>0.5</v>
      </c>
      <c r="G258">
        <f>ROUND((1-RevenueTableAnswer[[#This Row],[Discount on Total Revenue]])*RevenueTableAnswer[[#This Row],[Total Revenue]],2)</f>
        <v>1767.15</v>
      </c>
    </row>
    <row r="259" spans="1:7">
      <c r="A259" s="30">
        <v>43047</v>
      </c>
      <c r="B259" t="s">
        <v>24</v>
      </c>
      <c r="C259">
        <v>103</v>
      </c>
      <c r="D259" s="31">
        <v>14.95</v>
      </c>
      <c r="E259" s="31">
        <v>1539.85</v>
      </c>
      <c r="F259">
        <f>VLOOKUP(RevenueTableAnswer[[#This Row],[Units Sold]],DiscountTableAnswer[],2)</f>
        <v>0.4375</v>
      </c>
      <c r="G259">
        <f>ROUND((1-RevenueTableAnswer[[#This Row],[Discount on Total Revenue]])*RevenueTableAnswer[[#This Row],[Total Revenue]],2)</f>
        <v>866.17</v>
      </c>
    </row>
    <row r="260" spans="1:7">
      <c r="A260" s="30">
        <v>43047</v>
      </c>
      <c r="B260" t="s">
        <v>26</v>
      </c>
      <c r="C260">
        <v>161</v>
      </c>
      <c r="D260" s="31">
        <v>43.95</v>
      </c>
      <c r="E260" s="31">
        <v>7075.95</v>
      </c>
      <c r="F260">
        <f>VLOOKUP(RevenueTableAnswer[[#This Row],[Units Sold]],DiscountTableAnswer[],2)</f>
        <v>0.5</v>
      </c>
      <c r="G260">
        <f>ROUND((1-RevenueTableAnswer[[#This Row],[Discount on Total Revenue]])*RevenueTableAnswer[[#This Row],[Total Revenue]],2)</f>
        <v>3537.98</v>
      </c>
    </row>
    <row r="261" spans="1:7">
      <c r="A261" s="30">
        <v>43047</v>
      </c>
      <c r="B261" t="s">
        <v>37</v>
      </c>
      <c r="C261">
        <v>96</v>
      </c>
      <c r="D261" s="31">
        <v>22.95</v>
      </c>
      <c r="E261" s="31">
        <v>2203.2</v>
      </c>
      <c r="F261">
        <f>VLOOKUP(RevenueTableAnswer[[#This Row],[Units Sold]],DiscountTableAnswer[],2)</f>
        <v>0.4375</v>
      </c>
      <c r="G261">
        <f>ROUND((1-RevenueTableAnswer[[#This Row],[Discount on Total Revenue]])*RevenueTableAnswer[[#This Row],[Total Revenue]],2)</f>
        <v>1239.3</v>
      </c>
    </row>
    <row r="262" spans="1:7">
      <c r="A262" s="30">
        <v>43044</v>
      </c>
      <c r="B262" t="s">
        <v>37</v>
      </c>
      <c r="C262">
        <v>180</v>
      </c>
      <c r="D262" s="31">
        <v>22.95</v>
      </c>
      <c r="E262" s="31">
        <v>4131</v>
      </c>
      <c r="F262">
        <f>VLOOKUP(RevenueTableAnswer[[#This Row],[Units Sold]],DiscountTableAnswer[],2)</f>
        <v>0.55</v>
      </c>
      <c r="G262">
        <f>ROUND((1-RevenueTableAnswer[[#This Row],[Discount on Total Revenue]])*RevenueTableAnswer[[#This Row],[Total Revenue]],2)</f>
        <v>1858.95</v>
      </c>
    </row>
    <row r="263" spans="1:7">
      <c r="A263" s="30">
        <v>43047</v>
      </c>
      <c r="B263" t="s">
        <v>24</v>
      </c>
      <c r="C263">
        <v>40</v>
      </c>
      <c r="D263" s="31">
        <v>14.95</v>
      </c>
      <c r="E263" s="31">
        <v>598</v>
      </c>
      <c r="F263">
        <f>VLOOKUP(RevenueTableAnswer[[#This Row],[Units Sold]],DiscountTableAnswer[],2)</f>
        <v>0.25</v>
      </c>
      <c r="G263">
        <f>ROUND((1-RevenueTableAnswer[[#This Row],[Discount on Total Revenue]])*RevenueTableAnswer[[#This Row],[Total Revenue]],2)</f>
        <v>448.5</v>
      </c>
    </row>
    <row r="264" spans="1:7">
      <c r="A264" s="30">
        <v>43043</v>
      </c>
      <c r="B264" t="s">
        <v>36</v>
      </c>
      <c r="C264">
        <v>127</v>
      </c>
      <c r="D264" s="31">
        <v>21.95</v>
      </c>
      <c r="E264" s="31">
        <v>2787.65</v>
      </c>
      <c r="F264">
        <f>VLOOKUP(RevenueTableAnswer[[#This Row],[Units Sold]],DiscountTableAnswer[],2)</f>
        <v>0.4375</v>
      </c>
      <c r="G264">
        <f>ROUND((1-RevenueTableAnswer[[#This Row],[Discount on Total Revenue]])*RevenueTableAnswer[[#This Row],[Total Revenue]],2)</f>
        <v>1568.05</v>
      </c>
    </row>
    <row r="265" spans="1:7">
      <c r="A265" s="30">
        <v>43047</v>
      </c>
      <c r="B265" t="s">
        <v>26</v>
      </c>
      <c r="C265">
        <v>165</v>
      </c>
      <c r="D265" s="31">
        <v>43.95</v>
      </c>
      <c r="E265" s="31">
        <v>7251.75</v>
      </c>
      <c r="F265">
        <f>VLOOKUP(RevenueTableAnswer[[#This Row],[Units Sold]],DiscountTableAnswer[],2)</f>
        <v>0.5</v>
      </c>
      <c r="G265">
        <f>ROUND((1-RevenueTableAnswer[[#This Row],[Discount on Total Revenue]])*RevenueTableAnswer[[#This Row],[Total Revenue]],2)</f>
        <v>3625.88</v>
      </c>
    </row>
    <row r="266" spans="1:7">
      <c r="A266" s="30">
        <v>43047</v>
      </c>
      <c r="B266" t="s">
        <v>26</v>
      </c>
      <c r="C266">
        <v>148</v>
      </c>
      <c r="D266" s="31">
        <v>43.95</v>
      </c>
      <c r="E266" s="31">
        <v>6504.6</v>
      </c>
      <c r="F266">
        <f>VLOOKUP(RevenueTableAnswer[[#This Row],[Units Sold]],DiscountTableAnswer[],2)</f>
        <v>0.5</v>
      </c>
      <c r="G266">
        <f>ROUND((1-RevenueTableAnswer[[#This Row],[Discount on Total Revenue]])*RevenueTableAnswer[[#This Row],[Total Revenue]],2)</f>
        <v>3252.3</v>
      </c>
    </row>
    <row r="267" spans="1:7">
      <c r="A267" s="30">
        <v>43045</v>
      </c>
      <c r="B267" t="s">
        <v>37</v>
      </c>
      <c r="C267">
        <v>132</v>
      </c>
      <c r="D267" s="31">
        <v>22.95</v>
      </c>
      <c r="E267" s="31">
        <v>3029.4</v>
      </c>
      <c r="F267">
        <f>VLOOKUP(RevenueTableAnswer[[#This Row],[Units Sold]],DiscountTableAnswer[],2)</f>
        <v>0.4375</v>
      </c>
      <c r="G267">
        <f>ROUND((1-RevenueTableAnswer[[#This Row],[Discount on Total Revenue]])*RevenueTableAnswer[[#This Row],[Total Revenue]],2)</f>
        <v>1704.04</v>
      </c>
    </row>
    <row r="268" spans="1:7">
      <c r="A268" s="30">
        <v>43045</v>
      </c>
      <c r="B268" t="s">
        <v>26</v>
      </c>
      <c r="C268">
        <v>24</v>
      </c>
      <c r="D268" s="31">
        <v>43.95</v>
      </c>
      <c r="E268" s="31">
        <v>1054.8</v>
      </c>
      <c r="F268">
        <f>VLOOKUP(RevenueTableAnswer[[#This Row],[Units Sold]],DiscountTableAnswer[],2)</f>
        <v>0.25</v>
      </c>
      <c r="G268">
        <f>ROUND((1-RevenueTableAnswer[[#This Row],[Discount on Total Revenue]])*RevenueTableAnswer[[#This Row],[Total Revenue]],2)</f>
        <v>791.1</v>
      </c>
    </row>
    <row r="269" spans="1:7">
      <c r="A269" s="30">
        <v>43042</v>
      </c>
      <c r="B269" t="s">
        <v>24</v>
      </c>
      <c r="C269">
        <v>131</v>
      </c>
      <c r="D269" s="31">
        <v>14.95</v>
      </c>
      <c r="E269" s="31">
        <v>1958.45</v>
      </c>
      <c r="F269">
        <f>VLOOKUP(RevenueTableAnswer[[#This Row],[Units Sold]],DiscountTableAnswer[],2)</f>
        <v>0.4375</v>
      </c>
      <c r="G269">
        <f>ROUND((1-RevenueTableAnswer[[#This Row],[Discount on Total Revenue]])*RevenueTableAnswer[[#This Row],[Total Revenue]],2)</f>
        <v>1101.63</v>
      </c>
    </row>
    <row r="270" spans="1:7">
      <c r="A270" s="30">
        <v>43045</v>
      </c>
      <c r="B270" t="s">
        <v>26</v>
      </c>
      <c r="C270">
        <v>38</v>
      </c>
      <c r="D270" s="31">
        <v>43.95</v>
      </c>
      <c r="E270" s="31">
        <v>1670.1</v>
      </c>
      <c r="F270">
        <f>VLOOKUP(RevenueTableAnswer[[#This Row],[Units Sold]],DiscountTableAnswer[],2)</f>
        <v>0.25</v>
      </c>
      <c r="G270">
        <f>ROUND((1-RevenueTableAnswer[[#This Row],[Discount on Total Revenue]])*RevenueTableAnswer[[#This Row],[Total Revenue]],2)</f>
        <v>1252.58</v>
      </c>
    </row>
    <row r="271" spans="1:7">
      <c r="A271" s="30">
        <v>43042</v>
      </c>
      <c r="B271" t="s">
        <v>26</v>
      </c>
      <c r="C271">
        <v>114</v>
      </c>
      <c r="D271" s="31">
        <v>43.95</v>
      </c>
      <c r="E271" s="31">
        <v>5010.3</v>
      </c>
      <c r="F271">
        <f>VLOOKUP(RevenueTableAnswer[[#This Row],[Units Sold]],DiscountTableAnswer[],2)</f>
        <v>0.4375</v>
      </c>
      <c r="G271">
        <f>ROUND((1-RevenueTableAnswer[[#This Row],[Discount on Total Revenue]])*RevenueTableAnswer[[#This Row],[Total Revenue]],2)</f>
        <v>2818.29</v>
      </c>
    </row>
    <row r="272" spans="1:7">
      <c r="A272" s="30">
        <v>43042</v>
      </c>
      <c r="B272" t="s">
        <v>36</v>
      </c>
      <c r="C272">
        <v>27</v>
      </c>
      <c r="D272" s="31">
        <v>21.95</v>
      </c>
      <c r="E272" s="31">
        <v>592.65</v>
      </c>
      <c r="F272">
        <f>VLOOKUP(RevenueTableAnswer[[#This Row],[Units Sold]],DiscountTableAnswer[],2)</f>
        <v>0.25</v>
      </c>
      <c r="G272">
        <f>ROUND((1-RevenueTableAnswer[[#This Row],[Discount on Total Revenue]])*RevenueTableAnswer[[#This Row],[Total Revenue]],2)</f>
        <v>444.49</v>
      </c>
    </row>
    <row r="273" spans="1:7">
      <c r="A273" s="30">
        <v>43046</v>
      </c>
      <c r="B273" t="s">
        <v>36</v>
      </c>
      <c r="C273">
        <v>29</v>
      </c>
      <c r="D273" s="31">
        <v>21.95</v>
      </c>
      <c r="E273" s="31">
        <v>636.55</v>
      </c>
      <c r="F273">
        <f>VLOOKUP(RevenueTableAnswer[[#This Row],[Units Sold]],DiscountTableAnswer[],2)</f>
        <v>0.25</v>
      </c>
      <c r="G273">
        <f>ROUND((1-RevenueTableAnswer[[#This Row],[Discount on Total Revenue]])*RevenueTableAnswer[[#This Row],[Total Revenue]],2)</f>
        <v>477.41</v>
      </c>
    </row>
    <row r="274" spans="1:7">
      <c r="A274" s="30">
        <v>43041</v>
      </c>
      <c r="B274" t="s">
        <v>26</v>
      </c>
      <c r="C274">
        <v>155</v>
      </c>
      <c r="D274" s="31">
        <v>43.95</v>
      </c>
      <c r="E274" s="31">
        <v>6812.25</v>
      </c>
      <c r="F274">
        <f>VLOOKUP(RevenueTableAnswer[[#This Row],[Units Sold]],DiscountTableAnswer[],2)</f>
        <v>0.5</v>
      </c>
      <c r="G274">
        <f>ROUND((1-RevenueTableAnswer[[#This Row],[Discount on Total Revenue]])*RevenueTableAnswer[[#This Row],[Total Revenue]],2)</f>
        <v>3406.13</v>
      </c>
    </row>
    <row r="275" spans="1:7">
      <c r="A275" s="30">
        <v>43041</v>
      </c>
      <c r="B275" t="s">
        <v>26</v>
      </c>
      <c r="C275">
        <v>45</v>
      </c>
      <c r="D275" s="31">
        <v>43.95</v>
      </c>
      <c r="E275" s="31">
        <v>1977.75</v>
      </c>
      <c r="F275">
        <f>VLOOKUP(RevenueTableAnswer[[#This Row],[Units Sold]],DiscountTableAnswer[],2)</f>
        <v>0.25</v>
      </c>
      <c r="G275">
        <f>ROUND((1-RevenueTableAnswer[[#This Row],[Discount on Total Revenue]])*RevenueTableAnswer[[#This Row],[Total Revenue]],2)</f>
        <v>1483.31</v>
      </c>
    </row>
    <row r="276" spans="1:7">
      <c r="A276" s="30">
        <v>43043</v>
      </c>
      <c r="B276" t="s">
        <v>37</v>
      </c>
      <c r="C276">
        <v>156</v>
      </c>
      <c r="D276" s="31">
        <v>22.95</v>
      </c>
      <c r="E276" s="31">
        <v>3580.2</v>
      </c>
      <c r="F276">
        <f>VLOOKUP(RevenueTableAnswer[[#This Row],[Units Sold]],DiscountTableAnswer[],2)</f>
        <v>0.5</v>
      </c>
      <c r="G276">
        <f>ROUND((1-RevenueTableAnswer[[#This Row],[Discount on Total Revenue]])*RevenueTableAnswer[[#This Row],[Total Revenue]],2)</f>
        <v>1790.1</v>
      </c>
    </row>
    <row r="277" spans="1:7">
      <c r="A277" s="30">
        <v>43043</v>
      </c>
      <c r="B277" t="s">
        <v>36</v>
      </c>
      <c r="C277">
        <v>81</v>
      </c>
      <c r="D277" s="31">
        <v>21.95</v>
      </c>
      <c r="E277" s="31">
        <v>1777.95</v>
      </c>
      <c r="F277">
        <f>VLOOKUP(RevenueTableAnswer[[#This Row],[Units Sold]],DiscountTableAnswer[],2)</f>
        <v>0.375</v>
      </c>
      <c r="G277">
        <f>ROUND((1-RevenueTableAnswer[[#This Row],[Discount on Total Revenue]])*RevenueTableAnswer[[#This Row],[Total Revenue]],2)</f>
        <v>1111.22</v>
      </c>
    </row>
    <row r="278" spans="1:7">
      <c r="A278" s="30">
        <v>43040</v>
      </c>
      <c r="B278" t="s">
        <v>24</v>
      </c>
      <c r="C278">
        <v>56</v>
      </c>
      <c r="D278" s="31">
        <v>14.95</v>
      </c>
      <c r="E278" s="31">
        <v>837.2</v>
      </c>
      <c r="F278">
        <f>VLOOKUP(RevenueTableAnswer[[#This Row],[Units Sold]],DiscountTableAnswer[],2)</f>
        <v>0.375</v>
      </c>
      <c r="G278">
        <f>ROUND((1-RevenueTableAnswer[[#This Row],[Discount on Total Revenue]])*RevenueTableAnswer[[#This Row],[Total Revenue]],2)</f>
        <v>523.25</v>
      </c>
    </row>
    <row r="279" spans="1:7">
      <c r="A279" s="30">
        <v>43043</v>
      </c>
      <c r="B279" t="s">
        <v>36</v>
      </c>
      <c r="C279">
        <v>12</v>
      </c>
      <c r="D279" s="31">
        <v>21.95</v>
      </c>
      <c r="E279" s="31">
        <v>263.4</v>
      </c>
      <c r="F279">
        <f>VLOOKUP(RevenueTableAnswer[[#This Row],[Units Sold]],DiscountTableAnswer[],2)</f>
        <v>0.25</v>
      </c>
      <c r="G279">
        <f>ROUND((1-RevenueTableAnswer[[#This Row],[Discount on Total Revenue]])*RevenueTableAnswer[[#This Row],[Total Revenue]],2)</f>
        <v>197.55</v>
      </c>
    </row>
    <row r="280" spans="1:7">
      <c r="A280" s="30">
        <v>43046</v>
      </c>
      <c r="B280" t="s">
        <v>26</v>
      </c>
      <c r="C280">
        <v>116</v>
      </c>
      <c r="D280" s="31">
        <v>43.95</v>
      </c>
      <c r="E280" s="31">
        <v>5098.2</v>
      </c>
      <c r="F280">
        <f>VLOOKUP(RevenueTableAnswer[[#This Row],[Units Sold]],DiscountTableAnswer[],2)</f>
        <v>0.4375</v>
      </c>
      <c r="G280">
        <f>ROUND((1-RevenueTableAnswer[[#This Row],[Discount on Total Revenue]])*RevenueTableAnswer[[#This Row],[Total Revenue]],2)</f>
        <v>2867.74</v>
      </c>
    </row>
    <row r="281" spans="1:7">
      <c r="A281" s="30">
        <v>43043</v>
      </c>
      <c r="B281" t="s">
        <v>24</v>
      </c>
      <c r="C281">
        <v>145</v>
      </c>
      <c r="D281" s="31">
        <v>14.95</v>
      </c>
      <c r="E281" s="31">
        <v>2167.75</v>
      </c>
      <c r="F281">
        <f>VLOOKUP(RevenueTableAnswer[[#This Row],[Units Sold]],DiscountTableAnswer[],2)</f>
        <v>0.5</v>
      </c>
      <c r="G281">
        <f>ROUND((1-RevenueTableAnswer[[#This Row],[Discount on Total Revenue]])*RevenueTableAnswer[[#This Row],[Total Revenue]],2)</f>
        <v>1083.88</v>
      </c>
    </row>
    <row r="282" spans="1:7">
      <c r="A282" s="30">
        <v>43044</v>
      </c>
      <c r="B282" t="s">
        <v>37</v>
      </c>
      <c r="C282">
        <v>19</v>
      </c>
      <c r="D282" s="31">
        <v>22.95</v>
      </c>
      <c r="E282" s="31">
        <v>436.05</v>
      </c>
      <c r="F282">
        <f>VLOOKUP(RevenueTableAnswer[[#This Row],[Units Sold]],DiscountTableAnswer[],2)</f>
        <v>0.25</v>
      </c>
      <c r="G282">
        <f>ROUND((1-RevenueTableAnswer[[#This Row],[Discount on Total Revenue]])*RevenueTableAnswer[[#This Row],[Total Revenue]],2)</f>
        <v>327.04</v>
      </c>
    </row>
    <row r="283" spans="1:7">
      <c r="A283" s="30">
        <v>43041</v>
      </c>
      <c r="B283" t="s">
        <v>24</v>
      </c>
      <c r="C283">
        <v>27</v>
      </c>
      <c r="D283" s="31">
        <v>14.95</v>
      </c>
      <c r="E283" s="31">
        <v>403.65</v>
      </c>
      <c r="F283">
        <f>VLOOKUP(RevenueTableAnswer[[#This Row],[Units Sold]],DiscountTableAnswer[],2)</f>
        <v>0.25</v>
      </c>
      <c r="G283">
        <f>ROUND((1-RevenueTableAnswer[[#This Row],[Discount on Total Revenue]])*RevenueTableAnswer[[#This Row],[Total Revenue]],2)</f>
        <v>302.74</v>
      </c>
    </row>
    <row r="284" spans="1:7">
      <c r="A284" s="30">
        <v>43044</v>
      </c>
      <c r="B284" t="s">
        <v>24</v>
      </c>
      <c r="C284">
        <v>180</v>
      </c>
      <c r="D284" s="31">
        <v>14.95</v>
      </c>
      <c r="E284" s="31">
        <v>2691</v>
      </c>
      <c r="F284">
        <f>VLOOKUP(RevenueTableAnswer[[#This Row],[Units Sold]],DiscountTableAnswer[],2)</f>
        <v>0.55</v>
      </c>
      <c r="G284">
        <f>ROUND((1-RevenueTableAnswer[[#This Row],[Discount on Total Revenue]])*RevenueTableAnswer[[#This Row],[Total Revenue]],2)</f>
        <v>1210.95</v>
      </c>
    </row>
    <row r="285" spans="1:7">
      <c r="A285" s="30">
        <v>43044</v>
      </c>
      <c r="B285" t="s">
        <v>37</v>
      </c>
      <c r="C285">
        <v>29</v>
      </c>
      <c r="D285" s="31">
        <v>22.95</v>
      </c>
      <c r="E285" s="31">
        <v>665.55</v>
      </c>
      <c r="F285">
        <f>VLOOKUP(RevenueTableAnswer[[#This Row],[Units Sold]],DiscountTableAnswer[],2)</f>
        <v>0.25</v>
      </c>
      <c r="G285">
        <f>ROUND((1-RevenueTableAnswer[[#This Row],[Discount on Total Revenue]])*RevenueTableAnswer[[#This Row],[Total Revenue]],2)</f>
        <v>499.16</v>
      </c>
    </row>
    <row r="286" spans="1:7">
      <c r="A286" s="30">
        <v>43041</v>
      </c>
      <c r="B286" t="s">
        <v>37</v>
      </c>
      <c r="C286">
        <v>151</v>
      </c>
      <c r="D286" s="31">
        <v>22.95</v>
      </c>
      <c r="E286" s="31">
        <v>3465.45</v>
      </c>
      <c r="F286">
        <f>VLOOKUP(RevenueTableAnswer[[#This Row],[Units Sold]],DiscountTableAnswer[],2)</f>
        <v>0.5</v>
      </c>
      <c r="G286">
        <f>ROUND((1-RevenueTableAnswer[[#This Row],[Discount on Total Revenue]])*RevenueTableAnswer[[#This Row],[Total Revenue]],2)</f>
        <v>1732.73</v>
      </c>
    </row>
    <row r="287" spans="1:7">
      <c r="A287" s="30">
        <v>43041</v>
      </c>
      <c r="B287" t="s">
        <v>26</v>
      </c>
      <c r="C287">
        <v>162</v>
      </c>
      <c r="D287" s="31">
        <v>43.95</v>
      </c>
      <c r="E287" s="31">
        <v>7119.9</v>
      </c>
      <c r="F287">
        <f>VLOOKUP(RevenueTableAnswer[[#This Row],[Units Sold]],DiscountTableAnswer[],2)</f>
        <v>0.5</v>
      </c>
      <c r="G287">
        <f>ROUND((1-RevenueTableAnswer[[#This Row],[Discount on Total Revenue]])*RevenueTableAnswer[[#This Row],[Total Revenue]],2)</f>
        <v>3559.95</v>
      </c>
    </row>
    <row r="288" spans="1:7">
      <c r="A288" s="30">
        <v>43045</v>
      </c>
      <c r="B288" t="s">
        <v>24</v>
      </c>
      <c r="C288">
        <v>22</v>
      </c>
      <c r="D288" s="31">
        <v>14.95</v>
      </c>
      <c r="E288" s="31">
        <v>328.9</v>
      </c>
      <c r="F288">
        <f>VLOOKUP(RevenueTableAnswer[[#This Row],[Units Sold]],DiscountTableAnswer[],2)</f>
        <v>0.25</v>
      </c>
      <c r="G288">
        <f>ROUND((1-RevenueTableAnswer[[#This Row],[Discount on Total Revenue]])*RevenueTableAnswer[[#This Row],[Total Revenue]],2)</f>
        <v>246.68</v>
      </c>
    </row>
    <row r="289" spans="1:7">
      <c r="A289" s="30">
        <v>43047</v>
      </c>
      <c r="B289" t="s">
        <v>36</v>
      </c>
      <c r="C289">
        <v>11</v>
      </c>
      <c r="D289" s="31">
        <v>21.95</v>
      </c>
      <c r="E289" s="31">
        <v>241.45</v>
      </c>
      <c r="F289">
        <f>VLOOKUP(RevenueTableAnswer[[#This Row],[Units Sold]],DiscountTableAnswer[],2)</f>
        <v>0</v>
      </c>
      <c r="G289">
        <f>ROUND((1-RevenueTableAnswer[[#This Row],[Discount on Total Revenue]])*RevenueTableAnswer[[#This Row],[Total Revenue]],2)</f>
        <v>241.45</v>
      </c>
    </row>
    <row r="290" spans="1:7">
      <c r="A290" s="30">
        <v>43047</v>
      </c>
      <c r="B290" t="s">
        <v>24</v>
      </c>
      <c r="C290">
        <v>182</v>
      </c>
      <c r="D290" s="31">
        <v>14.95</v>
      </c>
      <c r="E290" s="31">
        <v>2720.9</v>
      </c>
      <c r="F290">
        <f>VLOOKUP(RevenueTableAnswer[[#This Row],[Units Sold]],DiscountTableAnswer[],2)</f>
        <v>0.55</v>
      </c>
      <c r="G290">
        <f>ROUND((1-RevenueTableAnswer[[#This Row],[Discount on Total Revenue]])*RevenueTableAnswer[[#This Row],[Total Revenue]],2)</f>
        <v>1224.41</v>
      </c>
    </row>
    <row r="291" spans="1:7">
      <c r="A291" s="30">
        <v>43046</v>
      </c>
      <c r="B291" t="s">
        <v>26</v>
      </c>
      <c r="C291">
        <v>150</v>
      </c>
      <c r="D291" s="31">
        <v>43.95</v>
      </c>
      <c r="E291" s="31">
        <v>6592.5</v>
      </c>
      <c r="F291">
        <f>VLOOKUP(RevenueTableAnswer[[#This Row],[Units Sold]],DiscountTableAnswer[],2)</f>
        <v>0.5</v>
      </c>
      <c r="G291">
        <f>ROUND((1-RevenueTableAnswer[[#This Row],[Discount on Total Revenue]])*RevenueTableAnswer[[#This Row],[Total Revenue]],2)</f>
        <v>3296.25</v>
      </c>
    </row>
    <row r="292" spans="1:7">
      <c r="A292" s="30">
        <v>43047</v>
      </c>
      <c r="B292" t="s">
        <v>36</v>
      </c>
      <c r="C292">
        <v>122</v>
      </c>
      <c r="D292" s="31">
        <v>21.95</v>
      </c>
      <c r="E292" s="31">
        <v>2677.9</v>
      </c>
      <c r="F292">
        <f>VLOOKUP(RevenueTableAnswer[[#This Row],[Units Sold]],DiscountTableAnswer[],2)</f>
        <v>0.4375</v>
      </c>
      <c r="G292">
        <f>ROUND((1-RevenueTableAnswer[[#This Row],[Discount on Total Revenue]])*RevenueTableAnswer[[#This Row],[Total Revenue]],2)</f>
        <v>1506.32</v>
      </c>
    </row>
    <row r="293" spans="1:7">
      <c r="A293" s="30">
        <v>43045</v>
      </c>
      <c r="B293" t="s">
        <v>24</v>
      </c>
      <c r="C293">
        <v>167</v>
      </c>
      <c r="D293" s="31">
        <v>14.95</v>
      </c>
      <c r="E293" s="31">
        <v>2496.65</v>
      </c>
      <c r="F293">
        <f>VLOOKUP(RevenueTableAnswer[[#This Row],[Units Sold]],DiscountTableAnswer[],2)</f>
        <v>0.5</v>
      </c>
      <c r="G293">
        <f>ROUND((1-RevenueTableAnswer[[#This Row],[Discount on Total Revenue]])*RevenueTableAnswer[[#This Row],[Total Revenue]],2)</f>
        <v>1248.33</v>
      </c>
    </row>
    <row r="294" spans="1:7">
      <c r="A294" s="30">
        <v>43046</v>
      </c>
      <c r="B294" t="s">
        <v>26</v>
      </c>
      <c r="C294">
        <v>104</v>
      </c>
      <c r="D294" s="31">
        <v>43.95</v>
      </c>
      <c r="E294" s="31">
        <v>4570.8</v>
      </c>
      <c r="F294">
        <f>VLOOKUP(RevenueTableAnswer[[#This Row],[Units Sold]],DiscountTableAnswer[],2)</f>
        <v>0.4375</v>
      </c>
      <c r="G294">
        <f>ROUND((1-RevenueTableAnswer[[#This Row],[Discount on Total Revenue]])*RevenueTableAnswer[[#This Row],[Total Revenue]],2)</f>
        <v>2571.08</v>
      </c>
    </row>
    <row r="295" spans="1:7">
      <c r="A295" s="30">
        <v>43043</v>
      </c>
      <c r="B295" t="s">
        <v>24</v>
      </c>
      <c r="C295">
        <v>41</v>
      </c>
      <c r="D295" s="31">
        <v>14.95</v>
      </c>
      <c r="E295" s="31">
        <v>612.95</v>
      </c>
      <c r="F295">
        <f>VLOOKUP(RevenueTableAnswer[[#This Row],[Units Sold]],DiscountTableAnswer[],2)</f>
        <v>0.25</v>
      </c>
      <c r="G295">
        <f>ROUND((1-RevenueTableAnswer[[#This Row],[Discount on Total Revenue]])*RevenueTableAnswer[[#This Row],[Total Revenue]],2)</f>
        <v>459.71</v>
      </c>
    </row>
    <row r="296" spans="1:7">
      <c r="A296" s="30">
        <v>43046</v>
      </c>
      <c r="B296" t="s">
        <v>24</v>
      </c>
      <c r="C296">
        <v>32</v>
      </c>
      <c r="D296" s="31">
        <v>14.95</v>
      </c>
      <c r="E296" s="31">
        <v>478.4</v>
      </c>
      <c r="F296">
        <f>VLOOKUP(RevenueTableAnswer[[#This Row],[Units Sold]],DiscountTableAnswer[],2)</f>
        <v>0.25</v>
      </c>
      <c r="G296">
        <f>ROUND((1-RevenueTableAnswer[[#This Row],[Discount on Total Revenue]])*RevenueTableAnswer[[#This Row],[Total Revenue]],2)</f>
        <v>358.8</v>
      </c>
    </row>
    <row r="297" spans="1:7">
      <c r="A297" s="30">
        <v>43045</v>
      </c>
      <c r="B297" t="s">
        <v>36</v>
      </c>
      <c r="C297">
        <v>104</v>
      </c>
      <c r="D297" s="31">
        <v>21.95</v>
      </c>
      <c r="E297" s="31">
        <v>2282.8</v>
      </c>
      <c r="F297">
        <f>VLOOKUP(RevenueTableAnswer[[#This Row],[Units Sold]],DiscountTableAnswer[],2)</f>
        <v>0.4375</v>
      </c>
      <c r="G297">
        <f>ROUND((1-RevenueTableAnswer[[#This Row],[Discount on Total Revenue]])*RevenueTableAnswer[[#This Row],[Total Revenue]],2)</f>
        <v>1284.08</v>
      </c>
    </row>
    <row r="298" spans="1:7">
      <c r="A298" s="30">
        <v>43042</v>
      </c>
      <c r="B298" t="s">
        <v>37</v>
      </c>
      <c r="C298">
        <v>15</v>
      </c>
      <c r="D298" s="31">
        <v>22.95</v>
      </c>
      <c r="E298" s="31">
        <v>344.25</v>
      </c>
      <c r="F298">
        <f>VLOOKUP(RevenueTableAnswer[[#This Row],[Units Sold]],DiscountTableAnswer[],2)</f>
        <v>0.25</v>
      </c>
      <c r="G298">
        <f>ROUND((1-RevenueTableAnswer[[#This Row],[Discount on Total Revenue]])*RevenueTableAnswer[[#This Row],[Total Revenue]],2)</f>
        <v>258.19</v>
      </c>
    </row>
    <row r="299" spans="1:7">
      <c r="A299" s="30">
        <v>43043</v>
      </c>
      <c r="B299" t="s">
        <v>37</v>
      </c>
      <c r="C299">
        <v>70</v>
      </c>
      <c r="D299" s="31">
        <v>22.95</v>
      </c>
      <c r="E299" s="31">
        <v>1606.5</v>
      </c>
      <c r="F299">
        <f>VLOOKUP(RevenueTableAnswer[[#This Row],[Units Sold]],DiscountTableAnswer[],2)</f>
        <v>0.375</v>
      </c>
      <c r="G299">
        <f>ROUND((1-RevenueTableAnswer[[#This Row],[Discount on Total Revenue]])*RevenueTableAnswer[[#This Row],[Total Revenue]],2)</f>
        <v>1004.06</v>
      </c>
    </row>
    <row r="300" spans="1:7">
      <c r="A300" s="30">
        <v>43047</v>
      </c>
      <c r="B300" t="s">
        <v>24</v>
      </c>
      <c r="C300">
        <v>173</v>
      </c>
      <c r="D300" s="31">
        <v>14.95</v>
      </c>
      <c r="E300" s="31">
        <v>2586.35</v>
      </c>
      <c r="F300">
        <f>VLOOKUP(RevenueTableAnswer[[#This Row],[Units Sold]],DiscountTableAnswer[],2)</f>
        <v>0.55</v>
      </c>
      <c r="G300">
        <f>ROUND((1-RevenueTableAnswer[[#This Row],[Discount on Total Revenue]])*RevenueTableAnswer[[#This Row],[Total Revenue]],2)</f>
        <v>1163.86</v>
      </c>
    </row>
    <row r="301" spans="1:7">
      <c r="A301" s="30">
        <v>43042</v>
      </c>
      <c r="B301" t="s">
        <v>24</v>
      </c>
      <c r="C301">
        <v>69</v>
      </c>
      <c r="D301" s="31">
        <v>14.95</v>
      </c>
      <c r="E301" s="31">
        <v>1031.55</v>
      </c>
      <c r="F301">
        <f>VLOOKUP(RevenueTableAnswer[[#This Row],[Units Sold]],DiscountTableAnswer[],2)</f>
        <v>0.375</v>
      </c>
      <c r="G301">
        <f>ROUND((1-RevenueTableAnswer[[#This Row],[Discount on Total Revenue]])*RevenueTableAnswer[[#This Row],[Total Revenue]],2)</f>
        <v>644.72</v>
      </c>
    </row>
    <row r="302" spans="1:7">
      <c r="A302" s="30">
        <v>43047</v>
      </c>
      <c r="B302" t="s">
        <v>26</v>
      </c>
      <c r="C302">
        <v>29</v>
      </c>
      <c r="D302" s="31">
        <v>43.95</v>
      </c>
      <c r="E302" s="31">
        <v>1274.55</v>
      </c>
      <c r="F302">
        <f>VLOOKUP(RevenueTableAnswer[[#This Row],[Units Sold]],DiscountTableAnswer[],2)</f>
        <v>0.25</v>
      </c>
      <c r="G302">
        <f>ROUND((1-RevenueTableAnswer[[#This Row],[Discount on Total Revenue]])*RevenueTableAnswer[[#This Row],[Total Revenue]],2)</f>
        <v>955.91</v>
      </c>
    </row>
    <row r="303" spans="1:7">
      <c r="A303" s="30">
        <v>43042</v>
      </c>
      <c r="B303" t="s">
        <v>36</v>
      </c>
      <c r="C303">
        <v>185</v>
      </c>
      <c r="D303" s="31">
        <v>21.95</v>
      </c>
      <c r="E303" s="31">
        <v>4060.75</v>
      </c>
      <c r="F303">
        <f>VLOOKUP(RevenueTableAnswer[[#This Row],[Units Sold]],DiscountTableAnswer[],2)</f>
        <v>0.55</v>
      </c>
      <c r="G303">
        <f>ROUND((1-RevenueTableAnswer[[#This Row],[Discount on Total Revenue]])*RevenueTableAnswer[[#This Row],[Total Revenue]],2)</f>
        <v>1827.34</v>
      </c>
    </row>
    <row r="304" spans="1:7">
      <c r="A304" s="30">
        <v>43040</v>
      </c>
      <c r="B304" t="s">
        <v>37</v>
      </c>
      <c r="C304">
        <v>123</v>
      </c>
      <c r="D304" s="31">
        <v>22.95</v>
      </c>
      <c r="E304" s="31">
        <v>2822.85</v>
      </c>
      <c r="F304">
        <f>VLOOKUP(RevenueTableAnswer[[#This Row],[Units Sold]],DiscountTableAnswer[],2)</f>
        <v>0.4375</v>
      </c>
      <c r="G304">
        <f>ROUND((1-RevenueTableAnswer[[#This Row],[Discount on Total Revenue]])*RevenueTableAnswer[[#This Row],[Total Revenue]],2)</f>
        <v>1587.85</v>
      </c>
    </row>
    <row r="305" spans="1:7">
      <c r="A305" s="30">
        <v>43043</v>
      </c>
      <c r="B305" t="s">
        <v>26</v>
      </c>
      <c r="C305">
        <v>156</v>
      </c>
      <c r="D305" s="31">
        <v>43.95</v>
      </c>
      <c r="E305" s="31">
        <v>6856.2</v>
      </c>
      <c r="F305">
        <f>VLOOKUP(RevenueTableAnswer[[#This Row],[Units Sold]],DiscountTableAnswer[],2)</f>
        <v>0.5</v>
      </c>
      <c r="G305">
        <f>ROUND((1-RevenueTableAnswer[[#This Row],[Discount on Total Revenue]])*RevenueTableAnswer[[#This Row],[Total Revenue]],2)</f>
        <v>3428.1</v>
      </c>
    </row>
    <row r="306" spans="1:7">
      <c r="A306" s="30">
        <v>43044</v>
      </c>
      <c r="B306" t="s">
        <v>36</v>
      </c>
      <c r="C306">
        <v>39</v>
      </c>
      <c r="D306" s="31">
        <v>21.95</v>
      </c>
      <c r="E306" s="31">
        <v>856.05</v>
      </c>
      <c r="F306">
        <f>VLOOKUP(RevenueTableAnswer[[#This Row],[Units Sold]],DiscountTableAnswer[],2)</f>
        <v>0.25</v>
      </c>
      <c r="G306">
        <f>ROUND((1-RevenueTableAnswer[[#This Row],[Discount on Total Revenue]])*RevenueTableAnswer[[#This Row],[Total Revenue]],2)</f>
        <v>642.04</v>
      </c>
    </row>
    <row r="307" spans="1:7">
      <c r="A307" s="30">
        <v>43045</v>
      </c>
      <c r="B307" t="s">
        <v>26</v>
      </c>
      <c r="C307">
        <v>18</v>
      </c>
      <c r="D307" s="31">
        <v>43.95</v>
      </c>
      <c r="E307" s="31">
        <v>791.1</v>
      </c>
      <c r="F307">
        <f>VLOOKUP(RevenueTableAnswer[[#This Row],[Units Sold]],DiscountTableAnswer[],2)</f>
        <v>0.25</v>
      </c>
      <c r="G307">
        <f>ROUND((1-RevenueTableAnswer[[#This Row],[Discount on Total Revenue]])*RevenueTableAnswer[[#This Row],[Total Revenue]],2)</f>
        <v>593.33</v>
      </c>
    </row>
    <row r="308" spans="1:7">
      <c r="A308" s="30">
        <v>43040</v>
      </c>
      <c r="B308" t="s">
        <v>36</v>
      </c>
      <c r="C308">
        <v>64</v>
      </c>
      <c r="D308" s="31">
        <v>21.95</v>
      </c>
      <c r="E308" s="31">
        <v>1404.8</v>
      </c>
      <c r="F308">
        <f>VLOOKUP(RevenueTableAnswer[[#This Row],[Units Sold]],DiscountTableAnswer[],2)</f>
        <v>0.375</v>
      </c>
      <c r="G308">
        <f>ROUND((1-RevenueTableAnswer[[#This Row],[Discount on Total Revenue]])*RevenueTableAnswer[[#This Row],[Total Revenue]],2)</f>
        <v>878</v>
      </c>
    </row>
    <row r="309" spans="1:7">
      <c r="A309" s="30">
        <v>43044</v>
      </c>
      <c r="B309" t="s">
        <v>26</v>
      </c>
      <c r="C309">
        <v>34</v>
      </c>
      <c r="D309" s="31">
        <v>43.95</v>
      </c>
      <c r="E309" s="31">
        <v>1494.3</v>
      </c>
      <c r="F309">
        <f>VLOOKUP(RevenueTableAnswer[[#This Row],[Units Sold]],DiscountTableAnswer[],2)</f>
        <v>0.25</v>
      </c>
      <c r="G309">
        <f>ROUND((1-RevenueTableAnswer[[#This Row],[Discount on Total Revenue]])*RevenueTableAnswer[[#This Row],[Total Revenue]],2)</f>
        <v>1120.73</v>
      </c>
    </row>
    <row r="310" spans="1:7">
      <c r="A310" s="30">
        <v>43046</v>
      </c>
      <c r="B310" t="s">
        <v>24</v>
      </c>
      <c r="C310">
        <v>186</v>
      </c>
      <c r="D310" s="31">
        <v>14.95</v>
      </c>
      <c r="E310" s="31">
        <v>2780.7</v>
      </c>
      <c r="F310">
        <f>VLOOKUP(RevenueTableAnswer[[#This Row],[Units Sold]],DiscountTableAnswer[],2)</f>
        <v>0.55</v>
      </c>
      <c r="G310">
        <f>ROUND((1-RevenueTableAnswer[[#This Row],[Discount on Total Revenue]])*RevenueTableAnswer[[#This Row],[Total Revenue]],2)</f>
        <v>1251.32</v>
      </c>
    </row>
    <row r="311" spans="1:7">
      <c r="A311" s="30">
        <v>43044</v>
      </c>
      <c r="B311" t="s">
        <v>26</v>
      </c>
      <c r="C311">
        <v>130</v>
      </c>
      <c r="D311" s="31">
        <v>43.95</v>
      </c>
      <c r="E311" s="31">
        <v>5713.5</v>
      </c>
      <c r="F311">
        <f>VLOOKUP(RevenueTableAnswer[[#This Row],[Units Sold]],DiscountTableAnswer[],2)</f>
        <v>0.4375</v>
      </c>
      <c r="G311">
        <f>ROUND((1-RevenueTableAnswer[[#This Row],[Discount on Total Revenue]])*RevenueTableAnswer[[#This Row],[Total Revenue]],2)</f>
        <v>3213.84</v>
      </c>
    </row>
    <row r="312" spans="1:7">
      <c r="A312" s="30">
        <v>43043</v>
      </c>
      <c r="B312" t="s">
        <v>36</v>
      </c>
      <c r="C312">
        <v>115</v>
      </c>
      <c r="D312" s="31">
        <v>21.95</v>
      </c>
      <c r="E312" s="31">
        <v>2524.25</v>
      </c>
      <c r="F312">
        <f>VLOOKUP(RevenueTableAnswer[[#This Row],[Units Sold]],DiscountTableAnswer[],2)</f>
        <v>0.4375</v>
      </c>
      <c r="G312">
        <f>ROUND((1-RevenueTableAnswer[[#This Row],[Discount on Total Revenue]])*RevenueTableAnswer[[#This Row],[Total Revenue]],2)</f>
        <v>1419.89</v>
      </c>
    </row>
    <row r="313" spans="1:7">
      <c r="A313" s="30">
        <v>43040</v>
      </c>
      <c r="B313" t="s">
        <v>24</v>
      </c>
      <c r="C313">
        <v>101</v>
      </c>
      <c r="D313" s="31">
        <v>14.95</v>
      </c>
      <c r="E313" s="31">
        <v>1509.95</v>
      </c>
      <c r="F313">
        <f>VLOOKUP(RevenueTableAnswer[[#This Row],[Units Sold]],DiscountTableAnswer[],2)</f>
        <v>0.4375</v>
      </c>
      <c r="G313">
        <f>ROUND((1-RevenueTableAnswer[[#This Row],[Discount on Total Revenue]])*RevenueTableAnswer[[#This Row],[Total Revenue]],2)</f>
        <v>849.35</v>
      </c>
    </row>
    <row r="314" spans="1:7">
      <c r="A314" s="30">
        <v>43045</v>
      </c>
      <c r="B314" t="s">
        <v>37</v>
      </c>
      <c r="C314">
        <v>80</v>
      </c>
      <c r="D314" s="31">
        <v>22.95</v>
      </c>
      <c r="E314" s="31">
        <v>1836</v>
      </c>
      <c r="F314">
        <f>VLOOKUP(RevenueTableAnswer[[#This Row],[Units Sold]],DiscountTableAnswer[],2)</f>
        <v>0.375</v>
      </c>
      <c r="G314">
        <f>ROUND((1-RevenueTableAnswer[[#This Row],[Discount on Total Revenue]])*RevenueTableAnswer[[#This Row],[Total Revenue]],2)</f>
        <v>1147.5</v>
      </c>
    </row>
    <row r="315" spans="1:7">
      <c r="A315" s="30">
        <v>43040</v>
      </c>
      <c r="B315" t="s">
        <v>24</v>
      </c>
      <c r="C315">
        <v>9</v>
      </c>
      <c r="D315" s="31">
        <v>14.95</v>
      </c>
      <c r="E315" s="31">
        <v>134.55</v>
      </c>
      <c r="F315">
        <f>VLOOKUP(RevenueTableAnswer[[#This Row],[Units Sold]],DiscountTableAnswer[],2)</f>
        <v>0</v>
      </c>
      <c r="G315">
        <f>ROUND((1-RevenueTableAnswer[[#This Row],[Discount on Total Revenue]])*RevenueTableAnswer[[#This Row],[Total Revenue]],2)</f>
        <v>134.55</v>
      </c>
    </row>
    <row r="316" spans="1:7">
      <c r="A316" s="30">
        <v>43040</v>
      </c>
      <c r="B316" t="s">
        <v>24</v>
      </c>
      <c r="C316">
        <v>50</v>
      </c>
      <c r="D316" s="31">
        <v>14.95</v>
      </c>
      <c r="E316" s="31">
        <v>747.5</v>
      </c>
      <c r="F316">
        <f>VLOOKUP(RevenueTableAnswer[[#This Row],[Units Sold]],DiscountTableAnswer[],2)</f>
        <v>0.375</v>
      </c>
      <c r="G316">
        <f>ROUND((1-RevenueTableAnswer[[#This Row],[Discount on Total Revenue]])*RevenueTableAnswer[[#This Row],[Total Revenue]],2)</f>
        <v>467.19</v>
      </c>
    </row>
    <row r="317" spans="1:7">
      <c r="A317" s="30">
        <v>43046</v>
      </c>
      <c r="B317" t="s">
        <v>37</v>
      </c>
      <c r="C317">
        <v>94</v>
      </c>
      <c r="D317" s="31">
        <v>22.95</v>
      </c>
      <c r="E317" s="31">
        <v>2157.3</v>
      </c>
      <c r="F317">
        <f>VLOOKUP(RevenueTableAnswer[[#This Row],[Units Sold]],DiscountTableAnswer[],2)</f>
        <v>0.375</v>
      </c>
      <c r="G317">
        <f>ROUND((1-RevenueTableAnswer[[#This Row],[Discount on Total Revenue]])*RevenueTableAnswer[[#This Row],[Total Revenue]],2)</f>
        <v>1348.31</v>
      </c>
    </row>
    <row r="318" spans="1:7">
      <c r="A318" s="30">
        <v>43043</v>
      </c>
      <c r="B318" t="s">
        <v>26</v>
      </c>
      <c r="C318">
        <v>103</v>
      </c>
      <c r="D318" s="31">
        <v>43.95</v>
      </c>
      <c r="E318" s="31">
        <v>4526.85</v>
      </c>
      <c r="F318">
        <f>VLOOKUP(RevenueTableAnswer[[#This Row],[Units Sold]],DiscountTableAnswer[],2)</f>
        <v>0.4375</v>
      </c>
      <c r="G318">
        <f>ROUND((1-RevenueTableAnswer[[#This Row],[Discount on Total Revenue]])*RevenueTableAnswer[[#This Row],[Total Revenue]],2)</f>
        <v>2546.35</v>
      </c>
    </row>
    <row r="319" spans="1:7">
      <c r="A319" s="30">
        <v>43041</v>
      </c>
      <c r="B319" t="s">
        <v>26</v>
      </c>
      <c r="C319">
        <v>82</v>
      </c>
      <c r="D319" s="31">
        <v>43.95</v>
      </c>
      <c r="E319" s="31">
        <v>3603.9</v>
      </c>
      <c r="F319">
        <f>VLOOKUP(RevenueTableAnswer[[#This Row],[Units Sold]],DiscountTableAnswer[],2)</f>
        <v>0.375</v>
      </c>
      <c r="G319">
        <f>ROUND((1-RevenueTableAnswer[[#This Row],[Discount on Total Revenue]])*RevenueTableAnswer[[#This Row],[Total Revenue]],2)</f>
        <v>2252.44</v>
      </c>
    </row>
    <row r="320" spans="1:7">
      <c r="A320" s="30">
        <v>43041</v>
      </c>
      <c r="B320" t="s">
        <v>26</v>
      </c>
      <c r="C320">
        <v>116</v>
      </c>
      <c r="D320" s="31">
        <v>43.95</v>
      </c>
      <c r="E320" s="31">
        <v>5098.2</v>
      </c>
      <c r="F320">
        <f>VLOOKUP(RevenueTableAnswer[[#This Row],[Units Sold]],DiscountTableAnswer[],2)</f>
        <v>0.4375</v>
      </c>
      <c r="G320">
        <f>ROUND((1-RevenueTableAnswer[[#This Row],[Discount on Total Revenue]])*RevenueTableAnswer[[#This Row],[Total Revenue]],2)</f>
        <v>2867.74</v>
      </c>
    </row>
    <row r="321" spans="1:7">
      <c r="A321" s="30">
        <v>43040</v>
      </c>
      <c r="B321" t="s">
        <v>24</v>
      </c>
      <c r="C321">
        <v>161</v>
      </c>
      <c r="D321" s="31">
        <v>14.95</v>
      </c>
      <c r="E321" s="31">
        <v>2406.95</v>
      </c>
      <c r="F321">
        <f>VLOOKUP(RevenueTableAnswer[[#This Row],[Units Sold]],DiscountTableAnswer[],2)</f>
        <v>0.5</v>
      </c>
      <c r="G321">
        <f>ROUND((1-RevenueTableAnswer[[#This Row],[Discount on Total Revenue]])*RevenueTableAnswer[[#This Row],[Total Revenue]],2)</f>
        <v>1203.48</v>
      </c>
    </row>
    <row r="322" spans="1:7">
      <c r="A322" s="30">
        <v>43046</v>
      </c>
      <c r="B322" t="s">
        <v>37</v>
      </c>
      <c r="C322">
        <v>136</v>
      </c>
      <c r="D322" s="31">
        <v>22.95</v>
      </c>
      <c r="E322" s="31">
        <v>3121.2</v>
      </c>
      <c r="F322">
        <f>VLOOKUP(RevenueTableAnswer[[#This Row],[Units Sold]],DiscountTableAnswer[],2)</f>
        <v>0.4375</v>
      </c>
      <c r="G322">
        <f>ROUND((1-RevenueTableAnswer[[#This Row],[Discount on Total Revenue]])*RevenueTableAnswer[[#This Row],[Total Revenue]],2)</f>
        <v>1755.68</v>
      </c>
    </row>
    <row r="323" spans="1:7">
      <c r="A323" s="30">
        <v>43043</v>
      </c>
      <c r="B323" t="s">
        <v>24</v>
      </c>
      <c r="C323">
        <v>50</v>
      </c>
      <c r="D323" s="31">
        <v>14.95</v>
      </c>
      <c r="E323" s="31">
        <v>747.5</v>
      </c>
      <c r="F323">
        <f>VLOOKUP(RevenueTableAnswer[[#This Row],[Units Sold]],DiscountTableAnswer[],2)</f>
        <v>0.375</v>
      </c>
      <c r="G323">
        <f>ROUND((1-RevenueTableAnswer[[#This Row],[Discount on Total Revenue]])*RevenueTableAnswer[[#This Row],[Total Revenue]],2)</f>
        <v>467.19</v>
      </c>
    </row>
    <row r="324" spans="1:7">
      <c r="A324" s="30">
        <v>43043</v>
      </c>
      <c r="B324" t="s">
        <v>26</v>
      </c>
      <c r="C324">
        <v>149</v>
      </c>
      <c r="D324" s="31">
        <v>43.95</v>
      </c>
      <c r="E324" s="31">
        <v>6548.55</v>
      </c>
      <c r="F324">
        <f>VLOOKUP(RevenueTableAnswer[[#This Row],[Units Sold]],DiscountTableAnswer[],2)</f>
        <v>0.5</v>
      </c>
      <c r="G324">
        <f>ROUND((1-RevenueTableAnswer[[#This Row],[Discount on Total Revenue]])*RevenueTableAnswer[[#This Row],[Total Revenue]],2)</f>
        <v>3274.28</v>
      </c>
    </row>
    <row r="325" spans="1:7">
      <c r="A325" s="30">
        <v>43045</v>
      </c>
      <c r="B325" t="s">
        <v>36</v>
      </c>
      <c r="C325">
        <v>35</v>
      </c>
      <c r="D325" s="31">
        <v>21.95</v>
      </c>
      <c r="E325" s="31">
        <v>768.25</v>
      </c>
      <c r="F325">
        <f>VLOOKUP(RevenueTableAnswer[[#This Row],[Units Sold]],DiscountTableAnswer[],2)</f>
        <v>0.25</v>
      </c>
      <c r="G325">
        <f>ROUND((1-RevenueTableAnswer[[#This Row],[Discount on Total Revenue]])*RevenueTableAnswer[[#This Row],[Total Revenue]],2)</f>
        <v>576.19</v>
      </c>
    </row>
    <row r="326" spans="1:7">
      <c r="A326" s="30">
        <v>43047</v>
      </c>
      <c r="B326" t="s">
        <v>26</v>
      </c>
      <c r="C326">
        <v>8</v>
      </c>
      <c r="D326" s="31">
        <v>43.95</v>
      </c>
      <c r="E326" s="31">
        <v>351.6</v>
      </c>
      <c r="F326">
        <f>VLOOKUP(RevenueTableAnswer[[#This Row],[Units Sold]],DiscountTableAnswer[],2)</f>
        <v>0</v>
      </c>
      <c r="G326">
        <f>ROUND((1-RevenueTableAnswer[[#This Row],[Discount on Total Revenue]])*RevenueTableAnswer[[#This Row],[Total Revenue]],2)</f>
        <v>351.6</v>
      </c>
    </row>
    <row r="327" spans="1:7">
      <c r="A327" s="30">
        <v>43042</v>
      </c>
      <c r="B327" t="s">
        <v>37</v>
      </c>
      <c r="C327">
        <v>54</v>
      </c>
      <c r="D327" s="31">
        <v>22.95</v>
      </c>
      <c r="E327" s="31">
        <v>1239.3</v>
      </c>
      <c r="F327">
        <f>VLOOKUP(RevenueTableAnswer[[#This Row],[Units Sold]],DiscountTableAnswer[],2)</f>
        <v>0.375</v>
      </c>
      <c r="G327">
        <f>ROUND((1-RevenueTableAnswer[[#This Row],[Discount on Total Revenue]])*RevenueTableAnswer[[#This Row],[Total Revenue]],2)</f>
        <v>774.56</v>
      </c>
    </row>
    <row r="328" spans="1:7">
      <c r="A328" s="30">
        <v>43040</v>
      </c>
      <c r="B328" t="s">
        <v>37</v>
      </c>
      <c r="C328">
        <v>88</v>
      </c>
      <c r="D328" s="31">
        <v>22.95</v>
      </c>
      <c r="E328" s="31">
        <v>2019.6</v>
      </c>
      <c r="F328">
        <f>VLOOKUP(RevenueTableAnswer[[#This Row],[Units Sold]],DiscountTableAnswer[],2)</f>
        <v>0.375</v>
      </c>
      <c r="G328">
        <f>ROUND((1-RevenueTableAnswer[[#This Row],[Discount on Total Revenue]])*RevenueTableAnswer[[#This Row],[Total Revenue]],2)</f>
        <v>1262.25</v>
      </c>
    </row>
    <row r="329" spans="1:7">
      <c r="A329" s="30">
        <v>43044</v>
      </c>
      <c r="B329" t="s">
        <v>37</v>
      </c>
      <c r="C329">
        <v>176</v>
      </c>
      <c r="D329" s="31">
        <v>22.95</v>
      </c>
      <c r="E329" s="31">
        <v>4039.2</v>
      </c>
      <c r="F329">
        <f>VLOOKUP(RevenueTableAnswer[[#This Row],[Units Sold]],DiscountTableAnswer[],2)</f>
        <v>0.55</v>
      </c>
      <c r="G329">
        <f>ROUND((1-RevenueTableAnswer[[#This Row],[Discount on Total Revenue]])*RevenueTableAnswer[[#This Row],[Total Revenue]],2)</f>
        <v>1817.64</v>
      </c>
    </row>
    <row r="330" spans="1:7">
      <c r="A330" s="30">
        <v>43040</v>
      </c>
      <c r="B330" t="s">
        <v>37</v>
      </c>
      <c r="C330">
        <v>79</v>
      </c>
      <c r="D330" s="31">
        <v>22.95</v>
      </c>
      <c r="E330" s="31">
        <v>1813.05</v>
      </c>
      <c r="F330">
        <f>VLOOKUP(RevenueTableAnswer[[#This Row],[Units Sold]],DiscountTableAnswer[],2)</f>
        <v>0.375</v>
      </c>
      <c r="G330">
        <f>ROUND((1-RevenueTableAnswer[[#This Row],[Discount on Total Revenue]])*RevenueTableAnswer[[#This Row],[Total Revenue]],2)</f>
        <v>1133.16</v>
      </c>
    </row>
    <row r="331" spans="1:7">
      <c r="A331" s="30">
        <v>43045</v>
      </c>
      <c r="B331" t="s">
        <v>24</v>
      </c>
      <c r="C331">
        <v>163</v>
      </c>
      <c r="D331" s="31">
        <v>14.95</v>
      </c>
      <c r="E331" s="31">
        <v>2436.85</v>
      </c>
      <c r="F331">
        <f>VLOOKUP(RevenueTableAnswer[[#This Row],[Units Sold]],DiscountTableAnswer[],2)</f>
        <v>0.5</v>
      </c>
      <c r="G331">
        <f>ROUND((1-RevenueTableAnswer[[#This Row],[Discount on Total Revenue]])*RevenueTableAnswer[[#This Row],[Total Revenue]],2)</f>
        <v>1218.43</v>
      </c>
    </row>
    <row r="332" spans="1:7">
      <c r="A332" s="30">
        <v>43041</v>
      </c>
      <c r="B332" t="s">
        <v>36</v>
      </c>
      <c r="C332">
        <v>8</v>
      </c>
      <c r="D332" s="31">
        <v>21.95</v>
      </c>
      <c r="E332" s="31">
        <v>175.6</v>
      </c>
      <c r="F332">
        <f>VLOOKUP(RevenueTableAnswer[[#This Row],[Units Sold]],DiscountTableAnswer[],2)</f>
        <v>0</v>
      </c>
      <c r="G332">
        <f>ROUND((1-RevenueTableAnswer[[#This Row],[Discount on Total Revenue]])*RevenueTableAnswer[[#This Row],[Total Revenue]],2)</f>
        <v>175.6</v>
      </c>
    </row>
    <row r="333" spans="1:7">
      <c r="A333" s="30">
        <v>43045</v>
      </c>
      <c r="B333" t="s">
        <v>26</v>
      </c>
      <c r="C333">
        <v>188</v>
      </c>
      <c r="D333" s="31">
        <v>43.95</v>
      </c>
      <c r="E333" s="31">
        <v>8262.6</v>
      </c>
      <c r="F333">
        <f>VLOOKUP(RevenueTableAnswer[[#This Row],[Units Sold]],DiscountTableAnswer[],2)</f>
        <v>0.55</v>
      </c>
      <c r="G333">
        <f>ROUND((1-RevenueTableAnswer[[#This Row],[Discount on Total Revenue]])*RevenueTableAnswer[[#This Row],[Total Revenue]],2)</f>
        <v>3718.17</v>
      </c>
    </row>
    <row r="334" spans="1:7">
      <c r="A334" s="30">
        <v>43040</v>
      </c>
      <c r="B334" t="s">
        <v>37</v>
      </c>
      <c r="C334">
        <v>35</v>
      </c>
      <c r="D334" s="31">
        <v>22.95</v>
      </c>
      <c r="E334" s="31">
        <v>803.25</v>
      </c>
      <c r="F334">
        <f>VLOOKUP(RevenueTableAnswer[[#This Row],[Units Sold]],DiscountTableAnswer[],2)</f>
        <v>0.25</v>
      </c>
      <c r="G334">
        <f>ROUND((1-RevenueTableAnswer[[#This Row],[Discount on Total Revenue]])*RevenueTableAnswer[[#This Row],[Total Revenue]],2)</f>
        <v>602.44</v>
      </c>
    </row>
    <row r="335" spans="1:7">
      <c r="A335" s="30">
        <v>43047</v>
      </c>
      <c r="B335" t="s">
        <v>36</v>
      </c>
      <c r="C335">
        <v>10</v>
      </c>
      <c r="D335" s="31">
        <v>21.95</v>
      </c>
      <c r="E335" s="31">
        <v>219.5</v>
      </c>
      <c r="F335">
        <f>VLOOKUP(RevenueTableAnswer[[#This Row],[Units Sold]],DiscountTableAnswer[],2)</f>
        <v>0</v>
      </c>
      <c r="G335">
        <f>ROUND((1-RevenueTableAnswer[[#This Row],[Discount on Total Revenue]])*RevenueTableAnswer[[#This Row],[Total Revenue]],2)</f>
        <v>219.5</v>
      </c>
    </row>
    <row r="336" spans="1:7">
      <c r="A336" s="30">
        <v>43045</v>
      </c>
      <c r="B336" t="s">
        <v>37</v>
      </c>
      <c r="C336">
        <v>36</v>
      </c>
      <c r="D336" s="31">
        <v>22.95</v>
      </c>
      <c r="E336" s="31">
        <v>826.2</v>
      </c>
      <c r="F336">
        <f>VLOOKUP(RevenueTableAnswer[[#This Row],[Units Sold]],DiscountTableAnswer[],2)</f>
        <v>0.25</v>
      </c>
      <c r="G336">
        <f>ROUND((1-RevenueTableAnswer[[#This Row],[Discount on Total Revenue]])*RevenueTableAnswer[[#This Row],[Total Revenue]],2)</f>
        <v>619.65</v>
      </c>
    </row>
    <row r="337" spans="1:7">
      <c r="A337" s="30">
        <v>43043</v>
      </c>
      <c r="B337" t="s">
        <v>26</v>
      </c>
      <c r="C337">
        <v>172</v>
      </c>
      <c r="D337" s="31">
        <v>43.95</v>
      </c>
      <c r="E337" s="31">
        <v>7559.4</v>
      </c>
      <c r="F337">
        <f>VLOOKUP(RevenueTableAnswer[[#This Row],[Units Sold]],DiscountTableAnswer[],2)</f>
        <v>0.55</v>
      </c>
      <c r="G337">
        <f>ROUND((1-RevenueTableAnswer[[#This Row],[Discount on Total Revenue]])*RevenueTableAnswer[[#This Row],[Total Revenue]],2)</f>
        <v>3401.73</v>
      </c>
    </row>
    <row r="338" spans="1:7">
      <c r="A338" s="30">
        <v>43044</v>
      </c>
      <c r="B338" t="s">
        <v>24</v>
      </c>
      <c r="C338">
        <v>142</v>
      </c>
      <c r="D338" s="31">
        <v>14.95</v>
      </c>
      <c r="E338" s="31">
        <v>2122.9</v>
      </c>
      <c r="F338">
        <f>VLOOKUP(RevenueTableAnswer[[#This Row],[Units Sold]],DiscountTableAnswer[],2)</f>
        <v>0.4375</v>
      </c>
      <c r="G338">
        <f>ROUND((1-RevenueTableAnswer[[#This Row],[Discount on Total Revenue]])*RevenueTableAnswer[[#This Row],[Total Revenue]],2)</f>
        <v>1194.13</v>
      </c>
    </row>
    <row r="339" spans="1:7">
      <c r="A339" s="30">
        <v>43044</v>
      </c>
      <c r="B339" t="s">
        <v>36</v>
      </c>
      <c r="C339">
        <v>79</v>
      </c>
      <c r="D339" s="31">
        <v>21.95</v>
      </c>
      <c r="E339" s="31">
        <v>1734.05</v>
      </c>
      <c r="F339">
        <f>VLOOKUP(RevenueTableAnswer[[#This Row],[Units Sold]],DiscountTableAnswer[],2)</f>
        <v>0.375</v>
      </c>
      <c r="G339">
        <f>ROUND((1-RevenueTableAnswer[[#This Row],[Discount on Total Revenue]])*RevenueTableAnswer[[#This Row],[Total Revenue]],2)</f>
        <v>1083.78</v>
      </c>
    </row>
    <row r="340" spans="1:7">
      <c r="A340" s="30">
        <v>43040</v>
      </c>
      <c r="B340" t="s">
        <v>26</v>
      </c>
      <c r="C340">
        <v>3</v>
      </c>
      <c r="D340" s="31">
        <v>43.95</v>
      </c>
      <c r="E340" s="31">
        <v>131.85</v>
      </c>
      <c r="F340">
        <f>VLOOKUP(RevenueTableAnswer[[#This Row],[Units Sold]],DiscountTableAnswer[],2)</f>
        <v>0</v>
      </c>
      <c r="G340">
        <f>ROUND((1-RevenueTableAnswer[[#This Row],[Discount on Total Revenue]])*RevenueTableAnswer[[#This Row],[Total Revenue]],2)</f>
        <v>131.85</v>
      </c>
    </row>
    <row r="341" spans="1:7">
      <c r="A341" s="30">
        <v>43045</v>
      </c>
      <c r="B341" t="s">
        <v>37</v>
      </c>
      <c r="C341">
        <v>106</v>
      </c>
      <c r="D341" s="31">
        <v>22.95</v>
      </c>
      <c r="E341" s="31">
        <v>2432.7</v>
      </c>
      <c r="F341">
        <f>VLOOKUP(RevenueTableAnswer[[#This Row],[Units Sold]],DiscountTableAnswer[],2)</f>
        <v>0.4375</v>
      </c>
      <c r="G341">
        <f>ROUND((1-RevenueTableAnswer[[#This Row],[Discount on Total Revenue]])*RevenueTableAnswer[[#This Row],[Total Revenue]],2)</f>
        <v>1368.39</v>
      </c>
    </row>
    <row r="342" spans="1:7">
      <c r="A342" s="30">
        <v>43041</v>
      </c>
      <c r="B342" t="s">
        <v>36</v>
      </c>
      <c r="C342">
        <v>16</v>
      </c>
      <c r="D342" s="31">
        <v>21.95</v>
      </c>
      <c r="E342" s="31">
        <v>351.2</v>
      </c>
      <c r="F342">
        <f>VLOOKUP(RevenueTableAnswer[[#This Row],[Units Sold]],DiscountTableAnswer[],2)</f>
        <v>0.25</v>
      </c>
      <c r="G342">
        <f>ROUND((1-RevenueTableAnswer[[#This Row],[Discount on Total Revenue]])*RevenueTableAnswer[[#This Row],[Total Revenue]],2)</f>
        <v>263.4</v>
      </c>
    </row>
    <row r="343" spans="1:7">
      <c r="A343" s="30">
        <v>43042</v>
      </c>
      <c r="B343" t="s">
        <v>36</v>
      </c>
      <c r="C343">
        <v>123</v>
      </c>
      <c r="D343" s="31">
        <v>21.95</v>
      </c>
      <c r="E343" s="31">
        <v>2699.85</v>
      </c>
      <c r="F343">
        <f>VLOOKUP(RevenueTableAnswer[[#This Row],[Units Sold]],DiscountTableAnswer[],2)</f>
        <v>0.4375</v>
      </c>
      <c r="G343">
        <f>ROUND((1-RevenueTableAnswer[[#This Row],[Discount on Total Revenue]])*RevenueTableAnswer[[#This Row],[Total Revenue]],2)</f>
        <v>1518.67</v>
      </c>
    </row>
    <row r="344" spans="1:7">
      <c r="A344" s="30">
        <v>43045</v>
      </c>
      <c r="B344" t="s">
        <v>36</v>
      </c>
      <c r="C344">
        <v>80</v>
      </c>
      <c r="D344" s="31">
        <v>21.95</v>
      </c>
      <c r="E344" s="31">
        <v>1756</v>
      </c>
      <c r="F344">
        <f>VLOOKUP(RevenueTableAnswer[[#This Row],[Units Sold]],DiscountTableAnswer[],2)</f>
        <v>0.375</v>
      </c>
      <c r="G344">
        <f>ROUND((1-RevenueTableAnswer[[#This Row],[Discount on Total Revenue]])*RevenueTableAnswer[[#This Row],[Total Revenue]],2)</f>
        <v>1097.5</v>
      </c>
    </row>
    <row r="345" spans="1:7">
      <c r="A345" s="30">
        <v>43044</v>
      </c>
      <c r="B345" t="s">
        <v>26</v>
      </c>
      <c r="C345">
        <v>155</v>
      </c>
      <c r="D345" s="31">
        <v>43.95</v>
      </c>
      <c r="E345" s="31">
        <v>6812.25</v>
      </c>
      <c r="F345">
        <f>VLOOKUP(RevenueTableAnswer[[#This Row],[Units Sold]],DiscountTableAnswer[],2)</f>
        <v>0.5</v>
      </c>
      <c r="G345">
        <f>ROUND((1-RevenueTableAnswer[[#This Row],[Discount on Total Revenue]])*RevenueTableAnswer[[#This Row],[Total Revenue]],2)</f>
        <v>3406.13</v>
      </c>
    </row>
    <row r="346" spans="1:7">
      <c r="A346" s="30">
        <v>43047</v>
      </c>
      <c r="B346" t="s">
        <v>26</v>
      </c>
      <c r="C346">
        <v>130</v>
      </c>
      <c r="D346" s="31">
        <v>43.95</v>
      </c>
      <c r="E346" s="31">
        <v>5713.5</v>
      </c>
      <c r="F346">
        <f>VLOOKUP(RevenueTableAnswer[[#This Row],[Units Sold]],DiscountTableAnswer[],2)</f>
        <v>0.4375</v>
      </c>
      <c r="G346">
        <f>ROUND((1-RevenueTableAnswer[[#This Row],[Discount on Total Revenue]])*RevenueTableAnswer[[#This Row],[Total Revenue]],2)</f>
        <v>3213.84</v>
      </c>
    </row>
    <row r="347" spans="1:7">
      <c r="A347" s="30">
        <v>43042</v>
      </c>
      <c r="B347" t="s">
        <v>36</v>
      </c>
      <c r="C347">
        <v>87</v>
      </c>
      <c r="D347" s="31">
        <v>21.95</v>
      </c>
      <c r="E347" s="31">
        <v>1909.65</v>
      </c>
      <c r="F347">
        <f>VLOOKUP(RevenueTableAnswer[[#This Row],[Units Sold]],DiscountTableAnswer[],2)</f>
        <v>0.375</v>
      </c>
      <c r="G347">
        <f>ROUND((1-RevenueTableAnswer[[#This Row],[Discount on Total Revenue]])*RevenueTableAnswer[[#This Row],[Total Revenue]],2)</f>
        <v>1193.53</v>
      </c>
    </row>
    <row r="348" spans="1:7">
      <c r="A348" s="30">
        <v>43042</v>
      </c>
      <c r="B348" t="s">
        <v>24</v>
      </c>
      <c r="C348">
        <v>104</v>
      </c>
      <c r="D348" s="31">
        <v>14.95</v>
      </c>
      <c r="E348" s="31">
        <v>1554.8</v>
      </c>
      <c r="F348">
        <f>VLOOKUP(RevenueTableAnswer[[#This Row],[Units Sold]],DiscountTableAnswer[],2)</f>
        <v>0.4375</v>
      </c>
      <c r="G348">
        <f>ROUND((1-RevenueTableAnswer[[#This Row],[Discount on Total Revenue]])*RevenueTableAnswer[[#This Row],[Total Revenue]],2)</f>
        <v>874.58</v>
      </c>
    </row>
    <row r="349" spans="1:7">
      <c r="A349" s="30">
        <v>43045</v>
      </c>
      <c r="B349" t="s">
        <v>36</v>
      </c>
      <c r="C349">
        <v>83</v>
      </c>
      <c r="D349" s="31">
        <v>21.95</v>
      </c>
      <c r="E349" s="31">
        <v>1821.85</v>
      </c>
      <c r="F349">
        <f>VLOOKUP(RevenueTableAnswer[[#This Row],[Units Sold]],DiscountTableAnswer[],2)</f>
        <v>0.375</v>
      </c>
      <c r="G349">
        <f>ROUND((1-RevenueTableAnswer[[#This Row],[Discount on Total Revenue]])*RevenueTableAnswer[[#This Row],[Total Revenue]],2)</f>
        <v>1138.66</v>
      </c>
    </row>
    <row r="350" spans="1:7">
      <c r="A350" s="30">
        <v>43047</v>
      </c>
      <c r="B350" t="s">
        <v>37</v>
      </c>
      <c r="C350">
        <v>139</v>
      </c>
      <c r="D350" s="31">
        <v>22.95</v>
      </c>
      <c r="E350" s="31">
        <v>3190.05</v>
      </c>
      <c r="F350">
        <f>VLOOKUP(RevenueTableAnswer[[#This Row],[Units Sold]],DiscountTableAnswer[],2)</f>
        <v>0.4375</v>
      </c>
      <c r="G350">
        <f>ROUND((1-RevenueTableAnswer[[#This Row],[Discount on Total Revenue]])*RevenueTableAnswer[[#This Row],[Total Revenue]],2)</f>
        <v>1794.4</v>
      </c>
    </row>
    <row r="351" spans="1:7">
      <c r="A351" s="30">
        <v>43041</v>
      </c>
      <c r="B351" t="s">
        <v>24</v>
      </c>
      <c r="C351">
        <v>139</v>
      </c>
      <c r="D351" s="31">
        <v>14.95</v>
      </c>
      <c r="E351" s="31">
        <v>2078.05</v>
      </c>
      <c r="F351">
        <f>VLOOKUP(RevenueTableAnswer[[#This Row],[Units Sold]],DiscountTableAnswer[],2)</f>
        <v>0.4375</v>
      </c>
      <c r="G351">
        <f>ROUND((1-RevenueTableAnswer[[#This Row],[Discount on Total Revenue]])*RevenueTableAnswer[[#This Row],[Total Revenue]],2)</f>
        <v>1168.9</v>
      </c>
    </row>
    <row r="352" spans="1:7">
      <c r="A352" s="30">
        <v>43042</v>
      </c>
      <c r="B352" t="s">
        <v>24</v>
      </c>
      <c r="C352">
        <v>84</v>
      </c>
      <c r="D352" s="31">
        <v>14.95</v>
      </c>
      <c r="E352" s="31">
        <v>1255.8</v>
      </c>
      <c r="F352">
        <f>VLOOKUP(RevenueTableAnswer[[#This Row],[Units Sold]],DiscountTableAnswer[],2)</f>
        <v>0.375</v>
      </c>
      <c r="G352">
        <f>ROUND((1-RevenueTableAnswer[[#This Row],[Discount on Total Revenue]])*RevenueTableAnswer[[#This Row],[Total Revenue]],2)</f>
        <v>784.88</v>
      </c>
    </row>
    <row r="353" spans="1:7">
      <c r="A353" s="30">
        <v>43041</v>
      </c>
      <c r="B353" t="s">
        <v>36</v>
      </c>
      <c r="C353">
        <v>128</v>
      </c>
      <c r="D353" s="31">
        <v>21.95</v>
      </c>
      <c r="E353" s="31">
        <v>2809.6</v>
      </c>
      <c r="F353">
        <f>VLOOKUP(RevenueTableAnswer[[#This Row],[Units Sold]],DiscountTableAnswer[],2)</f>
        <v>0.4375</v>
      </c>
      <c r="G353">
        <f>ROUND((1-RevenueTableAnswer[[#This Row],[Discount on Total Revenue]])*RevenueTableAnswer[[#This Row],[Total Revenue]],2)</f>
        <v>1580.4</v>
      </c>
    </row>
    <row r="354" spans="1:7">
      <c r="A354" s="30">
        <v>43045</v>
      </c>
      <c r="B354" t="s">
        <v>37</v>
      </c>
      <c r="C354">
        <v>139</v>
      </c>
      <c r="D354" s="31">
        <v>22.95</v>
      </c>
      <c r="E354" s="31">
        <v>3190.05</v>
      </c>
      <c r="F354">
        <f>VLOOKUP(RevenueTableAnswer[[#This Row],[Units Sold]],DiscountTableAnswer[],2)</f>
        <v>0.4375</v>
      </c>
      <c r="G354">
        <f>ROUND((1-RevenueTableAnswer[[#This Row],[Discount on Total Revenue]])*RevenueTableAnswer[[#This Row],[Total Revenue]],2)</f>
        <v>1794.4</v>
      </c>
    </row>
    <row r="355" spans="1:7">
      <c r="A355" s="30">
        <v>43046</v>
      </c>
      <c r="B355" t="s">
        <v>37</v>
      </c>
      <c r="C355">
        <v>66</v>
      </c>
      <c r="D355" s="31">
        <v>22.95</v>
      </c>
      <c r="E355" s="31">
        <v>1514.7</v>
      </c>
      <c r="F355">
        <f>VLOOKUP(RevenueTableAnswer[[#This Row],[Units Sold]],DiscountTableAnswer[],2)</f>
        <v>0.375</v>
      </c>
      <c r="G355">
        <f>ROUND((1-RevenueTableAnswer[[#This Row],[Discount on Total Revenue]])*RevenueTableAnswer[[#This Row],[Total Revenue]],2)</f>
        <v>946.69</v>
      </c>
    </row>
    <row r="356" spans="1:7">
      <c r="A356" s="30">
        <v>43047</v>
      </c>
      <c r="B356" t="s">
        <v>26</v>
      </c>
      <c r="C356">
        <v>84</v>
      </c>
      <c r="D356" s="31">
        <v>43.95</v>
      </c>
      <c r="E356" s="31">
        <v>3691.8</v>
      </c>
      <c r="F356">
        <f>VLOOKUP(RevenueTableAnswer[[#This Row],[Units Sold]],DiscountTableAnswer[],2)</f>
        <v>0.375</v>
      </c>
      <c r="G356">
        <f>ROUND((1-RevenueTableAnswer[[#This Row],[Discount on Total Revenue]])*RevenueTableAnswer[[#This Row],[Total Revenue]],2)</f>
        <v>2307.38</v>
      </c>
    </row>
    <row r="357" spans="1:7">
      <c r="A357" s="30">
        <v>43045</v>
      </c>
      <c r="B357" t="s">
        <v>26</v>
      </c>
      <c r="C357">
        <v>149</v>
      </c>
      <c r="D357" s="31">
        <v>43.95</v>
      </c>
      <c r="E357" s="31">
        <v>6548.55</v>
      </c>
      <c r="F357">
        <f>VLOOKUP(RevenueTableAnswer[[#This Row],[Units Sold]],DiscountTableAnswer[],2)</f>
        <v>0.5</v>
      </c>
      <c r="G357">
        <f>ROUND((1-RevenueTableAnswer[[#This Row],[Discount on Total Revenue]])*RevenueTableAnswer[[#This Row],[Total Revenue]],2)</f>
        <v>3274.28</v>
      </c>
    </row>
    <row r="358" spans="1:7">
      <c r="A358" s="30">
        <v>43043</v>
      </c>
      <c r="B358" t="s">
        <v>37</v>
      </c>
      <c r="C358">
        <v>120</v>
      </c>
      <c r="D358" s="31">
        <v>22.95</v>
      </c>
      <c r="E358" s="31">
        <v>2754</v>
      </c>
      <c r="F358">
        <f>VLOOKUP(RevenueTableAnswer[[#This Row],[Units Sold]],DiscountTableAnswer[],2)</f>
        <v>0.4375</v>
      </c>
      <c r="G358">
        <f>ROUND((1-RevenueTableAnswer[[#This Row],[Discount on Total Revenue]])*RevenueTableAnswer[[#This Row],[Total Revenue]],2)</f>
        <v>1549.13</v>
      </c>
    </row>
    <row r="359" spans="1:7">
      <c r="A359" s="30">
        <v>43044</v>
      </c>
      <c r="B359" t="s">
        <v>36</v>
      </c>
      <c r="C359">
        <v>135</v>
      </c>
      <c r="D359" s="31">
        <v>21.95</v>
      </c>
      <c r="E359" s="31">
        <v>2963.25</v>
      </c>
      <c r="F359">
        <f>VLOOKUP(RevenueTableAnswer[[#This Row],[Units Sold]],DiscountTableAnswer[],2)</f>
        <v>0.4375</v>
      </c>
      <c r="G359">
        <f>ROUND((1-RevenueTableAnswer[[#This Row],[Discount on Total Revenue]])*RevenueTableAnswer[[#This Row],[Total Revenue]],2)</f>
        <v>1666.83</v>
      </c>
    </row>
    <row r="360" spans="1:7">
      <c r="A360" s="30">
        <v>43043</v>
      </c>
      <c r="B360" t="s">
        <v>36</v>
      </c>
      <c r="C360">
        <v>84</v>
      </c>
      <c r="D360" s="31">
        <v>21.95</v>
      </c>
      <c r="E360" s="31">
        <v>1843.8</v>
      </c>
      <c r="F360">
        <f>VLOOKUP(RevenueTableAnswer[[#This Row],[Units Sold]],DiscountTableAnswer[],2)</f>
        <v>0.375</v>
      </c>
      <c r="G360">
        <f>ROUND((1-RevenueTableAnswer[[#This Row],[Discount on Total Revenue]])*RevenueTableAnswer[[#This Row],[Total Revenue]],2)</f>
        <v>1152.38</v>
      </c>
    </row>
    <row r="361" spans="1:7">
      <c r="A361" s="30">
        <v>43044</v>
      </c>
      <c r="B361" t="s">
        <v>37</v>
      </c>
      <c r="C361">
        <v>120</v>
      </c>
      <c r="D361" s="31">
        <v>22.95</v>
      </c>
      <c r="E361" s="31">
        <v>2754</v>
      </c>
      <c r="F361">
        <f>VLOOKUP(RevenueTableAnswer[[#This Row],[Units Sold]],DiscountTableAnswer[],2)</f>
        <v>0.4375</v>
      </c>
      <c r="G361">
        <f>ROUND((1-RevenueTableAnswer[[#This Row],[Discount on Total Revenue]])*RevenueTableAnswer[[#This Row],[Total Revenue]],2)</f>
        <v>1549.13</v>
      </c>
    </row>
    <row r="362" spans="1:7">
      <c r="A362" s="30">
        <v>43041</v>
      </c>
      <c r="B362" t="s">
        <v>36</v>
      </c>
      <c r="C362">
        <v>29</v>
      </c>
      <c r="D362" s="31">
        <v>21.95</v>
      </c>
      <c r="E362" s="31">
        <v>636.55</v>
      </c>
      <c r="F362">
        <f>VLOOKUP(RevenueTableAnswer[[#This Row],[Units Sold]],DiscountTableAnswer[],2)</f>
        <v>0.25</v>
      </c>
      <c r="G362">
        <f>ROUND((1-RevenueTableAnswer[[#This Row],[Discount on Total Revenue]])*RevenueTableAnswer[[#This Row],[Total Revenue]],2)</f>
        <v>477.41</v>
      </c>
    </row>
    <row r="363" spans="1:7">
      <c r="A363" s="30">
        <v>43040</v>
      </c>
      <c r="B363" t="s">
        <v>37</v>
      </c>
      <c r="C363">
        <v>113</v>
      </c>
      <c r="D363" s="31">
        <v>22.95</v>
      </c>
      <c r="E363" s="31">
        <v>2593.35</v>
      </c>
      <c r="F363">
        <f>VLOOKUP(RevenueTableAnswer[[#This Row],[Units Sold]],DiscountTableAnswer[],2)</f>
        <v>0.4375</v>
      </c>
      <c r="G363">
        <f>ROUND((1-RevenueTableAnswer[[#This Row],[Discount on Total Revenue]])*RevenueTableAnswer[[#This Row],[Total Revenue]],2)</f>
        <v>1458.76</v>
      </c>
    </row>
    <row r="364" spans="1:7">
      <c r="A364" s="30">
        <v>43046</v>
      </c>
      <c r="B364" t="s">
        <v>26</v>
      </c>
      <c r="C364">
        <v>5</v>
      </c>
      <c r="D364" s="31">
        <v>43.95</v>
      </c>
      <c r="E364" s="31">
        <v>219.75</v>
      </c>
      <c r="F364">
        <f>VLOOKUP(RevenueTableAnswer[[#This Row],[Units Sold]],DiscountTableAnswer[],2)</f>
        <v>0</v>
      </c>
      <c r="G364">
        <f>ROUND((1-RevenueTableAnswer[[#This Row],[Discount on Total Revenue]])*RevenueTableAnswer[[#This Row],[Total Revenue]],2)</f>
        <v>219.75</v>
      </c>
    </row>
    <row r="365" spans="1:7">
      <c r="A365" s="30">
        <v>43045</v>
      </c>
      <c r="B365" t="s">
        <v>36</v>
      </c>
      <c r="C365">
        <v>10</v>
      </c>
      <c r="D365" s="31">
        <v>21.95</v>
      </c>
      <c r="E365" s="31">
        <v>219.5</v>
      </c>
      <c r="F365">
        <f>VLOOKUP(RevenueTableAnswer[[#This Row],[Units Sold]],DiscountTableAnswer[],2)</f>
        <v>0</v>
      </c>
      <c r="G365">
        <f>ROUND((1-RevenueTableAnswer[[#This Row],[Discount on Total Revenue]])*RevenueTableAnswer[[#This Row],[Total Revenue]],2)</f>
        <v>219.5</v>
      </c>
    </row>
    <row r="366" spans="1:7">
      <c r="A366" s="30">
        <v>43041</v>
      </c>
      <c r="B366" t="s">
        <v>36</v>
      </c>
      <c r="C366">
        <v>184</v>
      </c>
      <c r="D366" s="31">
        <v>21.95</v>
      </c>
      <c r="E366" s="31">
        <v>4038.8</v>
      </c>
      <c r="F366">
        <f>VLOOKUP(RevenueTableAnswer[[#This Row],[Units Sold]],DiscountTableAnswer[],2)</f>
        <v>0.55</v>
      </c>
      <c r="G366">
        <f>ROUND((1-RevenueTableAnswer[[#This Row],[Discount on Total Revenue]])*RevenueTableAnswer[[#This Row],[Total Revenue]],2)</f>
        <v>1817.46</v>
      </c>
    </row>
    <row r="367" spans="1:7">
      <c r="A367" s="30">
        <v>43040</v>
      </c>
      <c r="B367" t="s">
        <v>36</v>
      </c>
      <c r="C367">
        <v>45</v>
      </c>
      <c r="D367" s="31">
        <v>21.95</v>
      </c>
      <c r="E367" s="31">
        <v>987.75</v>
      </c>
      <c r="F367">
        <f>VLOOKUP(RevenueTableAnswer[[#This Row],[Units Sold]],DiscountTableAnswer[],2)</f>
        <v>0.25</v>
      </c>
      <c r="G367">
        <f>ROUND((1-RevenueTableAnswer[[#This Row],[Discount on Total Revenue]])*RevenueTableAnswer[[#This Row],[Total Revenue]],2)</f>
        <v>740.81</v>
      </c>
    </row>
    <row r="368" spans="1:7">
      <c r="A368" s="30">
        <v>43042</v>
      </c>
      <c r="B368" t="s">
        <v>24</v>
      </c>
      <c r="C368">
        <v>39</v>
      </c>
      <c r="D368" s="31">
        <v>14.95</v>
      </c>
      <c r="E368" s="31">
        <v>583.05</v>
      </c>
      <c r="F368">
        <f>VLOOKUP(RevenueTableAnswer[[#This Row],[Units Sold]],DiscountTableAnswer[],2)</f>
        <v>0.25</v>
      </c>
      <c r="G368">
        <f>ROUND((1-RevenueTableAnswer[[#This Row],[Discount on Total Revenue]])*RevenueTableAnswer[[#This Row],[Total Revenue]],2)</f>
        <v>437.29</v>
      </c>
    </row>
    <row r="369" spans="1:7">
      <c r="A369" s="30">
        <v>43040</v>
      </c>
      <c r="B369" t="s">
        <v>37</v>
      </c>
      <c r="C369">
        <v>55</v>
      </c>
      <c r="D369" s="31">
        <v>22.95</v>
      </c>
      <c r="E369" s="31">
        <v>1262.25</v>
      </c>
      <c r="F369">
        <f>VLOOKUP(RevenueTableAnswer[[#This Row],[Units Sold]],DiscountTableAnswer[],2)</f>
        <v>0.375</v>
      </c>
      <c r="G369">
        <f>ROUND((1-RevenueTableAnswer[[#This Row],[Discount on Total Revenue]])*RevenueTableAnswer[[#This Row],[Total Revenue]],2)</f>
        <v>788.91</v>
      </c>
    </row>
    <row r="370" spans="1:7">
      <c r="A370" s="30">
        <v>43042</v>
      </c>
      <c r="B370" t="s">
        <v>24</v>
      </c>
      <c r="C370">
        <v>185</v>
      </c>
      <c r="D370" s="31">
        <v>14.95</v>
      </c>
      <c r="E370" s="31">
        <v>2765.75</v>
      </c>
      <c r="F370">
        <f>VLOOKUP(RevenueTableAnswer[[#This Row],[Units Sold]],DiscountTableAnswer[],2)</f>
        <v>0.55</v>
      </c>
      <c r="G370">
        <f>ROUND((1-RevenueTableAnswer[[#This Row],[Discount on Total Revenue]])*RevenueTableAnswer[[#This Row],[Total Revenue]],2)</f>
        <v>1244.59</v>
      </c>
    </row>
    <row r="371" spans="1:7">
      <c r="A371" s="30">
        <v>43045</v>
      </c>
      <c r="B371" t="s">
        <v>37</v>
      </c>
      <c r="C371">
        <v>22</v>
      </c>
      <c r="D371" s="31">
        <v>22.95</v>
      </c>
      <c r="E371" s="31">
        <v>504.9</v>
      </c>
      <c r="F371">
        <f>VLOOKUP(RevenueTableAnswer[[#This Row],[Units Sold]],DiscountTableAnswer[],2)</f>
        <v>0.25</v>
      </c>
      <c r="G371">
        <f>ROUND((1-RevenueTableAnswer[[#This Row],[Discount on Total Revenue]])*RevenueTableAnswer[[#This Row],[Total Revenue]],2)</f>
        <v>378.68</v>
      </c>
    </row>
    <row r="372" spans="1:7">
      <c r="A372" s="30">
        <v>43040</v>
      </c>
      <c r="B372" t="s">
        <v>26</v>
      </c>
      <c r="C372">
        <v>103</v>
      </c>
      <c r="D372" s="31">
        <v>43.95</v>
      </c>
      <c r="E372" s="31">
        <v>4526.85</v>
      </c>
      <c r="F372">
        <f>VLOOKUP(RevenueTableAnswer[[#This Row],[Units Sold]],DiscountTableAnswer[],2)</f>
        <v>0.4375</v>
      </c>
      <c r="G372">
        <f>ROUND((1-RevenueTableAnswer[[#This Row],[Discount on Total Revenue]])*RevenueTableAnswer[[#This Row],[Total Revenue]],2)</f>
        <v>2546.35</v>
      </c>
    </row>
    <row r="373" spans="1:7">
      <c r="A373" s="30">
        <v>43042</v>
      </c>
      <c r="B373" t="s">
        <v>37</v>
      </c>
      <c r="C373">
        <v>149</v>
      </c>
      <c r="D373" s="31">
        <v>22.95</v>
      </c>
      <c r="E373" s="31">
        <v>3419.55</v>
      </c>
      <c r="F373">
        <f>VLOOKUP(RevenueTableAnswer[[#This Row],[Units Sold]],DiscountTableAnswer[],2)</f>
        <v>0.5</v>
      </c>
      <c r="G373">
        <f>ROUND((1-RevenueTableAnswer[[#This Row],[Discount on Total Revenue]])*RevenueTableAnswer[[#This Row],[Total Revenue]],2)</f>
        <v>1709.78</v>
      </c>
    </row>
    <row r="374" spans="1:7">
      <c r="A374" s="30">
        <v>43046</v>
      </c>
      <c r="B374" t="s">
        <v>36</v>
      </c>
      <c r="C374">
        <v>70</v>
      </c>
      <c r="D374" s="31">
        <v>21.95</v>
      </c>
      <c r="E374" s="31">
        <v>1536.5</v>
      </c>
      <c r="F374">
        <f>VLOOKUP(RevenueTableAnswer[[#This Row],[Units Sold]],DiscountTableAnswer[],2)</f>
        <v>0.375</v>
      </c>
      <c r="G374">
        <f>ROUND((1-RevenueTableAnswer[[#This Row],[Discount on Total Revenue]])*RevenueTableAnswer[[#This Row],[Total Revenue]],2)</f>
        <v>960.31</v>
      </c>
    </row>
    <row r="375" spans="1:7">
      <c r="A375" s="30">
        <v>43040</v>
      </c>
      <c r="B375" t="s">
        <v>24</v>
      </c>
      <c r="C375">
        <v>30</v>
      </c>
      <c r="D375" s="31">
        <v>14.95</v>
      </c>
      <c r="E375" s="31">
        <v>448.5</v>
      </c>
      <c r="F375">
        <f>VLOOKUP(RevenueTableAnswer[[#This Row],[Units Sold]],DiscountTableAnswer[],2)</f>
        <v>0.25</v>
      </c>
      <c r="G375">
        <f>ROUND((1-RevenueTableAnswer[[#This Row],[Discount on Total Revenue]])*RevenueTableAnswer[[#This Row],[Total Revenue]],2)</f>
        <v>336.38</v>
      </c>
    </row>
    <row r="376" spans="1:7">
      <c r="A376" s="30">
        <v>43047</v>
      </c>
      <c r="B376" t="s">
        <v>36</v>
      </c>
      <c r="C376">
        <v>119</v>
      </c>
      <c r="D376" s="31">
        <v>21.95</v>
      </c>
      <c r="E376" s="31">
        <v>2612.05</v>
      </c>
      <c r="F376">
        <f>VLOOKUP(RevenueTableAnswer[[#This Row],[Units Sold]],DiscountTableAnswer[],2)</f>
        <v>0.4375</v>
      </c>
      <c r="G376">
        <f>ROUND((1-RevenueTableAnswer[[#This Row],[Discount on Total Revenue]])*RevenueTableAnswer[[#This Row],[Total Revenue]],2)</f>
        <v>1469.28</v>
      </c>
    </row>
    <row r="377" spans="1:7">
      <c r="A377" s="30">
        <v>43045</v>
      </c>
      <c r="B377" t="s">
        <v>24</v>
      </c>
      <c r="C377">
        <v>136</v>
      </c>
      <c r="D377" s="31">
        <v>14.95</v>
      </c>
      <c r="E377" s="31">
        <v>2033.2</v>
      </c>
      <c r="F377">
        <f>VLOOKUP(RevenueTableAnswer[[#This Row],[Units Sold]],DiscountTableAnswer[],2)</f>
        <v>0.4375</v>
      </c>
      <c r="G377">
        <f>ROUND((1-RevenueTableAnswer[[#This Row],[Discount on Total Revenue]])*RevenueTableAnswer[[#This Row],[Total Revenue]],2)</f>
        <v>1143.68</v>
      </c>
    </row>
    <row r="378" spans="1:7">
      <c r="A378" s="30">
        <v>43044</v>
      </c>
      <c r="B378" t="s">
        <v>24</v>
      </c>
      <c r="C378">
        <v>156</v>
      </c>
      <c r="D378" s="31">
        <v>14.95</v>
      </c>
      <c r="E378" s="31">
        <v>2332.2</v>
      </c>
      <c r="F378">
        <f>VLOOKUP(RevenueTableAnswer[[#This Row],[Units Sold]],DiscountTableAnswer[],2)</f>
        <v>0.5</v>
      </c>
      <c r="G378">
        <f>ROUND((1-RevenueTableAnswer[[#This Row],[Discount on Total Revenue]])*RevenueTableAnswer[[#This Row],[Total Revenue]],2)</f>
        <v>1166.1</v>
      </c>
    </row>
    <row r="379" spans="1:7">
      <c r="A379" s="30">
        <v>43045</v>
      </c>
      <c r="B379" t="s">
        <v>26</v>
      </c>
      <c r="C379">
        <v>87</v>
      </c>
      <c r="D379" s="31">
        <v>43.95</v>
      </c>
      <c r="E379" s="31">
        <v>3823.65</v>
      </c>
      <c r="F379">
        <f>VLOOKUP(RevenueTableAnswer[[#This Row],[Units Sold]],DiscountTableAnswer[],2)</f>
        <v>0.375</v>
      </c>
      <c r="G379">
        <f>ROUND((1-RevenueTableAnswer[[#This Row],[Discount on Total Revenue]])*RevenueTableAnswer[[#This Row],[Total Revenue]],2)</f>
        <v>2389.78</v>
      </c>
    </row>
    <row r="380" spans="1:7">
      <c r="A380" s="30">
        <v>43040</v>
      </c>
      <c r="B380" t="s">
        <v>37</v>
      </c>
      <c r="C380">
        <v>174</v>
      </c>
      <c r="D380" s="31">
        <v>22.95</v>
      </c>
      <c r="E380" s="31">
        <v>3993.3</v>
      </c>
      <c r="F380">
        <f>VLOOKUP(RevenueTableAnswer[[#This Row],[Units Sold]],DiscountTableAnswer[],2)</f>
        <v>0.55</v>
      </c>
      <c r="G380">
        <f>ROUND((1-RevenueTableAnswer[[#This Row],[Discount on Total Revenue]])*RevenueTableAnswer[[#This Row],[Total Revenue]],2)</f>
        <v>1796.99</v>
      </c>
    </row>
    <row r="381" spans="1:7">
      <c r="A381" s="30">
        <v>43040</v>
      </c>
      <c r="B381" t="s">
        <v>26</v>
      </c>
      <c r="C381">
        <v>188</v>
      </c>
      <c r="D381" s="31">
        <v>43.95</v>
      </c>
      <c r="E381" s="31">
        <v>8262.6</v>
      </c>
      <c r="F381">
        <f>VLOOKUP(RevenueTableAnswer[[#This Row],[Units Sold]],DiscountTableAnswer[],2)</f>
        <v>0.55</v>
      </c>
      <c r="G381">
        <f>ROUND((1-RevenueTableAnswer[[#This Row],[Discount on Total Revenue]])*RevenueTableAnswer[[#This Row],[Total Revenue]],2)</f>
        <v>3718.17</v>
      </c>
    </row>
    <row r="382" spans="1:7">
      <c r="A382" s="30">
        <v>43046</v>
      </c>
      <c r="B382" t="s">
        <v>36</v>
      </c>
      <c r="C382">
        <v>189</v>
      </c>
      <c r="D382" s="31">
        <v>21.95</v>
      </c>
      <c r="E382" s="31">
        <v>4148.55</v>
      </c>
      <c r="F382">
        <f>VLOOKUP(RevenueTableAnswer[[#This Row],[Units Sold]],DiscountTableAnswer[],2)</f>
        <v>0.55</v>
      </c>
      <c r="G382">
        <f>ROUND((1-RevenueTableAnswer[[#This Row],[Discount on Total Revenue]])*RevenueTableAnswer[[#This Row],[Total Revenue]],2)</f>
        <v>1866.85</v>
      </c>
    </row>
    <row r="383" spans="1:7">
      <c r="A383" s="30">
        <v>43040</v>
      </c>
      <c r="B383" t="s">
        <v>24</v>
      </c>
      <c r="C383">
        <v>154</v>
      </c>
      <c r="D383" s="31">
        <v>14.95</v>
      </c>
      <c r="E383" s="31">
        <v>2302.3</v>
      </c>
      <c r="F383">
        <f>VLOOKUP(RevenueTableAnswer[[#This Row],[Units Sold]],DiscountTableAnswer[],2)</f>
        <v>0.5</v>
      </c>
      <c r="G383">
        <f>ROUND((1-RevenueTableAnswer[[#This Row],[Discount on Total Revenue]])*RevenueTableAnswer[[#This Row],[Total Revenue]],2)</f>
        <v>1151.15</v>
      </c>
    </row>
    <row r="384" spans="1:7">
      <c r="A384" s="30">
        <v>43040</v>
      </c>
      <c r="B384" t="s">
        <v>36</v>
      </c>
      <c r="C384">
        <v>48</v>
      </c>
      <c r="D384" s="31">
        <v>21.95</v>
      </c>
      <c r="E384" s="31">
        <v>1053.6</v>
      </c>
      <c r="F384">
        <f>VLOOKUP(RevenueTableAnswer[[#This Row],[Units Sold]],DiscountTableAnswer[],2)</f>
        <v>0.375</v>
      </c>
      <c r="G384">
        <f>ROUND((1-RevenueTableAnswer[[#This Row],[Discount on Total Revenue]])*RevenueTableAnswer[[#This Row],[Total Revenue]],2)</f>
        <v>658.5</v>
      </c>
    </row>
    <row r="385" spans="1:7">
      <c r="A385" s="30">
        <v>43041</v>
      </c>
      <c r="B385" t="s">
        <v>26</v>
      </c>
      <c r="C385">
        <v>61</v>
      </c>
      <c r="D385" s="31">
        <v>43.95</v>
      </c>
      <c r="E385" s="31">
        <v>2680.95</v>
      </c>
      <c r="F385">
        <f>VLOOKUP(RevenueTableAnswer[[#This Row],[Units Sold]],DiscountTableAnswer[],2)</f>
        <v>0.375</v>
      </c>
      <c r="G385">
        <f>ROUND((1-RevenueTableAnswer[[#This Row],[Discount on Total Revenue]])*RevenueTableAnswer[[#This Row],[Total Revenue]],2)</f>
        <v>1675.59</v>
      </c>
    </row>
    <row r="386" spans="1:7">
      <c r="A386" s="30">
        <v>43043</v>
      </c>
      <c r="B386" t="s">
        <v>26</v>
      </c>
      <c r="C386">
        <v>73</v>
      </c>
      <c r="D386" s="31">
        <v>43.95</v>
      </c>
      <c r="E386" s="31">
        <v>3208.35</v>
      </c>
      <c r="F386">
        <f>VLOOKUP(RevenueTableAnswer[[#This Row],[Units Sold]],DiscountTableAnswer[],2)</f>
        <v>0.375</v>
      </c>
      <c r="G386">
        <f>ROUND((1-RevenueTableAnswer[[#This Row],[Discount on Total Revenue]])*RevenueTableAnswer[[#This Row],[Total Revenue]],2)</f>
        <v>2005.22</v>
      </c>
    </row>
    <row r="387" spans="1:7">
      <c r="A387" s="30">
        <v>43045</v>
      </c>
      <c r="B387" t="s">
        <v>37</v>
      </c>
      <c r="C387">
        <v>122</v>
      </c>
      <c r="D387" s="31">
        <v>22.95</v>
      </c>
      <c r="E387" s="31">
        <v>2799.9</v>
      </c>
      <c r="F387">
        <f>VLOOKUP(RevenueTableAnswer[[#This Row],[Units Sold]],DiscountTableAnswer[],2)</f>
        <v>0.4375</v>
      </c>
      <c r="G387">
        <f>ROUND((1-RevenueTableAnswer[[#This Row],[Discount on Total Revenue]])*RevenueTableAnswer[[#This Row],[Total Revenue]],2)</f>
        <v>1574.94</v>
      </c>
    </row>
    <row r="388" spans="1:7">
      <c r="A388" s="30">
        <v>43045</v>
      </c>
      <c r="B388" t="s">
        <v>26</v>
      </c>
      <c r="C388">
        <v>67</v>
      </c>
      <c r="D388" s="31">
        <v>43.95</v>
      </c>
      <c r="E388" s="31">
        <v>2944.65</v>
      </c>
      <c r="F388">
        <f>VLOOKUP(RevenueTableAnswer[[#This Row],[Units Sold]],DiscountTableAnswer[],2)</f>
        <v>0.375</v>
      </c>
      <c r="G388">
        <f>ROUND((1-RevenueTableAnswer[[#This Row],[Discount on Total Revenue]])*RevenueTableAnswer[[#This Row],[Total Revenue]],2)</f>
        <v>1840.41</v>
      </c>
    </row>
    <row r="389" spans="1:7">
      <c r="A389" s="30">
        <v>43041</v>
      </c>
      <c r="B389" t="s">
        <v>26</v>
      </c>
      <c r="C389">
        <v>190</v>
      </c>
      <c r="D389" s="31">
        <v>43.95</v>
      </c>
      <c r="E389" s="31">
        <v>8350.5</v>
      </c>
      <c r="F389">
        <f>VLOOKUP(RevenueTableAnswer[[#This Row],[Units Sold]],DiscountTableAnswer[],2)</f>
        <v>0.55</v>
      </c>
      <c r="G389">
        <f>ROUND((1-RevenueTableAnswer[[#This Row],[Discount on Total Revenue]])*RevenueTableAnswer[[#This Row],[Total Revenue]],2)</f>
        <v>3757.73</v>
      </c>
    </row>
    <row r="390" spans="1:7">
      <c r="A390" s="30">
        <v>43047</v>
      </c>
      <c r="B390" t="s">
        <v>36</v>
      </c>
      <c r="C390">
        <v>154</v>
      </c>
      <c r="D390" s="31">
        <v>21.95</v>
      </c>
      <c r="E390" s="31">
        <v>3380.3</v>
      </c>
      <c r="F390">
        <f>VLOOKUP(RevenueTableAnswer[[#This Row],[Units Sold]],DiscountTableAnswer[],2)</f>
        <v>0.5</v>
      </c>
      <c r="G390">
        <f>ROUND((1-RevenueTableAnswer[[#This Row],[Discount on Total Revenue]])*RevenueTableAnswer[[#This Row],[Total Revenue]],2)</f>
        <v>1690.15</v>
      </c>
    </row>
    <row r="391" spans="1:7">
      <c r="A391" s="30">
        <v>43044</v>
      </c>
      <c r="B391" t="s">
        <v>24</v>
      </c>
      <c r="C391">
        <v>177</v>
      </c>
      <c r="D391" s="31">
        <v>14.95</v>
      </c>
      <c r="E391" s="31">
        <v>2646.15</v>
      </c>
      <c r="F391">
        <f>VLOOKUP(RevenueTableAnswer[[#This Row],[Units Sold]],DiscountTableAnswer[],2)</f>
        <v>0.55</v>
      </c>
      <c r="G391">
        <f>ROUND((1-RevenueTableAnswer[[#This Row],[Discount on Total Revenue]])*RevenueTableAnswer[[#This Row],[Total Revenue]],2)</f>
        <v>1190.77</v>
      </c>
    </row>
    <row r="392" spans="1:7">
      <c r="A392" s="30">
        <v>43046</v>
      </c>
      <c r="B392" t="s">
        <v>24</v>
      </c>
      <c r="C392">
        <v>48</v>
      </c>
      <c r="D392" s="31">
        <v>14.95</v>
      </c>
      <c r="E392" s="31">
        <v>717.6</v>
      </c>
      <c r="F392">
        <f>VLOOKUP(RevenueTableAnswer[[#This Row],[Units Sold]],DiscountTableAnswer[],2)</f>
        <v>0.375</v>
      </c>
      <c r="G392">
        <f>ROUND((1-RevenueTableAnswer[[#This Row],[Discount on Total Revenue]])*RevenueTableAnswer[[#This Row],[Total Revenue]],2)</f>
        <v>448.5</v>
      </c>
    </row>
    <row r="393" spans="1:7">
      <c r="A393" s="30">
        <v>43043</v>
      </c>
      <c r="B393" t="s">
        <v>26</v>
      </c>
      <c r="C393">
        <v>83</v>
      </c>
      <c r="D393" s="31">
        <v>43.95</v>
      </c>
      <c r="E393" s="31">
        <v>3647.85</v>
      </c>
      <c r="F393">
        <f>VLOOKUP(RevenueTableAnswer[[#This Row],[Units Sold]],DiscountTableAnswer[],2)</f>
        <v>0.375</v>
      </c>
      <c r="G393">
        <f>ROUND((1-RevenueTableAnswer[[#This Row],[Discount on Total Revenue]])*RevenueTableAnswer[[#This Row],[Total Revenue]],2)</f>
        <v>2279.91</v>
      </c>
    </row>
    <row r="394" spans="1:7">
      <c r="A394" s="30">
        <v>43043</v>
      </c>
      <c r="B394" t="s">
        <v>36</v>
      </c>
      <c r="C394">
        <v>116</v>
      </c>
      <c r="D394" s="31">
        <v>21.95</v>
      </c>
      <c r="E394" s="31">
        <v>2546.2</v>
      </c>
      <c r="F394">
        <f>VLOOKUP(RevenueTableAnswer[[#This Row],[Units Sold]],DiscountTableAnswer[],2)</f>
        <v>0.4375</v>
      </c>
      <c r="G394">
        <f>ROUND((1-RevenueTableAnswer[[#This Row],[Discount on Total Revenue]])*RevenueTableAnswer[[#This Row],[Total Revenue]],2)</f>
        <v>1432.24</v>
      </c>
    </row>
    <row r="395" spans="1:7">
      <c r="A395" s="30">
        <v>43043</v>
      </c>
      <c r="B395" t="s">
        <v>37</v>
      </c>
      <c r="C395">
        <v>20</v>
      </c>
      <c r="D395" s="31">
        <v>22.95</v>
      </c>
      <c r="E395" s="31">
        <v>459</v>
      </c>
      <c r="F395">
        <f>VLOOKUP(RevenueTableAnswer[[#This Row],[Units Sold]],DiscountTableAnswer[],2)</f>
        <v>0.25</v>
      </c>
      <c r="G395">
        <f>ROUND((1-RevenueTableAnswer[[#This Row],[Discount on Total Revenue]])*RevenueTableAnswer[[#This Row],[Total Revenue]],2)</f>
        <v>344.25</v>
      </c>
    </row>
    <row r="396" spans="1:7">
      <c r="A396" s="30">
        <v>43042</v>
      </c>
      <c r="B396" t="s">
        <v>37</v>
      </c>
      <c r="C396">
        <v>146</v>
      </c>
      <c r="D396" s="31">
        <v>22.95</v>
      </c>
      <c r="E396" s="31">
        <v>3350.7</v>
      </c>
      <c r="F396">
        <f>VLOOKUP(RevenueTableAnswer[[#This Row],[Units Sold]],DiscountTableAnswer[],2)</f>
        <v>0.5</v>
      </c>
      <c r="G396">
        <f>ROUND((1-RevenueTableAnswer[[#This Row],[Discount on Total Revenue]])*RevenueTableAnswer[[#This Row],[Total Revenue]],2)</f>
        <v>1675.35</v>
      </c>
    </row>
    <row r="397" spans="1:7">
      <c r="A397" s="30">
        <v>43041</v>
      </c>
      <c r="B397" t="s">
        <v>37</v>
      </c>
      <c r="C397">
        <v>176</v>
      </c>
      <c r="D397" s="31">
        <v>22.95</v>
      </c>
      <c r="E397" s="31">
        <v>4039.2</v>
      </c>
      <c r="F397">
        <f>VLOOKUP(RevenueTableAnswer[[#This Row],[Units Sold]],DiscountTableAnswer[],2)</f>
        <v>0.55</v>
      </c>
      <c r="G397">
        <f>ROUND((1-RevenueTableAnswer[[#This Row],[Discount on Total Revenue]])*RevenueTableAnswer[[#This Row],[Total Revenue]],2)</f>
        <v>1817.64</v>
      </c>
    </row>
    <row r="398" spans="1:7">
      <c r="A398" s="30">
        <v>43040</v>
      </c>
      <c r="B398" t="s">
        <v>26</v>
      </c>
      <c r="C398">
        <v>40</v>
      </c>
      <c r="D398" s="31">
        <v>43.95</v>
      </c>
      <c r="E398" s="31">
        <v>1758</v>
      </c>
      <c r="F398">
        <f>VLOOKUP(RevenueTableAnswer[[#This Row],[Units Sold]],DiscountTableAnswer[],2)</f>
        <v>0.25</v>
      </c>
      <c r="G398">
        <f>ROUND((1-RevenueTableAnswer[[#This Row],[Discount on Total Revenue]])*RevenueTableAnswer[[#This Row],[Total Revenue]],2)</f>
        <v>1318.5</v>
      </c>
    </row>
    <row r="399" spans="1:7">
      <c r="A399" s="30">
        <v>43043</v>
      </c>
      <c r="B399" t="s">
        <v>36</v>
      </c>
      <c r="C399">
        <v>29</v>
      </c>
      <c r="D399" s="31">
        <v>21.95</v>
      </c>
      <c r="E399" s="31">
        <v>636.55</v>
      </c>
      <c r="F399">
        <f>VLOOKUP(RevenueTableAnswer[[#This Row],[Units Sold]],DiscountTableAnswer[],2)</f>
        <v>0.25</v>
      </c>
      <c r="G399">
        <f>ROUND((1-RevenueTableAnswer[[#This Row],[Discount on Total Revenue]])*RevenueTableAnswer[[#This Row],[Total Revenue]],2)</f>
        <v>477.41</v>
      </c>
    </row>
    <row r="400" spans="1:7">
      <c r="A400" s="30">
        <v>43044</v>
      </c>
      <c r="B400" t="s">
        <v>26</v>
      </c>
      <c r="C400">
        <v>65</v>
      </c>
      <c r="D400" s="31">
        <v>43.95</v>
      </c>
      <c r="E400" s="31">
        <v>2856.75</v>
      </c>
      <c r="F400">
        <f>VLOOKUP(RevenueTableAnswer[[#This Row],[Units Sold]],DiscountTableAnswer[],2)</f>
        <v>0.375</v>
      </c>
      <c r="G400">
        <f>ROUND((1-RevenueTableAnswer[[#This Row],[Discount on Total Revenue]])*RevenueTableAnswer[[#This Row],[Total Revenue]],2)</f>
        <v>1785.47</v>
      </c>
    </row>
    <row r="401" spans="1:7">
      <c r="A401" s="30">
        <v>43045</v>
      </c>
      <c r="B401" t="s">
        <v>37</v>
      </c>
      <c r="C401">
        <v>21</v>
      </c>
      <c r="D401" s="31">
        <v>22.95</v>
      </c>
      <c r="E401" s="31">
        <v>481.95</v>
      </c>
      <c r="F401">
        <f>VLOOKUP(RevenueTableAnswer[[#This Row],[Units Sold]],DiscountTableAnswer[],2)</f>
        <v>0.25</v>
      </c>
      <c r="G401">
        <f>ROUND((1-RevenueTableAnswer[[#This Row],[Discount on Total Revenue]])*RevenueTableAnswer[[#This Row],[Total Revenue]],2)</f>
        <v>361.46</v>
      </c>
    </row>
    <row r="402" spans="1:7">
      <c r="A402" s="30">
        <v>43043</v>
      </c>
      <c r="B402" t="s">
        <v>37</v>
      </c>
      <c r="C402">
        <v>64</v>
      </c>
      <c r="D402" s="31">
        <v>22.95</v>
      </c>
      <c r="E402" s="31">
        <v>1468.8</v>
      </c>
      <c r="F402">
        <f>VLOOKUP(RevenueTableAnswer[[#This Row],[Units Sold]],DiscountTableAnswer[],2)</f>
        <v>0.375</v>
      </c>
      <c r="G402">
        <f>ROUND((1-RevenueTableAnswer[[#This Row],[Discount on Total Revenue]])*RevenueTableAnswer[[#This Row],[Total Revenue]],2)</f>
        <v>918</v>
      </c>
    </row>
    <row r="403" spans="1:7">
      <c r="A403" s="30">
        <v>43040</v>
      </c>
      <c r="B403" t="s">
        <v>36</v>
      </c>
      <c r="C403">
        <v>137</v>
      </c>
      <c r="D403" s="31">
        <v>21.95</v>
      </c>
      <c r="E403" s="31">
        <v>3007.15</v>
      </c>
      <c r="F403">
        <f>VLOOKUP(RevenueTableAnswer[[#This Row],[Units Sold]],DiscountTableAnswer[],2)</f>
        <v>0.4375</v>
      </c>
      <c r="G403">
        <f>ROUND((1-RevenueTableAnswer[[#This Row],[Discount on Total Revenue]])*RevenueTableAnswer[[#This Row],[Total Revenue]],2)</f>
        <v>1691.52</v>
      </c>
    </row>
    <row r="404" spans="1:7">
      <c r="A404" s="30">
        <v>43045</v>
      </c>
      <c r="B404" t="s">
        <v>36</v>
      </c>
      <c r="C404">
        <v>46</v>
      </c>
      <c r="D404" s="31">
        <v>21.95</v>
      </c>
      <c r="E404" s="31">
        <v>1009.7</v>
      </c>
      <c r="F404">
        <f>VLOOKUP(RevenueTableAnswer[[#This Row],[Units Sold]],DiscountTableAnswer[],2)</f>
        <v>0.25</v>
      </c>
      <c r="G404">
        <f>ROUND((1-RevenueTableAnswer[[#This Row],[Discount on Total Revenue]])*RevenueTableAnswer[[#This Row],[Total Revenue]],2)</f>
        <v>757.28</v>
      </c>
    </row>
    <row r="405" spans="1:7">
      <c r="A405" s="30">
        <v>43046</v>
      </c>
      <c r="B405" t="s">
        <v>37</v>
      </c>
      <c r="C405">
        <v>176</v>
      </c>
      <c r="D405" s="31">
        <v>22.95</v>
      </c>
      <c r="E405" s="31">
        <v>4039.2</v>
      </c>
      <c r="F405">
        <f>VLOOKUP(RevenueTableAnswer[[#This Row],[Units Sold]],DiscountTableAnswer[],2)</f>
        <v>0.55</v>
      </c>
      <c r="G405">
        <f>ROUND((1-RevenueTableAnswer[[#This Row],[Discount on Total Revenue]])*RevenueTableAnswer[[#This Row],[Total Revenue]],2)</f>
        <v>1817.64</v>
      </c>
    </row>
    <row r="406" spans="1:7">
      <c r="A406" s="30">
        <v>43042</v>
      </c>
      <c r="B406" t="s">
        <v>24</v>
      </c>
      <c r="C406">
        <v>58</v>
      </c>
      <c r="D406" s="31">
        <v>14.95</v>
      </c>
      <c r="E406" s="31">
        <v>867.1</v>
      </c>
      <c r="F406">
        <f>VLOOKUP(RevenueTableAnswer[[#This Row],[Units Sold]],DiscountTableAnswer[],2)</f>
        <v>0.375</v>
      </c>
      <c r="G406">
        <f>ROUND((1-RevenueTableAnswer[[#This Row],[Discount on Total Revenue]])*RevenueTableAnswer[[#This Row],[Total Revenue]],2)</f>
        <v>541.94</v>
      </c>
    </row>
    <row r="407" spans="1:7">
      <c r="A407" s="30">
        <v>43040</v>
      </c>
      <c r="B407" t="s">
        <v>24</v>
      </c>
      <c r="C407">
        <v>42</v>
      </c>
      <c r="D407" s="31">
        <v>14.95</v>
      </c>
      <c r="E407" s="31">
        <v>627.9</v>
      </c>
      <c r="F407">
        <f>VLOOKUP(RevenueTableAnswer[[#This Row],[Units Sold]],DiscountTableAnswer[],2)</f>
        <v>0.25</v>
      </c>
      <c r="G407">
        <f>ROUND((1-RevenueTableAnswer[[#This Row],[Discount on Total Revenue]])*RevenueTableAnswer[[#This Row],[Total Revenue]],2)</f>
        <v>470.93</v>
      </c>
    </row>
    <row r="408" spans="1:7">
      <c r="A408" s="30">
        <v>43043</v>
      </c>
      <c r="B408" t="s">
        <v>24</v>
      </c>
      <c r="C408">
        <v>160</v>
      </c>
      <c r="D408" s="31">
        <v>14.95</v>
      </c>
      <c r="E408" s="31">
        <v>2392</v>
      </c>
      <c r="F408">
        <f>VLOOKUP(RevenueTableAnswer[[#This Row],[Units Sold]],DiscountTableAnswer[],2)</f>
        <v>0.5</v>
      </c>
      <c r="G408">
        <f>ROUND((1-RevenueTableAnswer[[#This Row],[Discount on Total Revenue]])*RevenueTableAnswer[[#This Row],[Total Revenue]],2)</f>
        <v>1196</v>
      </c>
    </row>
    <row r="409" spans="1:7">
      <c r="A409" s="30">
        <v>43045</v>
      </c>
      <c r="B409" t="s">
        <v>36</v>
      </c>
      <c r="C409">
        <v>105</v>
      </c>
      <c r="D409" s="31">
        <v>21.95</v>
      </c>
      <c r="E409" s="31">
        <v>2304.75</v>
      </c>
      <c r="F409">
        <f>VLOOKUP(RevenueTableAnswer[[#This Row],[Units Sold]],DiscountTableAnswer[],2)</f>
        <v>0.4375</v>
      </c>
      <c r="G409">
        <f>ROUND((1-RevenueTableAnswer[[#This Row],[Discount on Total Revenue]])*RevenueTableAnswer[[#This Row],[Total Revenue]],2)</f>
        <v>1296.42</v>
      </c>
    </row>
    <row r="410" spans="1:7">
      <c r="A410" s="30">
        <v>43042</v>
      </c>
      <c r="B410" t="s">
        <v>37</v>
      </c>
      <c r="C410">
        <v>139</v>
      </c>
      <c r="D410" s="31">
        <v>22.95</v>
      </c>
      <c r="E410" s="31">
        <v>3190.05</v>
      </c>
      <c r="F410">
        <f>VLOOKUP(RevenueTableAnswer[[#This Row],[Units Sold]],DiscountTableAnswer[],2)</f>
        <v>0.4375</v>
      </c>
      <c r="G410">
        <f>ROUND((1-RevenueTableAnswer[[#This Row],[Discount on Total Revenue]])*RevenueTableAnswer[[#This Row],[Total Revenue]],2)</f>
        <v>1794.4</v>
      </c>
    </row>
    <row r="411" spans="1:7">
      <c r="A411" s="30">
        <v>43042</v>
      </c>
      <c r="B411" t="s">
        <v>36</v>
      </c>
      <c r="C411">
        <v>133</v>
      </c>
      <c r="D411" s="31">
        <v>21.95</v>
      </c>
      <c r="E411" s="31">
        <v>2919.35</v>
      </c>
      <c r="F411">
        <f>VLOOKUP(RevenueTableAnswer[[#This Row],[Units Sold]],DiscountTableAnswer[],2)</f>
        <v>0.4375</v>
      </c>
      <c r="G411">
        <f>ROUND((1-RevenueTableAnswer[[#This Row],[Discount on Total Revenue]])*RevenueTableAnswer[[#This Row],[Total Revenue]],2)</f>
        <v>1642.13</v>
      </c>
    </row>
    <row r="412" spans="1:7">
      <c r="A412" s="30">
        <v>43040</v>
      </c>
      <c r="B412" t="s">
        <v>36</v>
      </c>
      <c r="C412">
        <v>21</v>
      </c>
      <c r="D412" s="31">
        <v>21.95</v>
      </c>
      <c r="E412" s="31">
        <v>460.95</v>
      </c>
      <c r="F412">
        <f>VLOOKUP(RevenueTableAnswer[[#This Row],[Units Sold]],DiscountTableAnswer[],2)</f>
        <v>0.25</v>
      </c>
      <c r="G412">
        <f>ROUND((1-RevenueTableAnswer[[#This Row],[Discount on Total Revenue]])*RevenueTableAnswer[[#This Row],[Total Revenue]],2)</f>
        <v>345.71</v>
      </c>
    </row>
    <row r="413" spans="1:7">
      <c r="A413" s="30">
        <v>43047</v>
      </c>
      <c r="B413" t="s">
        <v>36</v>
      </c>
      <c r="C413">
        <v>58</v>
      </c>
      <c r="D413" s="31">
        <v>21.95</v>
      </c>
      <c r="E413" s="31">
        <v>1273.1</v>
      </c>
      <c r="F413">
        <f>VLOOKUP(RevenueTableAnswer[[#This Row],[Units Sold]],DiscountTableAnswer[],2)</f>
        <v>0.375</v>
      </c>
      <c r="G413">
        <f>ROUND((1-RevenueTableAnswer[[#This Row],[Discount on Total Revenue]])*RevenueTableAnswer[[#This Row],[Total Revenue]],2)</f>
        <v>795.69</v>
      </c>
    </row>
    <row r="414" spans="1:7">
      <c r="A414" s="30">
        <v>43045</v>
      </c>
      <c r="B414" t="s">
        <v>24</v>
      </c>
      <c r="C414">
        <v>81</v>
      </c>
      <c r="D414" s="31">
        <v>14.95</v>
      </c>
      <c r="E414" s="31">
        <v>1210.95</v>
      </c>
      <c r="F414">
        <f>VLOOKUP(RevenueTableAnswer[[#This Row],[Units Sold]],DiscountTableAnswer[],2)</f>
        <v>0.375</v>
      </c>
      <c r="G414">
        <f>ROUND((1-RevenueTableAnswer[[#This Row],[Discount on Total Revenue]])*RevenueTableAnswer[[#This Row],[Total Revenue]],2)</f>
        <v>756.84</v>
      </c>
    </row>
    <row r="415" spans="1:7">
      <c r="A415" s="30">
        <v>43040</v>
      </c>
      <c r="B415" t="s">
        <v>24</v>
      </c>
      <c r="C415">
        <v>11</v>
      </c>
      <c r="D415" s="31">
        <v>14.95</v>
      </c>
      <c r="E415" s="31">
        <v>164.45</v>
      </c>
      <c r="F415">
        <f>VLOOKUP(RevenueTableAnswer[[#This Row],[Units Sold]],DiscountTableAnswer[],2)</f>
        <v>0</v>
      </c>
      <c r="G415">
        <f>ROUND((1-RevenueTableAnswer[[#This Row],[Discount on Total Revenue]])*RevenueTableAnswer[[#This Row],[Total Revenue]],2)</f>
        <v>164.45</v>
      </c>
    </row>
    <row r="416" spans="1:7">
      <c r="A416" s="30">
        <v>43045</v>
      </c>
      <c r="B416" t="s">
        <v>37</v>
      </c>
      <c r="C416">
        <v>132</v>
      </c>
      <c r="D416" s="31">
        <v>22.95</v>
      </c>
      <c r="E416" s="31">
        <v>3029.4</v>
      </c>
      <c r="F416">
        <f>VLOOKUP(RevenueTableAnswer[[#This Row],[Units Sold]],DiscountTableAnswer[],2)</f>
        <v>0.4375</v>
      </c>
      <c r="G416">
        <f>ROUND((1-RevenueTableAnswer[[#This Row],[Discount on Total Revenue]])*RevenueTableAnswer[[#This Row],[Total Revenue]],2)</f>
        <v>1704.04</v>
      </c>
    </row>
    <row r="417" spans="1:7">
      <c r="A417" s="30">
        <v>43043</v>
      </c>
      <c r="B417" t="s">
        <v>24</v>
      </c>
      <c r="C417">
        <v>159</v>
      </c>
      <c r="D417" s="31">
        <v>14.95</v>
      </c>
      <c r="E417" s="31">
        <v>2377.05</v>
      </c>
      <c r="F417">
        <f>VLOOKUP(RevenueTableAnswer[[#This Row],[Units Sold]],DiscountTableAnswer[],2)</f>
        <v>0.5</v>
      </c>
      <c r="G417">
        <f>ROUND((1-RevenueTableAnswer[[#This Row],[Discount on Total Revenue]])*RevenueTableAnswer[[#This Row],[Total Revenue]],2)</f>
        <v>1188.53</v>
      </c>
    </row>
    <row r="418" spans="1:7">
      <c r="A418" s="30">
        <v>43042</v>
      </c>
      <c r="B418" t="s">
        <v>24</v>
      </c>
      <c r="C418">
        <v>87</v>
      </c>
      <c r="D418" s="31">
        <v>14.95</v>
      </c>
      <c r="E418" s="31">
        <v>1300.65</v>
      </c>
      <c r="F418">
        <f>VLOOKUP(RevenueTableAnswer[[#This Row],[Units Sold]],DiscountTableAnswer[],2)</f>
        <v>0.375</v>
      </c>
      <c r="G418">
        <f>ROUND((1-RevenueTableAnswer[[#This Row],[Discount on Total Revenue]])*RevenueTableAnswer[[#This Row],[Total Revenue]],2)</f>
        <v>812.91</v>
      </c>
    </row>
    <row r="419" spans="1:7">
      <c r="A419" s="30">
        <v>43042</v>
      </c>
      <c r="B419" t="s">
        <v>37</v>
      </c>
      <c r="C419">
        <v>79</v>
      </c>
      <c r="D419" s="31">
        <v>22.95</v>
      </c>
      <c r="E419" s="31">
        <v>1813.05</v>
      </c>
      <c r="F419">
        <f>VLOOKUP(RevenueTableAnswer[[#This Row],[Units Sold]],DiscountTableAnswer[],2)</f>
        <v>0.375</v>
      </c>
      <c r="G419">
        <f>ROUND((1-RevenueTableAnswer[[#This Row],[Discount on Total Revenue]])*RevenueTableAnswer[[#This Row],[Total Revenue]],2)</f>
        <v>1133.16</v>
      </c>
    </row>
    <row r="420" spans="1:7">
      <c r="A420" s="30">
        <v>43047</v>
      </c>
      <c r="B420" t="s">
        <v>26</v>
      </c>
      <c r="C420">
        <v>39</v>
      </c>
      <c r="D420" s="31">
        <v>43.95</v>
      </c>
      <c r="E420" s="31">
        <v>1714.05</v>
      </c>
      <c r="F420">
        <f>VLOOKUP(RevenueTableAnswer[[#This Row],[Units Sold]],DiscountTableAnswer[],2)</f>
        <v>0.25</v>
      </c>
      <c r="G420">
        <f>ROUND((1-RevenueTableAnswer[[#This Row],[Discount on Total Revenue]])*RevenueTableAnswer[[#This Row],[Total Revenue]],2)</f>
        <v>1285.54</v>
      </c>
    </row>
    <row r="421" spans="1:7">
      <c r="A421" s="30">
        <v>43047</v>
      </c>
      <c r="B421" t="s">
        <v>37</v>
      </c>
      <c r="C421">
        <v>76</v>
      </c>
      <c r="D421" s="31">
        <v>22.95</v>
      </c>
      <c r="E421" s="31">
        <v>1744.2</v>
      </c>
      <c r="F421">
        <f>VLOOKUP(RevenueTableAnswer[[#This Row],[Units Sold]],DiscountTableAnswer[],2)</f>
        <v>0.375</v>
      </c>
      <c r="G421">
        <f>ROUND((1-RevenueTableAnswer[[#This Row],[Discount on Total Revenue]])*RevenueTableAnswer[[#This Row],[Total Revenue]],2)</f>
        <v>1090.13</v>
      </c>
    </row>
    <row r="422" spans="1:7">
      <c r="A422" s="30">
        <v>43047</v>
      </c>
      <c r="B422" t="s">
        <v>36</v>
      </c>
      <c r="C422">
        <v>147</v>
      </c>
      <c r="D422" s="31">
        <v>21.95</v>
      </c>
      <c r="E422" s="31">
        <v>3226.65</v>
      </c>
      <c r="F422">
        <f>VLOOKUP(RevenueTableAnswer[[#This Row],[Units Sold]],DiscountTableAnswer[],2)</f>
        <v>0.5</v>
      </c>
      <c r="G422">
        <f>ROUND((1-RevenueTableAnswer[[#This Row],[Discount on Total Revenue]])*RevenueTableAnswer[[#This Row],[Total Revenue]],2)</f>
        <v>1613.33</v>
      </c>
    </row>
    <row r="423" spans="1:7">
      <c r="A423" s="30">
        <v>43043</v>
      </c>
      <c r="B423" t="s">
        <v>37</v>
      </c>
      <c r="C423">
        <v>80</v>
      </c>
      <c r="D423" s="31">
        <v>22.95</v>
      </c>
      <c r="E423" s="31">
        <v>1836</v>
      </c>
      <c r="F423">
        <f>VLOOKUP(RevenueTableAnswer[[#This Row],[Units Sold]],DiscountTableAnswer[],2)</f>
        <v>0.375</v>
      </c>
      <c r="G423">
        <f>ROUND((1-RevenueTableAnswer[[#This Row],[Discount on Total Revenue]])*RevenueTableAnswer[[#This Row],[Total Revenue]],2)</f>
        <v>1147.5</v>
      </c>
    </row>
    <row r="424" spans="1:7">
      <c r="A424" s="30">
        <v>43041</v>
      </c>
      <c r="B424" t="s">
        <v>37</v>
      </c>
      <c r="C424">
        <v>4</v>
      </c>
      <c r="D424" s="31">
        <v>22.95</v>
      </c>
      <c r="E424" s="31">
        <v>91.8</v>
      </c>
      <c r="F424">
        <f>VLOOKUP(RevenueTableAnswer[[#This Row],[Units Sold]],DiscountTableAnswer[],2)</f>
        <v>0</v>
      </c>
      <c r="G424">
        <f>ROUND((1-RevenueTableAnswer[[#This Row],[Discount on Total Revenue]])*RevenueTableAnswer[[#This Row],[Total Revenue]],2)</f>
        <v>91.8</v>
      </c>
    </row>
    <row r="425" spans="1:7">
      <c r="A425" s="30">
        <v>43041</v>
      </c>
      <c r="B425" t="s">
        <v>37</v>
      </c>
      <c r="C425">
        <v>33</v>
      </c>
      <c r="D425" s="31">
        <v>22.95</v>
      </c>
      <c r="E425" s="31">
        <v>757.35</v>
      </c>
      <c r="F425">
        <f>VLOOKUP(RevenueTableAnswer[[#This Row],[Units Sold]],DiscountTableAnswer[],2)</f>
        <v>0.25</v>
      </c>
      <c r="G425">
        <f>ROUND((1-RevenueTableAnswer[[#This Row],[Discount on Total Revenue]])*RevenueTableAnswer[[#This Row],[Total Revenue]],2)</f>
        <v>568.01</v>
      </c>
    </row>
    <row r="426" spans="1:7">
      <c r="A426" s="30">
        <v>43040</v>
      </c>
      <c r="B426" t="s">
        <v>26</v>
      </c>
      <c r="C426">
        <v>154</v>
      </c>
      <c r="D426" s="31">
        <v>43.95</v>
      </c>
      <c r="E426" s="31">
        <v>6768.3</v>
      </c>
      <c r="F426">
        <f>VLOOKUP(RevenueTableAnswer[[#This Row],[Units Sold]],DiscountTableAnswer[],2)</f>
        <v>0.5</v>
      </c>
      <c r="G426">
        <f>ROUND((1-RevenueTableAnswer[[#This Row],[Discount on Total Revenue]])*RevenueTableAnswer[[#This Row],[Total Revenue]],2)</f>
        <v>3384.15</v>
      </c>
    </row>
    <row r="427" spans="1:7">
      <c r="A427" s="30">
        <v>43046</v>
      </c>
      <c r="B427" t="s">
        <v>37</v>
      </c>
      <c r="C427">
        <v>124</v>
      </c>
      <c r="D427" s="31">
        <v>22.95</v>
      </c>
      <c r="E427" s="31">
        <v>2845.8</v>
      </c>
      <c r="F427">
        <f>VLOOKUP(RevenueTableAnswer[[#This Row],[Units Sold]],DiscountTableAnswer[],2)</f>
        <v>0.4375</v>
      </c>
      <c r="G427">
        <f>ROUND((1-RevenueTableAnswer[[#This Row],[Discount on Total Revenue]])*RevenueTableAnswer[[#This Row],[Total Revenue]],2)</f>
        <v>1600.76</v>
      </c>
    </row>
    <row r="428" spans="1:7">
      <c r="A428" s="30">
        <v>43043</v>
      </c>
      <c r="B428" t="s">
        <v>36</v>
      </c>
      <c r="C428">
        <v>48</v>
      </c>
      <c r="D428" s="31">
        <v>21.95</v>
      </c>
      <c r="E428" s="31">
        <v>1053.6</v>
      </c>
      <c r="F428">
        <f>VLOOKUP(RevenueTableAnswer[[#This Row],[Units Sold]],DiscountTableAnswer[],2)</f>
        <v>0.375</v>
      </c>
      <c r="G428">
        <f>ROUND((1-RevenueTableAnswer[[#This Row],[Discount on Total Revenue]])*RevenueTableAnswer[[#This Row],[Total Revenue]],2)</f>
        <v>658.5</v>
      </c>
    </row>
    <row r="429" spans="1:7">
      <c r="A429" s="30">
        <v>43043</v>
      </c>
      <c r="B429" t="s">
        <v>37</v>
      </c>
      <c r="C429">
        <v>146</v>
      </c>
      <c r="D429" s="31">
        <v>22.95</v>
      </c>
      <c r="E429" s="31">
        <v>3350.7</v>
      </c>
      <c r="F429">
        <f>VLOOKUP(RevenueTableAnswer[[#This Row],[Units Sold]],DiscountTableAnswer[],2)</f>
        <v>0.5</v>
      </c>
      <c r="G429">
        <f>ROUND((1-RevenueTableAnswer[[#This Row],[Discount on Total Revenue]])*RevenueTableAnswer[[#This Row],[Total Revenue]],2)</f>
        <v>1675.35</v>
      </c>
    </row>
    <row r="430" spans="1:7">
      <c r="A430" s="30">
        <v>43041</v>
      </c>
      <c r="B430" t="s">
        <v>37</v>
      </c>
      <c r="C430">
        <v>27</v>
      </c>
      <c r="D430" s="31">
        <v>22.95</v>
      </c>
      <c r="E430" s="31">
        <v>619.65</v>
      </c>
      <c r="F430">
        <f>VLOOKUP(RevenueTableAnswer[[#This Row],[Units Sold]],DiscountTableAnswer[],2)</f>
        <v>0.25</v>
      </c>
      <c r="G430">
        <f>ROUND((1-RevenueTableAnswer[[#This Row],[Discount on Total Revenue]])*RevenueTableAnswer[[#This Row],[Total Revenue]],2)</f>
        <v>464.74</v>
      </c>
    </row>
    <row r="431" spans="1:7">
      <c r="A431" s="30">
        <v>43045</v>
      </c>
      <c r="B431" t="s">
        <v>36</v>
      </c>
      <c r="C431">
        <v>128</v>
      </c>
      <c r="D431" s="31">
        <v>21.95</v>
      </c>
      <c r="E431" s="31">
        <v>2809.6</v>
      </c>
      <c r="F431">
        <f>VLOOKUP(RevenueTableAnswer[[#This Row],[Units Sold]],DiscountTableAnswer[],2)</f>
        <v>0.4375</v>
      </c>
      <c r="G431">
        <f>ROUND((1-RevenueTableAnswer[[#This Row],[Discount on Total Revenue]])*RevenueTableAnswer[[#This Row],[Total Revenue]],2)</f>
        <v>1580.4</v>
      </c>
    </row>
    <row r="432" spans="1:7">
      <c r="A432" s="30">
        <v>43043</v>
      </c>
      <c r="B432" t="s">
        <v>24</v>
      </c>
      <c r="C432">
        <v>5</v>
      </c>
      <c r="D432" s="31">
        <v>14.95</v>
      </c>
      <c r="E432" s="31">
        <v>74.75</v>
      </c>
      <c r="F432">
        <f>VLOOKUP(RevenueTableAnswer[[#This Row],[Units Sold]],DiscountTableAnswer[],2)</f>
        <v>0</v>
      </c>
      <c r="G432">
        <f>ROUND((1-RevenueTableAnswer[[#This Row],[Discount on Total Revenue]])*RevenueTableAnswer[[#This Row],[Total Revenue]],2)</f>
        <v>74.75</v>
      </c>
    </row>
    <row r="433" spans="1:7">
      <c r="A433" s="30">
        <v>43042</v>
      </c>
      <c r="B433" t="s">
        <v>26</v>
      </c>
      <c r="C433">
        <v>161</v>
      </c>
      <c r="D433" s="31">
        <v>43.95</v>
      </c>
      <c r="E433" s="31">
        <v>7075.95</v>
      </c>
      <c r="F433">
        <f>VLOOKUP(RevenueTableAnswer[[#This Row],[Units Sold]],DiscountTableAnswer[],2)</f>
        <v>0.5</v>
      </c>
      <c r="G433">
        <f>ROUND((1-RevenueTableAnswer[[#This Row],[Discount on Total Revenue]])*RevenueTableAnswer[[#This Row],[Total Revenue]],2)</f>
        <v>3537.98</v>
      </c>
    </row>
    <row r="434" spans="1:7">
      <c r="A434" s="30">
        <v>43042</v>
      </c>
      <c r="B434" t="s">
        <v>26</v>
      </c>
      <c r="C434">
        <v>121</v>
      </c>
      <c r="D434" s="31">
        <v>43.95</v>
      </c>
      <c r="E434" s="31">
        <v>5317.95</v>
      </c>
      <c r="F434">
        <f>VLOOKUP(RevenueTableAnswer[[#This Row],[Units Sold]],DiscountTableAnswer[],2)</f>
        <v>0.4375</v>
      </c>
      <c r="G434">
        <f>ROUND((1-RevenueTableAnswer[[#This Row],[Discount on Total Revenue]])*RevenueTableAnswer[[#This Row],[Total Revenue]],2)</f>
        <v>2991.35</v>
      </c>
    </row>
    <row r="435" spans="1:7">
      <c r="A435" s="30">
        <v>43043</v>
      </c>
      <c r="B435" t="s">
        <v>37</v>
      </c>
      <c r="C435">
        <v>100</v>
      </c>
      <c r="D435" s="31">
        <v>22.95</v>
      </c>
      <c r="E435" s="31">
        <v>2295</v>
      </c>
      <c r="F435">
        <f>VLOOKUP(RevenueTableAnswer[[#This Row],[Units Sold]],DiscountTableAnswer[],2)</f>
        <v>0.4375</v>
      </c>
      <c r="G435">
        <f>ROUND((1-RevenueTableAnswer[[#This Row],[Discount on Total Revenue]])*RevenueTableAnswer[[#This Row],[Total Revenue]],2)</f>
        <v>1290.94</v>
      </c>
    </row>
    <row r="436" spans="1:7">
      <c r="A436" s="30">
        <v>43044</v>
      </c>
      <c r="B436" t="s">
        <v>37</v>
      </c>
      <c r="C436">
        <v>149</v>
      </c>
      <c r="D436" s="31">
        <v>22.95</v>
      </c>
      <c r="E436" s="31">
        <v>3419.55</v>
      </c>
      <c r="F436">
        <f>VLOOKUP(RevenueTableAnswer[[#This Row],[Units Sold]],DiscountTableAnswer[],2)</f>
        <v>0.5</v>
      </c>
      <c r="G436">
        <f>ROUND((1-RevenueTableAnswer[[#This Row],[Discount on Total Revenue]])*RevenueTableAnswer[[#This Row],[Total Revenue]],2)</f>
        <v>1709.78</v>
      </c>
    </row>
    <row r="437" spans="1:7">
      <c r="A437" s="30">
        <v>43045</v>
      </c>
      <c r="B437" t="s">
        <v>36</v>
      </c>
      <c r="C437">
        <v>42</v>
      </c>
      <c r="D437" s="31">
        <v>21.95</v>
      </c>
      <c r="E437" s="31">
        <v>921.9</v>
      </c>
      <c r="F437">
        <f>VLOOKUP(RevenueTableAnswer[[#This Row],[Units Sold]],DiscountTableAnswer[],2)</f>
        <v>0.25</v>
      </c>
      <c r="G437">
        <f>ROUND((1-RevenueTableAnswer[[#This Row],[Discount on Total Revenue]])*RevenueTableAnswer[[#This Row],[Total Revenue]],2)</f>
        <v>691.43</v>
      </c>
    </row>
    <row r="438" spans="1:7">
      <c r="A438" s="30">
        <v>43040</v>
      </c>
      <c r="B438" t="s">
        <v>36</v>
      </c>
      <c r="C438">
        <v>28</v>
      </c>
      <c r="D438" s="31">
        <v>21.95</v>
      </c>
      <c r="E438" s="31">
        <v>614.6</v>
      </c>
      <c r="F438">
        <f>VLOOKUP(RevenueTableAnswer[[#This Row],[Units Sold]],DiscountTableAnswer[],2)</f>
        <v>0.25</v>
      </c>
      <c r="G438">
        <f>ROUND((1-RevenueTableAnswer[[#This Row],[Discount on Total Revenue]])*RevenueTableAnswer[[#This Row],[Total Revenue]],2)</f>
        <v>460.95</v>
      </c>
    </row>
    <row r="439" spans="1:7">
      <c r="A439" s="30">
        <v>43044</v>
      </c>
      <c r="B439" t="s">
        <v>36</v>
      </c>
      <c r="C439">
        <v>114</v>
      </c>
      <c r="D439" s="31">
        <v>21.95</v>
      </c>
      <c r="E439" s="31">
        <v>2502.3</v>
      </c>
      <c r="F439">
        <f>VLOOKUP(RevenueTableAnswer[[#This Row],[Units Sold]],DiscountTableAnswer[],2)</f>
        <v>0.4375</v>
      </c>
      <c r="G439">
        <f>ROUND((1-RevenueTableAnswer[[#This Row],[Discount on Total Revenue]])*RevenueTableAnswer[[#This Row],[Total Revenue]],2)</f>
        <v>1407.54</v>
      </c>
    </row>
    <row r="440" spans="1:7">
      <c r="A440" s="30">
        <v>43040</v>
      </c>
      <c r="B440" t="s">
        <v>24</v>
      </c>
      <c r="C440">
        <v>14</v>
      </c>
      <c r="D440" s="31">
        <v>14.95</v>
      </c>
      <c r="E440" s="31">
        <v>209.3</v>
      </c>
      <c r="F440">
        <f>VLOOKUP(RevenueTableAnswer[[#This Row],[Units Sold]],DiscountTableAnswer[],2)</f>
        <v>0.25</v>
      </c>
      <c r="G440">
        <f>ROUND((1-RevenueTableAnswer[[#This Row],[Discount on Total Revenue]])*RevenueTableAnswer[[#This Row],[Total Revenue]],2)</f>
        <v>156.98</v>
      </c>
    </row>
    <row r="441" spans="1:7">
      <c r="A441" s="30">
        <v>43045</v>
      </c>
      <c r="B441" t="s">
        <v>24</v>
      </c>
      <c r="C441">
        <v>160</v>
      </c>
      <c r="D441" s="31">
        <v>14.95</v>
      </c>
      <c r="E441" s="31">
        <v>2392</v>
      </c>
      <c r="F441">
        <f>VLOOKUP(RevenueTableAnswer[[#This Row],[Units Sold]],DiscountTableAnswer[],2)</f>
        <v>0.5</v>
      </c>
      <c r="G441">
        <f>ROUND((1-RevenueTableAnswer[[#This Row],[Discount on Total Revenue]])*RevenueTableAnswer[[#This Row],[Total Revenue]],2)</f>
        <v>1196</v>
      </c>
    </row>
    <row r="442" spans="1:7">
      <c r="A442" s="30">
        <v>43042</v>
      </c>
      <c r="B442" t="s">
        <v>37</v>
      </c>
      <c r="C442">
        <v>14</v>
      </c>
      <c r="D442" s="31">
        <v>22.95</v>
      </c>
      <c r="E442" s="31">
        <v>321.3</v>
      </c>
      <c r="F442">
        <f>VLOOKUP(RevenueTableAnswer[[#This Row],[Units Sold]],DiscountTableAnswer[],2)</f>
        <v>0.25</v>
      </c>
      <c r="G442">
        <f>ROUND((1-RevenueTableAnswer[[#This Row],[Discount on Total Revenue]])*RevenueTableAnswer[[#This Row],[Total Revenue]],2)</f>
        <v>240.98</v>
      </c>
    </row>
    <row r="443" spans="1:7">
      <c r="A443" s="30">
        <v>43040</v>
      </c>
      <c r="B443" t="s">
        <v>24</v>
      </c>
      <c r="C443">
        <v>12</v>
      </c>
      <c r="D443" s="31">
        <v>14.95</v>
      </c>
      <c r="E443" s="31">
        <v>179.4</v>
      </c>
      <c r="F443">
        <f>VLOOKUP(RevenueTableAnswer[[#This Row],[Units Sold]],DiscountTableAnswer[],2)</f>
        <v>0.25</v>
      </c>
      <c r="G443">
        <f>ROUND((1-RevenueTableAnswer[[#This Row],[Discount on Total Revenue]])*RevenueTableAnswer[[#This Row],[Total Revenue]],2)</f>
        <v>134.55</v>
      </c>
    </row>
    <row r="444" spans="1:7">
      <c r="A444" s="30">
        <v>43043</v>
      </c>
      <c r="B444" t="s">
        <v>36</v>
      </c>
      <c r="C444">
        <v>20</v>
      </c>
      <c r="D444" s="31">
        <v>21.95</v>
      </c>
      <c r="E444" s="31">
        <v>439</v>
      </c>
      <c r="F444">
        <f>VLOOKUP(RevenueTableAnswer[[#This Row],[Units Sold]],DiscountTableAnswer[],2)</f>
        <v>0.25</v>
      </c>
      <c r="G444">
        <f>ROUND((1-RevenueTableAnswer[[#This Row],[Discount on Total Revenue]])*RevenueTableAnswer[[#This Row],[Total Revenue]],2)</f>
        <v>329.25</v>
      </c>
    </row>
    <row r="445" spans="1:7">
      <c r="A445" s="30">
        <v>43040</v>
      </c>
      <c r="B445" t="s">
        <v>36</v>
      </c>
      <c r="C445">
        <v>76</v>
      </c>
      <c r="D445" s="31">
        <v>21.95</v>
      </c>
      <c r="E445" s="31">
        <v>1668.2</v>
      </c>
      <c r="F445">
        <f>VLOOKUP(RevenueTableAnswer[[#This Row],[Units Sold]],DiscountTableAnswer[],2)</f>
        <v>0.375</v>
      </c>
      <c r="G445">
        <f>ROUND((1-RevenueTableAnswer[[#This Row],[Discount on Total Revenue]])*RevenueTableAnswer[[#This Row],[Total Revenue]],2)</f>
        <v>1042.63</v>
      </c>
    </row>
    <row r="446" spans="1:7">
      <c r="A446" s="30">
        <v>43047</v>
      </c>
      <c r="B446" t="s">
        <v>24</v>
      </c>
      <c r="C446">
        <v>112</v>
      </c>
      <c r="D446" s="31">
        <v>14.95</v>
      </c>
      <c r="E446" s="31">
        <v>1674.4</v>
      </c>
      <c r="F446">
        <f>VLOOKUP(RevenueTableAnswer[[#This Row],[Units Sold]],DiscountTableAnswer[],2)</f>
        <v>0.4375</v>
      </c>
      <c r="G446">
        <f>ROUND((1-RevenueTableAnswer[[#This Row],[Discount on Total Revenue]])*RevenueTableAnswer[[#This Row],[Total Revenue]],2)</f>
        <v>941.85</v>
      </c>
    </row>
    <row r="447" spans="1:7">
      <c r="A447" s="30">
        <v>43041</v>
      </c>
      <c r="B447" t="s">
        <v>37</v>
      </c>
      <c r="C447">
        <v>113</v>
      </c>
      <c r="D447" s="31">
        <v>22.95</v>
      </c>
      <c r="E447" s="31">
        <v>2593.35</v>
      </c>
      <c r="F447">
        <f>VLOOKUP(RevenueTableAnswer[[#This Row],[Units Sold]],DiscountTableAnswer[],2)</f>
        <v>0.4375</v>
      </c>
      <c r="G447">
        <f>ROUND((1-RevenueTableAnswer[[#This Row],[Discount on Total Revenue]])*RevenueTableAnswer[[#This Row],[Total Revenue]],2)</f>
        <v>1458.76</v>
      </c>
    </row>
    <row r="448" spans="1:7">
      <c r="A448" s="30">
        <v>43040</v>
      </c>
      <c r="B448" t="s">
        <v>37</v>
      </c>
      <c r="C448">
        <v>76</v>
      </c>
      <c r="D448" s="31">
        <v>22.95</v>
      </c>
      <c r="E448" s="31">
        <v>1744.2</v>
      </c>
      <c r="F448">
        <f>VLOOKUP(RevenueTableAnswer[[#This Row],[Units Sold]],DiscountTableAnswer[],2)</f>
        <v>0.375</v>
      </c>
      <c r="G448">
        <f>ROUND((1-RevenueTableAnswer[[#This Row],[Discount on Total Revenue]])*RevenueTableAnswer[[#This Row],[Total Revenue]],2)</f>
        <v>1090.13</v>
      </c>
    </row>
    <row r="449" spans="1:7">
      <c r="A449" s="30">
        <v>43047</v>
      </c>
      <c r="B449" t="s">
        <v>26</v>
      </c>
      <c r="C449">
        <v>163</v>
      </c>
      <c r="D449" s="31">
        <v>43.95</v>
      </c>
      <c r="E449" s="31">
        <v>7163.85</v>
      </c>
      <c r="F449">
        <f>VLOOKUP(RevenueTableAnswer[[#This Row],[Units Sold]],DiscountTableAnswer[],2)</f>
        <v>0.5</v>
      </c>
      <c r="G449">
        <f>ROUND((1-RevenueTableAnswer[[#This Row],[Discount on Total Revenue]])*RevenueTableAnswer[[#This Row],[Total Revenue]],2)</f>
        <v>3581.93</v>
      </c>
    </row>
    <row r="450" spans="1:7">
      <c r="A450" s="30">
        <v>43041</v>
      </c>
      <c r="B450" t="s">
        <v>26</v>
      </c>
      <c r="C450">
        <v>76</v>
      </c>
      <c r="D450" s="31">
        <v>43.95</v>
      </c>
      <c r="E450" s="31">
        <v>3340.2</v>
      </c>
      <c r="F450">
        <f>VLOOKUP(RevenueTableAnswer[[#This Row],[Units Sold]],DiscountTableAnswer[],2)</f>
        <v>0.375</v>
      </c>
      <c r="G450">
        <f>ROUND((1-RevenueTableAnswer[[#This Row],[Discount on Total Revenue]])*RevenueTableAnswer[[#This Row],[Total Revenue]],2)</f>
        <v>2087.63</v>
      </c>
    </row>
    <row r="451" spans="1:7">
      <c r="A451" s="30">
        <v>43047</v>
      </c>
      <c r="B451" t="s">
        <v>26</v>
      </c>
      <c r="C451">
        <v>177</v>
      </c>
      <c r="D451" s="31">
        <v>43.95</v>
      </c>
      <c r="E451" s="31">
        <v>7779.15</v>
      </c>
      <c r="F451">
        <f>VLOOKUP(RevenueTableAnswer[[#This Row],[Units Sold]],DiscountTableAnswer[],2)</f>
        <v>0.55</v>
      </c>
      <c r="G451">
        <f>ROUND((1-RevenueTableAnswer[[#This Row],[Discount on Total Revenue]])*RevenueTableAnswer[[#This Row],[Total Revenue]],2)</f>
        <v>3500.62</v>
      </c>
    </row>
    <row r="452" spans="1:7">
      <c r="A452" s="30">
        <v>43040</v>
      </c>
      <c r="B452" t="s">
        <v>36</v>
      </c>
      <c r="C452">
        <v>41</v>
      </c>
      <c r="D452" s="31">
        <v>21.95</v>
      </c>
      <c r="E452" s="31">
        <v>899.95</v>
      </c>
      <c r="F452">
        <f>VLOOKUP(RevenueTableAnswer[[#This Row],[Units Sold]],DiscountTableAnswer[],2)</f>
        <v>0.25</v>
      </c>
      <c r="G452">
        <f>ROUND((1-RevenueTableAnswer[[#This Row],[Discount on Total Revenue]])*RevenueTableAnswer[[#This Row],[Total Revenue]],2)</f>
        <v>674.96</v>
      </c>
    </row>
    <row r="453" spans="1:7">
      <c r="A453" s="30">
        <v>43045</v>
      </c>
      <c r="B453" t="s">
        <v>37</v>
      </c>
      <c r="C453">
        <v>42</v>
      </c>
      <c r="D453" s="31">
        <v>22.95</v>
      </c>
      <c r="E453" s="31">
        <v>963.9</v>
      </c>
      <c r="F453">
        <f>VLOOKUP(RevenueTableAnswer[[#This Row],[Units Sold]],DiscountTableAnswer[],2)</f>
        <v>0.25</v>
      </c>
      <c r="G453">
        <f>ROUND((1-RevenueTableAnswer[[#This Row],[Discount on Total Revenue]])*RevenueTableAnswer[[#This Row],[Total Revenue]],2)</f>
        <v>722.93</v>
      </c>
    </row>
    <row r="454" spans="1:7">
      <c r="A454" s="30">
        <v>43047</v>
      </c>
      <c r="B454" t="s">
        <v>26</v>
      </c>
      <c r="C454">
        <v>152</v>
      </c>
      <c r="D454" s="31">
        <v>43.95</v>
      </c>
      <c r="E454" s="31">
        <v>6680.4</v>
      </c>
      <c r="F454">
        <f>VLOOKUP(RevenueTableAnswer[[#This Row],[Units Sold]],DiscountTableAnswer[],2)</f>
        <v>0.5</v>
      </c>
      <c r="G454">
        <f>ROUND((1-RevenueTableAnswer[[#This Row],[Discount on Total Revenue]])*RevenueTableAnswer[[#This Row],[Total Revenue]],2)</f>
        <v>3340.2</v>
      </c>
    </row>
    <row r="455" spans="1:7">
      <c r="A455" s="30">
        <v>43043</v>
      </c>
      <c r="B455" t="s">
        <v>36</v>
      </c>
      <c r="C455">
        <v>90</v>
      </c>
      <c r="D455" s="31">
        <v>21.95</v>
      </c>
      <c r="E455" s="31">
        <v>1975.5</v>
      </c>
      <c r="F455">
        <f>VLOOKUP(RevenueTableAnswer[[#This Row],[Units Sold]],DiscountTableAnswer[],2)</f>
        <v>0.375</v>
      </c>
      <c r="G455">
        <f>ROUND((1-RevenueTableAnswer[[#This Row],[Discount on Total Revenue]])*RevenueTableAnswer[[#This Row],[Total Revenue]],2)</f>
        <v>1234.69</v>
      </c>
    </row>
    <row r="456" spans="1:7">
      <c r="A456" s="30">
        <v>43047</v>
      </c>
      <c r="B456" t="s">
        <v>24</v>
      </c>
      <c r="C456">
        <v>103</v>
      </c>
      <c r="D456" s="31">
        <v>14.95</v>
      </c>
      <c r="E456" s="31">
        <v>1539.85</v>
      </c>
      <c r="F456">
        <f>VLOOKUP(RevenueTableAnswer[[#This Row],[Units Sold]],DiscountTableAnswer[],2)</f>
        <v>0.4375</v>
      </c>
      <c r="G456">
        <f>ROUND((1-RevenueTableAnswer[[#This Row],[Discount on Total Revenue]])*RevenueTableAnswer[[#This Row],[Total Revenue]],2)</f>
        <v>866.17</v>
      </c>
    </row>
    <row r="457" spans="1:7">
      <c r="A457" s="30">
        <v>43044</v>
      </c>
      <c r="B457" t="s">
        <v>26</v>
      </c>
      <c r="C457">
        <v>18</v>
      </c>
      <c r="D457" s="31">
        <v>43.95</v>
      </c>
      <c r="E457" s="31">
        <v>791.1</v>
      </c>
      <c r="F457">
        <f>VLOOKUP(RevenueTableAnswer[[#This Row],[Units Sold]],DiscountTableAnswer[],2)</f>
        <v>0.25</v>
      </c>
      <c r="G457">
        <f>ROUND((1-RevenueTableAnswer[[#This Row],[Discount on Total Revenue]])*RevenueTableAnswer[[#This Row],[Total Revenue]],2)</f>
        <v>593.33</v>
      </c>
    </row>
    <row r="458" spans="1:7">
      <c r="A458" s="30">
        <v>43040</v>
      </c>
      <c r="B458" t="s">
        <v>37</v>
      </c>
      <c r="C458">
        <v>185</v>
      </c>
      <c r="D458" s="31">
        <v>22.95</v>
      </c>
      <c r="E458" s="31">
        <v>4245.75</v>
      </c>
      <c r="F458">
        <f>VLOOKUP(RevenueTableAnswer[[#This Row],[Units Sold]],DiscountTableAnswer[],2)</f>
        <v>0.55</v>
      </c>
      <c r="G458">
        <f>ROUND((1-RevenueTableAnswer[[#This Row],[Discount on Total Revenue]])*RevenueTableAnswer[[#This Row],[Total Revenue]],2)</f>
        <v>1910.59</v>
      </c>
    </row>
    <row r="459" spans="1:7">
      <c r="A459" s="30">
        <v>43040</v>
      </c>
      <c r="B459" t="s">
        <v>24</v>
      </c>
      <c r="C459">
        <v>29</v>
      </c>
      <c r="D459" s="31">
        <v>14.95</v>
      </c>
      <c r="E459" s="31">
        <v>433.55</v>
      </c>
      <c r="F459">
        <f>VLOOKUP(RevenueTableAnswer[[#This Row],[Units Sold]],DiscountTableAnswer[],2)</f>
        <v>0.25</v>
      </c>
      <c r="G459">
        <f>ROUND((1-RevenueTableAnswer[[#This Row],[Discount on Total Revenue]])*RevenueTableAnswer[[#This Row],[Total Revenue]],2)</f>
        <v>325.16</v>
      </c>
    </row>
    <row r="460" spans="1:7">
      <c r="A460" s="30">
        <v>43046</v>
      </c>
      <c r="B460" t="s">
        <v>37</v>
      </c>
      <c r="C460">
        <v>140</v>
      </c>
      <c r="D460" s="31">
        <v>22.95</v>
      </c>
      <c r="E460" s="31">
        <v>3213</v>
      </c>
      <c r="F460">
        <f>VLOOKUP(RevenueTableAnswer[[#This Row],[Units Sold]],DiscountTableAnswer[],2)</f>
        <v>0.4375</v>
      </c>
      <c r="G460">
        <f>ROUND((1-RevenueTableAnswer[[#This Row],[Discount on Total Revenue]])*RevenueTableAnswer[[#This Row],[Total Revenue]],2)</f>
        <v>1807.31</v>
      </c>
    </row>
    <row r="461" spans="1:7">
      <c r="A461" s="30">
        <v>43040</v>
      </c>
      <c r="B461" t="s">
        <v>26</v>
      </c>
      <c r="C461">
        <v>177</v>
      </c>
      <c r="D461" s="31">
        <v>43.95</v>
      </c>
      <c r="E461" s="31">
        <v>7779.15</v>
      </c>
      <c r="F461">
        <f>VLOOKUP(RevenueTableAnswer[[#This Row],[Units Sold]],DiscountTableAnswer[],2)</f>
        <v>0.55</v>
      </c>
      <c r="G461">
        <f>ROUND((1-RevenueTableAnswer[[#This Row],[Discount on Total Revenue]])*RevenueTableAnswer[[#This Row],[Total Revenue]],2)</f>
        <v>3500.62</v>
      </c>
    </row>
    <row r="462" spans="1:7">
      <c r="A462" s="30">
        <v>43043</v>
      </c>
      <c r="B462" t="s">
        <v>24</v>
      </c>
      <c r="C462">
        <v>74</v>
      </c>
      <c r="D462" s="31">
        <v>14.95</v>
      </c>
      <c r="E462" s="31">
        <v>1106.3</v>
      </c>
      <c r="F462">
        <f>VLOOKUP(RevenueTableAnswer[[#This Row],[Units Sold]],DiscountTableAnswer[],2)</f>
        <v>0.375</v>
      </c>
      <c r="G462">
        <f>ROUND((1-RevenueTableAnswer[[#This Row],[Discount on Total Revenue]])*RevenueTableAnswer[[#This Row],[Total Revenue]],2)</f>
        <v>691.44</v>
      </c>
    </row>
    <row r="463" spans="1:7">
      <c r="A463" s="30">
        <v>43040</v>
      </c>
      <c r="B463" t="s">
        <v>37</v>
      </c>
      <c r="C463">
        <v>111</v>
      </c>
      <c r="D463" s="31">
        <v>22.95</v>
      </c>
      <c r="E463" s="31">
        <v>2547.45</v>
      </c>
      <c r="F463">
        <f>VLOOKUP(RevenueTableAnswer[[#This Row],[Units Sold]],DiscountTableAnswer[],2)</f>
        <v>0.4375</v>
      </c>
      <c r="G463">
        <f>ROUND((1-RevenueTableAnswer[[#This Row],[Discount on Total Revenue]])*RevenueTableAnswer[[#This Row],[Total Revenue]],2)</f>
        <v>1432.94</v>
      </c>
    </row>
    <row r="464" spans="1:7">
      <c r="A464" s="30">
        <v>43047</v>
      </c>
      <c r="B464" t="s">
        <v>37</v>
      </c>
      <c r="C464">
        <v>11</v>
      </c>
      <c r="D464" s="31">
        <v>22.95</v>
      </c>
      <c r="E464" s="31">
        <v>252.45</v>
      </c>
      <c r="F464">
        <f>VLOOKUP(RevenueTableAnswer[[#This Row],[Units Sold]],DiscountTableAnswer[],2)</f>
        <v>0</v>
      </c>
      <c r="G464">
        <f>ROUND((1-RevenueTableAnswer[[#This Row],[Discount on Total Revenue]])*RevenueTableAnswer[[#This Row],[Total Revenue]],2)</f>
        <v>252.45</v>
      </c>
    </row>
    <row r="465" spans="1:7">
      <c r="A465" s="30">
        <v>43040</v>
      </c>
      <c r="B465" t="s">
        <v>24</v>
      </c>
      <c r="C465">
        <v>28</v>
      </c>
      <c r="D465" s="31">
        <v>14.95</v>
      </c>
      <c r="E465" s="31">
        <v>418.6</v>
      </c>
      <c r="F465">
        <f>VLOOKUP(RevenueTableAnswer[[#This Row],[Units Sold]],DiscountTableAnswer[],2)</f>
        <v>0.25</v>
      </c>
      <c r="G465">
        <f>ROUND((1-RevenueTableAnswer[[#This Row],[Discount on Total Revenue]])*RevenueTableAnswer[[#This Row],[Total Revenue]],2)</f>
        <v>313.95</v>
      </c>
    </row>
    <row r="466" spans="1:7">
      <c r="A466" s="30">
        <v>43040</v>
      </c>
      <c r="B466" t="s">
        <v>26</v>
      </c>
      <c r="C466">
        <v>80</v>
      </c>
      <c r="D466" s="31">
        <v>43.95</v>
      </c>
      <c r="E466" s="31">
        <v>3516</v>
      </c>
      <c r="F466">
        <f>VLOOKUP(RevenueTableAnswer[[#This Row],[Units Sold]],DiscountTableAnswer[],2)</f>
        <v>0.375</v>
      </c>
      <c r="G466">
        <f>ROUND((1-RevenueTableAnswer[[#This Row],[Discount on Total Revenue]])*RevenueTableAnswer[[#This Row],[Total Revenue]],2)</f>
        <v>2197.5</v>
      </c>
    </row>
    <row r="467" spans="1:7">
      <c r="A467" s="30">
        <v>43040</v>
      </c>
      <c r="B467" t="s">
        <v>37</v>
      </c>
      <c r="C467">
        <v>18</v>
      </c>
      <c r="D467" s="31">
        <v>22.95</v>
      </c>
      <c r="E467" s="31">
        <v>413.1</v>
      </c>
      <c r="F467">
        <f>VLOOKUP(RevenueTableAnswer[[#This Row],[Units Sold]],DiscountTableAnswer[],2)</f>
        <v>0.25</v>
      </c>
      <c r="G467">
        <f>ROUND((1-RevenueTableAnswer[[#This Row],[Discount on Total Revenue]])*RevenueTableAnswer[[#This Row],[Total Revenue]],2)</f>
        <v>309.83</v>
      </c>
    </row>
    <row r="468" spans="1:7">
      <c r="A468" s="30">
        <v>43046</v>
      </c>
      <c r="B468" t="s">
        <v>26</v>
      </c>
      <c r="C468">
        <v>28</v>
      </c>
      <c r="D468" s="31">
        <v>43.95</v>
      </c>
      <c r="E468" s="31">
        <v>1230.6</v>
      </c>
      <c r="F468">
        <f>VLOOKUP(RevenueTableAnswer[[#This Row],[Units Sold]],DiscountTableAnswer[],2)</f>
        <v>0.25</v>
      </c>
      <c r="G468">
        <f>ROUND((1-RevenueTableAnswer[[#This Row],[Discount on Total Revenue]])*RevenueTableAnswer[[#This Row],[Total Revenue]],2)</f>
        <v>922.95</v>
      </c>
    </row>
    <row r="469" spans="1:7">
      <c r="A469" s="30">
        <v>43043</v>
      </c>
      <c r="B469" t="s">
        <v>36</v>
      </c>
      <c r="C469">
        <v>117</v>
      </c>
      <c r="D469" s="31">
        <v>21.95</v>
      </c>
      <c r="E469" s="31">
        <v>2568.15</v>
      </c>
      <c r="F469">
        <f>VLOOKUP(RevenueTableAnswer[[#This Row],[Units Sold]],DiscountTableAnswer[],2)</f>
        <v>0.4375</v>
      </c>
      <c r="G469">
        <f>ROUND((1-RevenueTableAnswer[[#This Row],[Discount on Total Revenue]])*RevenueTableAnswer[[#This Row],[Total Revenue]],2)</f>
        <v>1444.58</v>
      </c>
    </row>
    <row r="470" spans="1:7">
      <c r="A470" s="30">
        <v>43046</v>
      </c>
      <c r="B470" t="s">
        <v>37</v>
      </c>
      <c r="C470">
        <v>145</v>
      </c>
      <c r="D470" s="31">
        <v>22.95</v>
      </c>
      <c r="E470" s="31">
        <v>3327.75</v>
      </c>
      <c r="F470">
        <f>VLOOKUP(RevenueTableAnswer[[#This Row],[Units Sold]],DiscountTableAnswer[],2)</f>
        <v>0.5</v>
      </c>
      <c r="G470">
        <f>ROUND((1-RevenueTableAnswer[[#This Row],[Discount on Total Revenue]])*RevenueTableAnswer[[#This Row],[Total Revenue]],2)</f>
        <v>1663.88</v>
      </c>
    </row>
    <row r="471" spans="1:7">
      <c r="A471" s="30">
        <v>43040</v>
      </c>
      <c r="B471" t="s">
        <v>37</v>
      </c>
      <c r="C471">
        <v>79</v>
      </c>
      <c r="D471" s="31">
        <v>22.95</v>
      </c>
      <c r="E471" s="31">
        <v>1813.05</v>
      </c>
      <c r="F471">
        <f>VLOOKUP(RevenueTableAnswer[[#This Row],[Units Sold]],DiscountTableAnswer[],2)</f>
        <v>0.375</v>
      </c>
      <c r="G471">
        <f>ROUND((1-RevenueTableAnswer[[#This Row],[Discount on Total Revenue]])*RevenueTableAnswer[[#This Row],[Total Revenue]],2)</f>
        <v>1133.16</v>
      </c>
    </row>
    <row r="472" spans="1:7">
      <c r="A472" s="30">
        <v>43040</v>
      </c>
      <c r="B472" t="s">
        <v>37</v>
      </c>
      <c r="C472">
        <v>99</v>
      </c>
      <c r="D472" s="31">
        <v>22.95</v>
      </c>
      <c r="E472" s="31">
        <v>2272.05</v>
      </c>
      <c r="F472">
        <f>VLOOKUP(RevenueTableAnswer[[#This Row],[Units Sold]],DiscountTableAnswer[],2)</f>
        <v>0.4375</v>
      </c>
      <c r="G472">
        <f>ROUND((1-RevenueTableAnswer[[#This Row],[Discount on Total Revenue]])*RevenueTableAnswer[[#This Row],[Total Revenue]],2)</f>
        <v>1278.03</v>
      </c>
    </row>
    <row r="473" spans="1:7">
      <c r="A473" s="30">
        <v>43044</v>
      </c>
      <c r="B473" t="s">
        <v>36</v>
      </c>
      <c r="C473">
        <v>22</v>
      </c>
      <c r="D473" s="31">
        <v>21.95</v>
      </c>
      <c r="E473" s="31">
        <v>482.9</v>
      </c>
      <c r="F473">
        <f>VLOOKUP(RevenueTableAnswer[[#This Row],[Units Sold]],DiscountTableAnswer[],2)</f>
        <v>0.25</v>
      </c>
      <c r="G473">
        <f>ROUND((1-RevenueTableAnswer[[#This Row],[Discount on Total Revenue]])*RevenueTableAnswer[[#This Row],[Total Revenue]],2)</f>
        <v>362.18</v>
      </c>
    </row>
    <row r="474" spans="1:7">
      <c r="A474" s="30">
        <v>43047</v>
      </c>
      <c r="B474" t="s">
        <v>36</v>
      </c>
      <c r="C474">
        <v>63</v>
      </c>
      <c r="D474" s="31">
        <v>21.95</v>
      </c>
      <c r="E474" s="31">
        <v>1382.85</v>
      </c>
      <c r="F474">
        <f>VLOOKUP(RevenueTableAnswer[[#This Row],[Units Sold]],DiscountTableAnswer[],2)</f>
        <v>0.375</v>
      </c>
      <c r="G474">
        <f>ROUND((1-RevenueTableAnswer[[#This Row],[Discount on Total Revenue]])*RevenueTableAnswer[[#This Row],[Total Revenue]],2)</f>
        <v>864.28</v>
      </c>
    </row>
    <row r="475" spans="1:7">
      <c r="A475" s="30">
        <v>43040</v>
      </c>
      <c r="B475" t="s">
        <v>24</v>
      </c>
      <c r="C475">
        <v>123</v>
      </c>
      <c r="D475" s="31">
        <v>14.95</v>
      </c>
      <c r="E475" s="31">
        <v>1838.85</v>
      </c>
      <c r="F475">
        <f>VLOOKUP(RevenueTableAnswer[[#This Row],[Units Sold]],DiscountTableAnswer[],2)</f>
        <v>0.4375</v>
      </c>
      <c r="G475">
        <f>ROUND((1-RevenueTableAnswer[[#This Row],[Discount on Total Revenue]])*RevenueTableAnswer[[#This Row],[Total Revenue]],2)</f>
        <v>1034.35</v>
      </c>
    </row>
    <row r="476" spans="1:7">
      <c r="A476" s="30">
        <v>43046</v>
      </c>
      <c r="B476" t="s">
        <v>24</v>
      </c>
      <c r="C476">
        <v>48</v>
      </c>
      <c r="D476" s="31">
        <v>14.95</v>
      </c>
      <c r="E476" s="31">
        <v>717.6</v>
      </c>
      <c r="F476">
        <f>VLOOKUP(RevenueTableAnswer[[#This Row],[Units Sold]],DiscountTableAnswer[],2)</f>
        <v>0.375</v>
      </c>
      <c r="G476">
        <f>ROUND((1-RevenueTableAnswer[[#This Row],[Discount on Total Revenue]])*RevenueTableAnswer[[#This Row],[Total Revenue]],2)</f>
        <v>448.5</v>
      </c>
    </row>
    <row r="477" spans="1:7">
      <c r="A477" s="30">
        <v>43040</v>
      </c>
      <c r="B477" t="s">
        <v>37</v>
      </c>
      <c r="C477">
        <v>147</v>
      </c>
      <c r="D477" s="31">
        <v>22.95</v>
      </c>
      <c r="E477" s="31">
        <v>3373.65</v>
      </c>
      <c r="F477">
        <f>VLOOKUP(RevenueTableAnswer[[#This Row],[Units Sold]],DiscountTableAnswer[],2)</f>
        <v>0.5</v>
      </c>
      <c r="G477">
        <f>ROUND((1-RevenueTableAnswer[[#This Row],[Discount on Total Revenue]])*RevenueTableAnswer[[#This Row],[Total Revenue]],2)</f>
        <v>1686.83</v>
      </c>
    </row>
    <row r="478" spans="1:7">
      <c r="A478" s="30">
        <v>43045</v>
      </c>
      <c r="B478" t="s">
        <v>26</v>
      </c>
      <c r="C478">
        <v>136</v>
      </c>
      <c r="D478" s="31">
        <v>43.95</v>
      </c>
      <c r="E478" s="31">
        <v>5977.2</v>
      </c>
      <c r="F478">
        <f>VLOOKUP(RevenueTableAnswer[[#This Row],[Units Sold]],DiscountTableAnswer[],2)</f>
        <v>0.4375</v>
      </c>
      <c r="G478">
        <f>ROUND((1-RevenueTableAnswer[[#This Row],[Discount on Total Revenue]])*RevenueTableAnswer[[#This Row],[Total Revenue]],2)</f>
        <v>3362.18</v>
      </c>
    </row>
    <row r="479" spans="1:7">
      <c r="A479" s="30">
        <v>43040</v>
      </c>
      <c r="B479" t="s">
        <v>24</v>
      </c>
      <c r="C479">
        <v>179</v>
      </c>
      <c r="D479" s="31">
        <v>14.95</v>
      </c>
      <c r="E479" s="31">
        <v>2676.05</v>
      </c>
      <c r="F479">
        <f>VLOOKUP(RevenueTableAnswer[[#This Row],[Units Sold]],DiscountTableAnswer[],2)</f>
        <v>0.55</v>
      </c>
      <c r="G479">
        <f>ROUND((1-RevenueTableAnswer[[#This Row],[Discount on Total Revenue]])*RevenueTableAnswer[[#This Row],[Total Revenue]],2)</f>
        <v>1204.22</v>
      </c>
    </row>
    <row r="480" spans="1:7">
      <c r="A480" s="30">
        <v>43040</v>
      </c>
      <c r="B480" t="s">
        <v>37</v>
      </c>
      <c r="C480">
        <v>85</v>
      </c>
      <c r="D480" s="31">
        <v>22.95</v>
      </c>
      <c r="E480" s="31">
        <v>1950.75</v>
      </c>
      <c r="F480">
        <f>VLOOKUP(RevenueTableAnswer[[#This Row],[Units Sold]],DiscountTableAnswer[],2)</f>
        <v>0.375</v>
      </c>
      <c r="G480">
        <f>ROUND((1-RevenueTableAnswer[[#This Row],[Discount on Total Revenue]])*RevenueTableAnswer[[#This Row],[Total Revenue]],2)</f>
        <v>1219.22</v>
      </c>
    </row>
    <row r="481" spans="1:7">
      <c r="A481" s="30">
        <v>43044</v>
      </c>
      <c r="B481" t="s">
        <v>26</v>
      </c>
      <c r="C481">
        <v>46</v>
      </c>
      <c r="D481" s="31">
        <v>43.95</v>
      </c>
      <c r="E481" s="31">
        <v>2021.7</v>
      </c>
      <c r="F481">
        <f>VLOOKUP(RevenueTableAnswer[[#This Row],[Units Sold]],DiscountTableAnswer[],2)</f>
        <v>0.25</v>
      </c>
      <c r="G481">
        <f>ROUND((1-RevenueTableAnswer[[#This Row],[Discount on Total Revenue]])*RevenueTableAnswer[[#This Row],[Total Revenue]],2)</f>
        <v>1516.28</v>
      </c>
    </row>
    <row r="482" spans="1:7">
      <c r="A482" s="30">
        <v>43041</v>
      </c>
      <c r="B482" t="s">
        <v>26</v>
      </c>
      <c r="C482">
        <v>85</v>
      </c>
      <c r="D482" s="31">
        <v>43.95</v>
      </c>
      <c r="E482" s="31">
        <v>3735.75</v>
      </c>
      <c r="F482">
        <f>VLOOKUP(RevenueTableAnswer[[#This Row],[Units Sold]],DiscountTableAnswer[],2)</f>
        <v>0.375</v>
      </c>
      <c r="G482">
        <f>ROUND((1-RevenueTableAnswer[[#This Row],[Discount on Total Revenue]])*RevenueTableAnswer[[#This Row],[Total Revenue]],2)</f>
        <v>2334.84</v>
      </c>
    </row>
    <row r="483" spans="1:7">
      <c r="A483" s="30">
        <v>43047</v>
      </c>
      <c r="B483" t="s">
        <v>26</v>
      </c>
      <c r="C483">
        <v>97</v>
      </c>
      <c r="D483" s="31">
        <v>43.95</v>
      </c>
      <c r="E483" s="31">
        <v>4263.15</v>
      </c>
      <c r="F483">
        <f>VLOOKUP(RevenueTableAnswer[[#This Row],[Units Sold]],DiscountTableAnswer[],2)</f>
        <v>0.4375</v>
      </c>
      <c r="G483">
        <f>ROUND((1-RevenueTableAnswer[[#This Row],[Discount on Total Revenue]])*RevenueTableAnswer[[#This Row],[Total Revenue]],2)</f>
        <v>2398.02</v>
      </c>
    </row>
    <row r="484" spans="1:7">
      <c r="A484" s="30">
        <v>43047</v>
      </c>
      <c r="B484" t="s">
        <v>37</v>
      </c>
      <c r="C484">
        <v>60</v>
      </c>
      <c r="D484" s="31">
        <v>22.95</v>
      </c>
      <c r="E484" s="31">
        <v>1377</v>
      </c>
      <c r="F484">
        <f>VLOOKUP(RevenueTableAnswer[[#This Row],[Units Sold]],DiscountTableAnswer[],2)</f>
        <v>0.375</v>
      </c>
      <c r="G484">
        <f>ROUND((1-RevenueTableAnswer[[#This Row],[Discount on Total Revenue]])*RevenueTableAnswer[[#This Row],[Total Revenue]],2)</f>
        <v>860.63</v>
      </c>
    </row>
    <row r="485" spans="1:7">
      <c r="A485" s="30">
        <v>43041</v>
      </c>
      <c r="B485" t="s">
        <v>24</v>
      </c>
      <c r="C485">
        <v>63</v>
      </c>
      <c r="D485" s="31">
        <v>14.95</v>
      </c>
      <c r="E485" s="31">
        <v>941.85</v>
      </c>
      <c r="F485">
        <f>VLOOKUP(RevenueTableAnswer[[#This Row],[Units Sold]],DiscountTableAnswer[],2)</f>
        <v>0.375</v>
      </c>
      <c r="G485">
        <f>ROUND((1-RevenueTableAnswer[[#This Row],[Discount on Total Revenue]])*RevenueTableAnswer[[#This Row],[Total Revenue]],2)</f>
        <v>588.66</v>
      </c>
    </row>
    <row r="486" spans="1:7">
      <c r="A486" s="30">
        <v>43042</v>
      </c>
      <c r="B486" t="s">
        <v>24</v>
      </c>
      <c r="C486">
        <v>74</v>
      </c>
      <c r="D486" s="31">
        <v>14.95</v>
      </c>
      <c r="E486" s="31">
        <v>1106.3</v>
      </c>
      <c r="F486">
        <f>VLOOKUP(RevenueTableAnswer[[#This Row],[Units Sold]],DiscountTableAnswer[],2)</f>
        <v>0.375</v>
      </c>
      <c r="G486">
        <f>ROUND((1-RevenueTableAnswer[[#This Row],[Discount on Total Revenue]])*RevenueTableAnswer[[#This Row],[Total Revenue]],2)</f>
        <v>691.44</v>
      </c>
    </row>
    <row r="487" spans="1:7">
      <c r="A487" s="30">
        <v>43045</v>
      </c>
      <c r="B487" t="s">
        <v>37</v>
      </c>
      <c r="C487">
        <v>171</v>
      </c>
      <c r="D487" s="31">
        <v>22.95</v>
      </c>
      <c r="E487" s="31">
        <v>3924.45</v>
      </c>
      <c r="F487">
        <f>VLOOKUP(RevenueTableAnswer[[#This Row],[Units Sold]],DiscountTableAnswer[],2)</f>
        <v>0.55</v>
      </c>
      <c r="G487">
        <f>ROUND((1-RevenueTableAnswer[[#This Row],[Discount on Total Revenue]])*RevenueTableAnswer[[#This Row],[Total Revenue]],2)</f>
        <v>1766</v>
      </c>
    </row>
    <row r="488" spans="1:7">
      <c r="A488" s="30">
        <v>43040</v>
      </c>
      <c r="B488" t="s">
        <v>37</v>
      </c>
      <c r="C488">
        <v>73</v>
      </c>
      <c r="D488" s="31">
        <v>22.95</v>
      </c>
      <c r="E488" s="31">
        <v>1675.35</v>
      </c>
      <c r="F488">
        <f>VLOOKUP(RevenueTableAnswer[[#This Row],[Units Sold]],DiscountTableAnswer[],2)</f>
        <v>0.375</v>
      </c>
      <c r="G488">
        <f>ROUND((1-RevenueTableAnswer[[#This Row],[Discount on Total Revenue]])*RevenueTableAnswer[[#This Row],[Total Revenue]],2)</f>
        <v>1047.09</v>
      </c>
    </row>
    <row r="489" spans="1:7">
      <c r="A489" s="30">
        <v>43046</v>
      </c>
      <c r="B489" t="s">
        <v>24</v>
      </c>
      <c r="C489">
        <v>85</v>
      </c>
      <c r="D489" s="31">
        <v>14.95</v>
      </c>
      <c r="E489" s="31">
        <v>1270.75</v>
      </c>
      <c r="F489">
        <f>VLOOKUP(RevenueTableAnswer[[#This Row],[Units Sold]],DiscountTableAnswer[],2)</f>
        <v>0.375</v>
      </c>
      <c r="G489">
        <f>ROUND((1-RevenueTableAnswer[[#This Row],[Discount on Total Revenue]])*RevenueTableAnswer[[#This Row],[Total Revenue]],2)</f>
        <v>794.22</v>
      </c>
    </row>
    <row r="490" spans="1:7">
      <c r="A490" s="30">
        <v>43047</v>
      </c>
      <c r="B490" t="s">
        <v>24</v>
      </c>
      <c r="C490">
        <v>35</v>
      </c>
      <c r="D490" s="31">
        <v>14.95</v>
      </c>
      <c r="E490" s="31">
        <v>523.25</v>
      </c>
      <c r="F490">
        <f>VLOOKUP(RevenueTableAnswer[[#This Row],[Units Sold]],DiscountTableAnswer[],2)</f>
        <v>0.25</v>
      </c>
      <c r="G490">
        <f>ROUND((1-RevenueTableAnswer[[#This Row],[Discount on Total Revenue]])*RevenueTableAnswer[[#This Row],[Total Revenue]],2)</f>
        <v>392.44</v>
      </c>
    </row>
    <row r="491" spans="1:7">
      <c r="A491" s="30">
        <v>43045</v>
      </c>
      <c r="B491" t="s">
        <v>36</v>
      </c>
      <c r="C491">
        <v>89</v>
      </c>
      <c r="D491" s="31">
        <v>21.95</v>
      </c>
      <c r="E491" s="31">
        <v>1953.55</v>
      </c>
      <c r="F491">
        <f>VLOOKUP(RevenueTableAnswer[[#This Row],[Units Sold]],DiscountTableAnswer[],2)</f>
        <v>0.375</v>
      </c>
      <c r="G491">
        <f>ROUND((1-RevenueTableAnswer[[#This Row],[Discount on Total Revenue]])*RevenueTableAnswer[[#This Row],[Total Revenue]],2)</f>
        <v>1220.97</v>
      </c>
    </row>
    <row r="492" spans="1:7">
      <c r="A492" s="30">
        <v>43040</v>
      </c>
      <c r="B492" t="s">
        <v>36</v>
      </c>
      <c r="C492">
        <v>95</v>
      </c>
      <c r="D492" s="31">
        <v>21.95</v>
      </c>
      <c r="E492" s="31">
        <v>2085.25</v>
      </c>
      <c r="F492">
        <f>VLOOKUP(RevenueTableAnswer[[#This Row],[Units Sold]],DiscountTableAnswer[],2)</f>
        <v>0.375</v>
      </c>
      <c r="G492">
        <f>ROUND((1-RevenueTableAnswer[[#This Row],[Discount on Total Revenue]])*RevenueTableAnswer[[#This Row],[Total Revenue]],2)</f>
        <v>1303.28</v>
      </c>
    </row>
    <row r="493" spans="1:7">
      <c r="A493" s="30">
        <v>43047</v>
      </c>
      <c r="B493" t="s">
        <v>26</v>
      </c>
      <c r="C493">
        <v>125</v>
      </c>
      <c r="D493" s="31">
        <v>43.95</v>
      </c>
      <c r="E493" s="31">
        <v>5493.75</v>
      </c>
      <c r="F493">
        <f>VLOOKUP(RevenueTableAnswer[[#This Row],[Units Sold]],DiscountTableAnswer[],2)</f>
        <v>0.4375</v>
      </c>
      <c r="G493">
        <f>ROUND((1-RevenueTableAnswer[[#This Row],[Discount on Total Revenue]])*RevenueTableAnswer[[#This Row],[Total Revenue]],2)</f>
        <v>3090.23</v>
      </c>
    </row>
    <row r="494" spans="1:7">
      <c r="A494" s="30">
        <v>43046</v>
      </c>
      <c r="B494" t="s">
        <v>37</v>
      </c>
      <c r="C494">
        <v>78</v>
      </c>
      <c r="D494" s="31">
        <v>22.95</v>
      </c>
      <c r="E494" s="31">
        <v>1790.1</v>
      </c>
      <c r="F494">
        <f>VLOOKUP(RevenueTableAnswer[[#This Row],[Units Sold]],DiscountTableAnswer[],2)</f>
        <v>0.375</v>
      </c>
      <c r="G494">
        <f>ROUND((1-RevenueTableAnswer[[#This Row],[Discount on Total Revenue]])*RevenueTableAnswer[[#This Row],[Total Revenue]],2)</f>
        <v>1118.81</v>
      </c>
    </row>
    <row r="495" spans="1:7">
      <c r="A495" s="30">
        <v>43046</v>
      </c>
      <c r="B495" t="s">
        <v>37</v>
      </c>
      <c r="C495">
        <v>187</v>
      </c>
      <c r="D495" s="31">
        <v>22.95</v>
      </c>
      <c r="E495" s="31">
        <v>4291.65</v>
      </c>
      <c r="F495">
        <f>VLOOKUP(RevenueTableAnswer[[#This Row],[Units Sold]],DiscountTableAnswer[],2)</f>
        <v>0.55</v>
      </c>
      <c r="G495">
        <f>ROUND((1-RevenueTableAnswer[[#This Row],[Discount on Total Revenue]])*RevenueTableAnswer[[#This Row],[Total Revenue]],2)</f>
        <v>1931.24</v>
      </c>
    </row>
    <row r="496" spans="1:7">
      <c r="A496" s="30">
        <v>43044</v>
      </c>
      <c r="B496" t="s">
        <v>26</v>
      </c>
      <c r="C496">
        <v>33</v>
      </c>
      <c r="D496" s="31">
        <v>43.95</v>
      </c>
      <c r="E496" s="31">
        <v>1450.35</v>
      </c>
      <c r="F496">
        <f>VLOOKUP(RevenueTableAnswer[[#This Row],[Units Sold]],DiscountTableAnswer[],2)</f>
        <v>0.25</v>
      </c>
      <c r="G496">
        <f>ROUND((1-RevenueTableAnswer[[#This Row],[Discount on Total Revenue]])*RevenueTableAnswer[[#This Row],[Total Revenue]],2)</f>
        <v>1087.76</v>
      </c>
    </row>
    <row r="497" spans="1:7">
      <c r="A497" s="30">
        <v>43042</v>
      </c>
      <c r="B497" t="s">
        <v>26</v>
      </c>
      <c r="C497">
        <v>104</v>
      </c>
      <c r="D497" s="31">
        <v>43.95</v>
      </c>
      <c r="E497" s="31">
        <v>4570.8</v>
      </c>
      <c r="F497">
        <f>VLOOKUP(RevenueTableAnswer[[#This Row],[Units Sold]],DiscountTableAnswer[],2)</f>
        <v>0.4375</v>
      </c>
      <c r="G497">
        <f>ROUND((1-RevenueTableAnswer[[#This Row],[Discount on Total Revenue]])*RevenueTableAnswer[[#This Row],[Total Revenue]],2)</f>
        <v>2571.08</v>
      </c>
    </row>
    <row r="498" spans="1:7">
      <c r="A498" s="30">
        <v>43042</v>
      </c>
      <c r="B498" t="s">
        <v>26</v>
      </c>
      <c r="C498">
        <v>25</v>
      </c>
      <c r="D498" s="31">
        <v>43.95</v>
      </c>
      <c r="E498" s="31">
        <v>1098.75</v>
      </c>
      <c r="F498">
        <f>VLOOKUP(RevenueTableAnswer[[#This Row],[Units Sold]],DiscountTableAnswer[],2)</f>
        <v>0.25</v>
      </c>
      <c r="G498">
        <f>ROUND((1-RevenueTableAnswer[[#This Row],[Discount on Total Revenue]])*RevenueTableAnswer[[#This Row],[Total Revenue]],2)</f>
        <v>824.06</v>
      </c>
    </row>
    <row r="499" spans="1:7">
      <c r="A499" s="30">
        <v>43044</v>
      </c>
      <c r="B499" t="s">
        <v>37</v>
      </c>
      <c r="C499">
        <v>166</v>
      </c>
      <c r="D499" s="31">
        <v>22.95</v>
      </c>
      <c r="E499" s="31">
        <v>3809.7</v>
      </c>
      <c r="F499">
        <f>VLOOKUP(RevenueTableAnswer[[#This Row],[Units Sold]],DiscountTableAnswer[],2)</f>
        <v>0.5</v>
      </c>
      <c r="G499">
        <f>ROUND((1-RevenueTableAnswer[[#This Row],[Discount on Total Revenue]])*RevenueTableAnswer[[#This Row],[Total Revenue]],2)</f>
        <v>1904.85</v>
      </c>
    </row>
    <row r="500" spans="1:7">
      <c r="A500" s="30">
        <v>43041</v>
      </c>
      <c r="B500" t="s">
        <v>26</v>
      </c>
      <c r="C500">
        <v>58</v>
      </c>
      <c r="D500" s="31">
        <v>43.95</v>
      </c>
      <c r="E500" s="31">
        <v>2549.1</v>
      </c>
      <c r="F500">
        <f>VLOOKUP(RevenueTableAnswer[[#This Row],[Units Sold]],DiscountTableAnswer[],2)</f>
        <v>0.375</v>
      </c>
      <c r="G500">
        <f>ROUND((1-RevenueTableAnswer[[#This Row],[Discount on Total Revenue]])*RevenueTableAnswer[[#This Row],[Total Revenue]],2)</f>
        <v>1593.19</v>
      </c>
    </row>
    <row r="501" spans="1:7">
      <c r="A501" s="30">
        <v>43043</v>
      </c>
      <c r="B501" t="s">
        <v>37</v>
      </c>
      <c r="C501">
        <v>94</v>
      </c>
      <c r="D501" s="31">
        <v>22.95</v>
      </c>
      <c r="E501" s="31">
        <v>2157.3</v>
      </c>
      <c r="F501">
        <f>VLOOKUP(RevenueTableAnswer[[#This Row],[Units Sold]],DiscountTableAnswer[],2)</f>
        <v>0.375</v>
      </c>
      <c r="G501">
        <f>ROUND((1-RevenueTableAnswer[[#This Row],[Discount on Total Revenue]])*RevenueTableAnswer[[#This Row],[Total Revenue]],2)</f>
        <v>1348.31</v>
      </c>
    </row>
    <row r="502" spans="1:7">
      <c r="A502" s="30">
        <v>43044</v>
      </c>
      <c r="B502" t="s">
        <v>26</v>
      </c>
      <c r="C502">
        <v>49</v>
      </c>
      <c r="D502" s="31">
        <v>43.95</v>
      </c>
      <c r="E502" s="31">
        <v>2153.55</v>
      </c>
      <c r="F502">
        <f>VLOOKUP(RevenueTableAnswer[[#This Row],[Units Sold]],DiscountTableAnswer[],2)</f>
        <v>0.375</v>
      </c>
      <c r="G502">
        <f>ROUND((1-RevenueTableAnswer[[#This Row],[Discount on Total Revenue]])*RevenueTableAnswer[[#This Row],[Total Revenue]],2)</f>
        <v>1345.97</v>
      </c>
    </row>
    <row r="503" spans="1:7">
      <c r="A503" s="30">
        <v>43041</v>
      </c>
      <c r="B503" t="s">
        <v>26</v>
      </c>
      <c r="C503">
        <v>92</v>
      </c>
      <c r="D503" s="31">
        <v>43.95</v>
      </c>
      <c r="E503" s="31">
        <v>4043.4</v>
      </c>
      <c r="F503">
        <f>VLOOKUP(RevenueTableAnswer[[#This Row],[Units Sold]],DiscountTableAnswer[],2)</f>
        <v>0.375</v>
      </c>
      <c r="G503">
        <f>ROUND((1-RevenueTableAnswer[[#This Row],[Discount on Total Revenue]])*RevenueTableAnswer[[#This Row],[Total Revenue]],2)</f>
        <v>2527.13</v>
      </c>
    </row>
    <row r="504" spans="1:7">
      <c r="A504" s="30">
        <v>43045</v>
      </c>
      <c r="B504" t="s">
        <v>37</v>
      </c>
      <c r="C504">
        <v>71</v>
      </c>
      <c r="D504" s="31">
        <v>22.95</v>
      </c>
      <c r="E504" s="31">
        <v>1629.45</v>
      </c>
      <c r="F504">
        <f>VLOOKUP(RevenueTableAnswer[[#This Row],[Units Sold]],DiscountTableAnswer[],2)</f>
        <v>0.375</v>
      </c>
      <c r="G504">
        <f>ROUND((1-RevenueTableAnswer[[#This Row],[Discount on Total Revenue]])*RevenueTableAnswer[[#This Row],[Total Revenue]],2)</f>
        <v>1018.41</v>
      </c>
    </row>
    <row r="505" spans="1:7">
      <c r="A505" s="30">
        <v>43041</v>
      </c>
      <c r="B505" t="s">
        <v>24</v>
      </c>
      <c r="C505">
        <v>27</v>
      </c>
      <c r="D505" s="31">
        <v>14.95</v>
      </c>
      <c r="E505" s="31">
        <v>403.65</v>
      </c>
      <c r="F505">
        <f>VLOOKUP(RevenueTableAnswer[[#This Row],[Units Sold]],DiscountTableAnswer[],2)</f>
        <v>0.25</v>
      </c>
      <c r="G505">
        <f>ROUND((1-RevenueTableAnswer[[#This Row],[Discount on Total Revenue]])*RevenueTableAnswer[[#This Row],[Total Revenue]],2)</f>
        <v>302.74</v>
      </c>
    </row>
    <row r="506" spans="1:7">
      <c r="A506" s="30">
        <v>43046</v>
      </c>
      <c r="B506" t="s">
        <v>37</v>
      </c>
      <c r="C506">
        <v>5</v>
      </c>
      <c r="D506" s="31">
        <v>22.95</v>
      </c>
      <c r="E506" s="31">
        <v>114.75</v>
      </c>
      <c r="F506">
        <f>VLOOKUP(RevenueTableAnswer[[#This Row],[Units Sold]],DiscountTableAnswer[],2)</f>
        <v>0</v>
      </c>
      <c r="G506">
        <f>ROUND((1-RevenueTableAnswer[[#This Row],[Discount on Total Revenue]])*RevenueTableAnswer[[#This Row],[Total Revenue]],2)</f>
        <v>114.75</v>
      </c>
    </row>
    <row r="507" spans="1:7">
      <c r="A507" s="30">
        <v>43043</v>
      </c>
      <c r="B507" t="s">
        <v>26</v>
      </c>
      <c r="C507">
        <v>190</v>
      </c>
      <c r="D507" s="31">
        <v>43.95</v>
      </c>
      <c r="E507" s="31">
        <v>8350.5</v>
      </c>
      <c r="F507">
        <f>VLOOKUP(RevenueTableAnswer[[#This Row],[Units Sold]],DiscountTableAnswer[],2)</f>
        <v>0.55</v>
      </c>
      <c r="G507">
        <f>ROUND((1-RevenueTableAnswer[[#This Row],[Discount on Total Revenue]])*RevenueTableAnswer[[#This Row],[Total Revenue]],2)</f>
        <v>3757.73</v>
      </c>
    </row>
    <row r="508" spans="1:7">
      <c r="A508" s="30">
        <v>43043</v>
      </c>
      <c r="B508" t="s">
        <v>37</v>
      </c>
      <c r="C508">
        <v>146</v>
      </c>
      <c r="D508" s="31">
        <v>22.95</v>
      </c>
      <c r="E508" s="31">
        <v>3350.7</v>
      </c>
      <c r="F508">
        <f>VLOOKUP(RevenueTableAnswer[[#This Row],[Units Sold]],DiscountTableAnswer[],2)</f>
        <v>0.5</v>
      </c>
      <c r="G508">
        <f>ROUND((1-RevenueTableAnswer[[#This Row],[Discount on Total Revenue]])*RevenueTableAnswer[[#This Row],[Total Revenue]],2)</f>
        <v>1675.35</v>
      </c>
    </row>
    <row r="509" spans="1:7">
      <c r="A509" s="30">
        <v>43046</v>
      </c>
      <c r="B509" t="s">
        <v>36</v>
      </c>
      <c r="C509">
        <v>183</v>
      </c>
      <c r="D509" s="31">
        <v>21.95</v>
      </c>
      <c r="E509" s="31">
        <v>4016.85</v>
      </c>
      <c r="F509">
        <f>VLOOKUP(RevenueTableAnswer[[#This Row],[Units Sold]],DiscountTableAnswer[],2)</f>
        <v>0.55</v>
      </c>
      <c r="G509">
        <f>ROUND((1-RevenueTableAnswer[[#This Row],[Discount on Total Revenue]])*RevenueTableAnswer[[#This Row],[Total Revenue]],2)</f>
        <v>1807.58</v>
      </c>
    </row>
    <row r="510" spans="1:7">
      <c r="A510" s="30">
        <v>43043</v>
      </c>
      <c r="B510" t="s">
        <v>37</v>
      </c>
      <c r="C510">
        <v>163</v>
      </c>
      <c r="D510" s="31">
        <v>22.95</v>
      </c>
      <c r="E510" s="31">
        <v>3740.85</v>
      </c>
      <c r="F510">
        <f>VLOOKUP(RevenueTableAnswer[[#This Row],[Units Sold]],DiscountTableAnswer[],2)</f>
        <v>0.5</v>
      </c>
      <c r="G510">
        <f>ROUND((1-RevenueTableAnswer[[#This Row],[Discount on Total Revenue]])*RevenueTableAnswer[[#This Row],[Total Revenue]],2)</f>
        <v>1870.43</v>
      </c>
    </row>
    <row r="511" spans="1:7">
      <c r="A511" s="30">
        <v>43046</v>
      </c>
      <c r="B511" t="s">
        <v>36</v>
      </c>
      <c r="C511">
        <v>138</v>
      </c>
      <c r="D511" s="31">
        <v>21.95</v>
      </c>
      <c r="E511" s="31">
        <v>3029.1</v>
      </c>
      <c r="F511">
        <f>VLOOKUP(RevenueTableAnswer[[#This Row],[Units Sold]],DiscountTableAnswer[],2)</f>
        <v>0.4375</v>
      </c>
      <c r="G511">
        <f>ROUND((1-RevenueTableAnswer[[#This Row],[Discount on Total Revenue]])*RevenueTableAnswer[[#This Row],[Total Revenue]],2)</f>
        <v>1703.87</v>
      </c>
    </row>
    <row r="512" spans="1:7">
      <c r="A512" s="30">
        <v>43045</v>
      </c>
      <c r="B512" t="s">
        <v>36</v>
      </c>
      <c r="C512">
        <v>151</v>
      </c>
      <c r="D512" s="31">
        <v>21.95</v>
      </c>
      <c r="E512" s="31">
        <v>3314.45</v>
      </c>
      <c r="F512">
        <f>VLOOKUP(RevenueTableAnswer[[#This Row],[Units Sold]],DiscountTableAnswer[],2)</f>
        <v>0.5</v>
      </c>
      <c r="G512">
        <f>ROUND((1-RevenueTableAnswer[[#This Row],[Discount on Total Revenue]])*RevenueTableAnswer[[#This Row],[Total Revenue]],2)</f>
        <v>1657.23</v>
      </c>
    </row>
    <row r="513" spans="1:7">
      <c r="A513" s="30">
        <v>43040</v>
      </c>
      <c r="B513" t="s">
        <v>24</v>
      </c>
      <c r="C513">
        <v>110</v>
      </c>
      <c r="D513" s="31">
        <v>14.95</v>
      </c>
      <c r="E513" s="31">
        <v>1644.5</v>
      </c>
      <c r="F513">
        <f>VLOOKUP(RevenueTableAnswer[[#This Row],[Units Sold]],DiscountTableAnswer[],2)</f>
        <v>0.4375</v>
      </c>
      <c r="G513">
        <f>ROUND((1-RevenueTableAnswer[[#This Row],[Discount on Total Revenue]])*RevenueTableAnswer[[#This Row],[Total Revenue]],2)</f>
        <v>925.03</v>
      </c>
    </row>
    <row r="514" spans="1:7">
      <c r="A514" s="30">
        <v>43046</v>
      </c>
      <c r="B514" t="s">
        <v>26</v>
      </c>
      <c r="C514">
        <v>95</v>
      </c>
      <c r="D514" s="31">
        <v>43.95</v>
      </c>
      <c r="E514" s="31">
        <v>4175.25</v>
      </c>
      <c r="F514">
        <f>VLOOKUP(RevenueTableAnswer[[#This Row],[Units Sold]],DiscountTableAnswer[],2)</f>
        <v>0.375</v>
      </c>
      <c r="G514">
        <f>ROUND((1-RevenueTableAnswer[[#This Row],[Discount on Total Revenue]])*RevenueTableAnswer[[#This Row],[Total Revenue]],2)</f>
        <v>2609.53</v>
      </c>
    </row>
    <row r="515" spans="1:7">
      <c r="A515" s="30">
        <v>43042</v>
      </c>
      <c r="B515" t="s">
        <v>36</v>
      </c>
      <c r="C515">
        <v>89</v>
      </c>
      <c r="D515" s="31">
        <v>21.95</v>
      </c>
      <c r="E515" s="31">
        <v>1953.55</v>
      </c>
      <c r="F515">
        <f>VLOOKUP(RevenueTableAnswer[[#This Row],[Units Sold]],DiscountTableAnswer[],2)</f>
        <v>0.375</v>
      </c>
      <c r="G515">
        <f>ROUND((1-RevenueTableAnswer[[#This Row],[Discount on Total Revenue]])*RevenueTableAnswer[[#This Row],[Total Revenue]],2)</f>
        <v>1220.97</v>
      </c>
    </row>
    <row r="516" spans="1:7">
      <c r="A516" s="30">
        <v>43040</v>
      </c>
      <c r="B516" t="s">
        <v>37</v>
      </c>
      <c r="C516">
        <v>181</v>
      </c>
      <c r="D516" s="31">
        <v>22.95</v>
      </c>
      <c r="E516" s="31">
        <v>4153.95</v>
      </c>
      <c r="F516">
        <f>VLOOKUP(RevenueTableAnswer[[#This Row],[Units Sold]],DiscountTableAnswer[],2)</f>
        <v>0.55</v>
      </c>
      <c r="G516">
        <f>ROUND((1-RevenueTableAnswer[[#This Row],[Discount on Total Revenue]])*RevenueTableAnswer[[#This Row],[Total Revenue]],2)</f>
        <v>1869.28</v>
      </c>
    </row>
    <row r="517" spans="1:7">
      <c r="A517" s="30">
        <v>43047</v>
      </c>
      <c r="B517" t="s">
        <v>26</v>
      </c>
      <c r="C517">
        <v>106</v>
      </c>
      <c r="D517" s="31">
        <v>43.95</v>
      </c>
      <c r="E517" s="31">
        <v>4658.7</v>
      </c>
      <c r="F517">
        <f>VLOOKUP(RevenueTableAnswer[[#This Row],[Units Sold]],DiscountTableAnswer[],2)</f>
        <v>0.4375</v>
      </c>
      <c r="G517">
        <f>ROUND((1-RevenueTableAnswer[[#This Row],[Discount on Total Revenue]])*RevenueTableAnswer[[#This Row],[Total Revenue]],2)</f>
        <v>2620.52</v>
      </c>
    </row>
    <row r="518" spans="1:7">
      <c r="A518" s="30">
        <v>43042</v>
      </c>
      <c r="B518" t="s">
        <v>36</v>
      </c>
      <c r="C518">
        <v>97</v>
      </c>
      <c r="D518" s="31">
        <v>21.95</v>
      </c>
      <c r="E518" s="31">
        <v>2129.15</v>
      </c>
      <c r="F518">
        <f>VLOOKUP(RevenueTableAnswer[[#This Row],[Units Sold]],DiscountTableAnswer[],2)</f>
        <v>0.4375</v>
      </c>
      <c r="G518">
        <f>ROUND((1-RevenueTableAnswer[[#This Row],[Discount on Total Revenue]])*RevenueTableAnswer[[#This Row],[Total Revenue]],2)</f>
        <v>1197.65</v>
      </c>
    </row>
    <row r="519" spans="1:7">
      <c r="A519" s="30">
        <v>43041</v>
      </c>
      <c r="B519" t="s">
        <v>37</v>
      </c>
      <c r="C519">
        <v>62</v>
      </c>
      <c r="D519" s="31">
        <v>22.95</v>
      </c>
      <c r="E519" s="31">
        <v>1422.9</v>
      </c>
      <c r="F519">
        <f>VLOOKUP(RevenueTableAnswer[[#This Row],[Units Sold]],DiscountTableAnswer[],2)</f>
        <v>0.375</v>
      </c>
      <c r="G519">
        <f>ROUND((1-RevenueTableAnswer[[#This Row],[Discount on Total Revenue]])*RevenueTableAnswer[[#This Row],[Total Revenue]],2)</f>
        <v>889.31</v>
      </c>
    </row>
    <row r="520" spans="1:7">
      <c r="A520" s="30">
        <v>43047</v>
      </c>
      <c r="B520" t="s">
        <v>26</v>
      </c>
      <c r="C520">
        <v>124</v>
      </c>
      <c r="D520" s="31">
        <v>43.95</v>
      </c>
      <c r="E520" s="31">
        <v>5449.8</v>
      </c>
      <c r="F520">
        <f>VLOOKUP(RevenueTableAnswer[[#This Row],[Units Sold]],DiscountTableAnswer[],2)</f>
        <v>0.4375</v>
      </c>
      <c r="G520">
        <f>ROUND((1-RevenueTableAnswer[[#This Row],[Discount on Total Revenue]])*RevenueTableAnswer[[#This Row],[Total Revenue]],2)</f>
        <v>3065.51</v>
      </c>
    </row>
    <row r="521" spans="1:7">
      <c r="A521" s="30">
        <v>43045</v>
      </c>
      <c r="B521" t="s">
        <v>36</v>
      </c>
      <c r="C521">
        <v>134</v>
      </c>
      <c r="D521" s="31">
        <v>21.95</v>
      </c>
      <c r="E521" s="31">
        <v>2941.3</v>
      </c>
      <c r="F521">
        <f>VLOOKUP(RevenueTableAnswer[[#This Row],[Units Sold]],DiscountTableAnswer[],2)</f>
        <v>0.4375</v>
      </c>
      <c r="G521">
        <f>ROUND((1-RevenueTableAnswer[[#This Row],[Discount on Total Revenue]])*RevenueTableAnswer[[#This Row],[Total Revenue]],2)</f>
        <v>1654.48</v>
      </c>
    </row>
    <row r="522" spans="1:7">
      <c r="A522" s="30">
        <v>43046</v>
      </c>
      <c r="B522" t="s">
        <v>37</v>
      </c>
      <c r="C522">
        <v>175</v>
      </c>
      <c r="D522" s="31">
        <v>22.95</v>
      </c>
      <c r="E522" s="31">
        <v>4016.25</v>
      </c>
      <c r="F522">
        <f>VLOOKUP(RevenueTableAnswer[[#This Row],[Units Sold]],DiscountTableAnswer[],2)</f>
        <v>0.55</v>
      </c>
      <c r="G522">
        <f>ROUND((1-RevenueTableAnswer[[#This Row],[Discount on Total Revenue]])*RevenueTableAnswer[[#This Row],[Total Revenue]],2)</f>
        <v>1807.31</v>
      </c>
    </row>
    <row r="523" spans="1:7">
      <c r="A523" s="30">
        <v>43045</v>
      </c>
      <c r="B523" t="s">
        <v>36</v>
      </c>
      <c r="C523">
        <v>112</v>
      </c>
      <c r="D523" s="31">
        <v>21.95</v>
      </c>
      <c r="E523" s="31">
        <v>2458.4</v>
      </c>
      <c r="F523">
        <f>VLOOKUP(RevenueTableAnswer[[#This Row],[Units Sold]],DiscountTableAnswer[],2)</f>
        <v>0.4375</v>
      </c>
      <c r="G523">
        <f>ROUND((1-RevenueTableAnswer[[#This Row],[Discount on Total Revenue]])*RevenueTableAnswer[[#This Row],[Total Revenue]],2)</f>
        <v>1382.85</v>
      </c>
    </row>
    <row r="524" spans="1:7">
      <c r="A524" s="30">
        <v>43042</v>
      </c>
      <c r="B524" t="s">
        <v>37</v>
      </c>
      <c r="C524">
        <v>15</v>
      </c>
      <c r="D524" s="31">
        <v>22.95</v>
      </c>
      <c r="E524" s="31">
        <v>344.25</v>
      </c>
      <c r="F524">
        <f>VLOOKUP(RevenueTableAnswer[[#This Row],[Units Sold]],DiscountTableAnswer[],2)</f>
        <v>0.25</v>
      </c>
      <c r="G524">
        <f>ROUND((1-RevenueTableAnswer[[#This Row],[Discount on Total Revenue]])*RevenueTableAnswer[[#This Row],[Total Revenue]],2)</f>
        <v>258.19</v>
      </c>
    </row>
    <row r="525" spans="1:7">
      <c r="A525" s="30">
        <v>43046</v>
      </c>
      <c r="B525" t="s">
        <v>36</v>
      </c>
      <c r="C525">
        <v>54</v>
      </c>
      <c r="D525" s="31">
        <v>21.95</v>
      </c>
      <c r="E525" s="31">
        <v>1185.3</v>
      </c>
      <c r="F525">
        <f>VLOOKUP(RevenueTableAnswer[[#This Row],[Units Sold]],DiscountTableAnswer[],2)</f>
        <v>0.375</v>
      </c>
      <c r="G525">
        <f>ROUND((1-RevenueTableAnswer[[#This Row],[Discount on Total Revenue]])*RevenueTableAnswer[[#This Row],[Total Revenue]],2)</f>
        <v>740.81</v>
      </c>
    </row>
    <row r="526" spans="1:7">
      <c r="A526" s="30">
        <v>43043</v>
      </c>
      <c r="B526" t="s">
        <v>36</v>
      </c>
      <c r="C526">
        <v>138</v>
      </c>
      <c r="D526" s="31">
        <v>21.95</v>
      </c>
      <c r="E526" s="31">
        <v>3029.1</v>
      </c>
      <c r="F526">
        <f>VLOOKUP(RevenueTableAnswer[[#This Row],[Units Sold]],DiscountTableAnswer[],2)</f>
        <v>0.4375</v>
      </c>
      <c r="G526">
        <f>ROUND((1-RevenueTableAnswer[[#This Row],[Discount on Total Revenue]])*RevenueTableAnswer[[#This Row],[Total Revenue]],2)</f>
        <v>1703.87</v>
      </c>
    </row>
    <row r="527" spans="1:7">
      <c r="A527" s="30">
        <v>43044</v>
      </c>
      <c r="B527" t="s">
        <v>36</v>
      </c>
      <c r="C527">
        <v>87</v>
      </c>
      <c r="D527" s="31">
        <v>21.95</v>
      </c>
      <c r="E527" s="31">
        <v>1909.65</v>
      </c>
      <c r="F527">
        <f>VLOOKUP(RevenueTableAnswer[[#This Row],[Units Sold]],DiscountTableAnswer[],2)</f>
        <v>0.375</v>
      </c>
      <c r="G527">
        <f>ROUND((1-RevenueTableAnswer[[#This Row],[Discount on Total Revenue]])*RevenueTableAnswer[[#This Row],[Total Revenue]],2)</f>
        <v>1193.53</v>
      </c>
    </row>
    <row r="528" spans="1:7">
      <c r="A528" s="30">
        <v>43045</v>
      </c>
      <c r="B528" t="s">
        <v>24</v>
      </c>
      <c r="C528">
        <v>13</v>
      </c>
      <c r="D528" s="31">
        <v>14.95</v>
      </c>
      <c r="E528" s="31">
        <v>194.35</v>
      </c>
      <c r="F528">
        <f>VLOOKUP(RevenueTableAnswer[[#This Row],[Units Sold]],DiscountTableAnswer[],2)</f>
        <v>0.25</v>
      </c>
      <c r="G528">
        <f>ROUND((1-RevenueTableAnswer[[#This Row],[Discount on Total Revenue]])*RevenueTableAnswer[[#This Row],[Total Revenue]],2)</f>
        <v>145.76</v>
      </c>
    </row>
    <row r="529" spans="1:7">
      <c r="A529" s="30">
        <v>43047</v>
      </c>
      <c r="B529" t="s">
        <v>37</v>
      </c>
      <c r="C529">
        <v>79</v>
      </c>
      <c r="D529" s="31">
        <v>22.95</v>
      </c>
      <c r="E529" s="31">
        <v>1813.05</v>
      </c>
      <c r="F529">
        <f>VLOOKUP(RevenueTableAnswer[[#This Row],[Units Sold]],DiscountTableAnswer[],2)</f>
        <v>0.375</v>
      </c>
      <c r="G529">
        <f>ROUND((1-RevenueTableAnswer[[#This Row],[Discount on Total Revenue]])*RevenueTableAnswer[[#This Row],[Total Revenue]],2)</f>
        <v>1133.16</v>
      </c>
    </row>
    <row r="530" spans="1:7">
      <c r="A530" s="30">
        <v>43047</v>
      </c>
      <c r="B530" t="s">
        <v>24</v>
      </c>
      <c r="C530">
        <v>60</v>
      </c>
      <c r="D530" s="31">
        <v>14.95</v>
      </c>
      <c r="E530" s="31">
        <v>897</v>
      </c>
      <c r="F530">
        <f>VLOOKUP(RevenueTableAnswer[[#This Row],[Units Sold]],DiscountTableAnswer[],2)</f>
        <v>0.375</v>
      </c>
      <c r="G530">
        <f>ROUND((1-RevenueTableAnswer[[#This Row],[Discount on Total Revenue]])*RevenueTableAnswer[[#This Row],[Total Revenue]],2)</f>
        <v>560.63</v>
      </c>
    </row>
    <row r="531" spans="1:7">
      <c r="A531" s="30">
        <v>43042</v>
      </c>
      <c r="B531" t="s">
        <v>24</v>
      </c>
      <c r="C531">
        <v>65</v>
      </c>
      <c r="D531" s="31">
        <v>14.95</v>
      </c>
      <c r="E531" s="31">
        <v>971.75</v>
      </c>
      <c r="F531">
        <f>VLOOKUP(RevenueTableAnswer[[#This Row],[Units Sold]],DiscountTableAnswer[],2)</f>
        <v>0.375</v>
      </c>
      <c r="G531">
        <f>ROUND((1-RevenueTableAnswer[[#This Row],[Discount on Total Revenue]])*RevenueTableAnswer[[#This Row],[Total Revenue]],2)</f>
        <v>607.34</v>
      </c>
    </row>
    <row r="532" spans="1:7">
      <c r="A532" s="30">
        <v>43042</v>
      </c>
      <c r="B532" t="s">
        <v>26</v>
      </c>
      <c r="C532">
        <v>85</v>
      </c>
      <c r="D532" s="31">
        <v>43.95</v>
      </c>
      <c r="E532" s="31">
        <v>3735.75</v>
      </c>
      <c r="F532">
        <f>VLOOKUP(RevenueTableAnswer[[#This Row],[Units Sold]],DiscountTableAnswer[],2)</f>
        <v>0.375</v>
      </c>
      <c r="G532">
        <f>ROUND((1-RevenueTableAnswer[[#This Row],[Discount on Total Revenue]])*RevenueTableAnswer[[#This Row],[Total Revenue]],2)</f>
        <v>2334.84</v>
      </c>
    </row>
    <row r="533" spans="1:7">
      <c r="A533" s="30">
        <v>43044</v>
      </c>
      <c r="B533" t="s">
        <v>24</v>
      </c>
      <c r="C533">
        <v>41</v>
      </c>
      <c r="D533" s="31">
        <v>14.95</v>
      </c>
      <c r="E533" s="31">
        <v>612.95</v>
      </c>
      <c r="F533">
        <f>VLOOKUP(RevenueTableAnswer[[#This Row],[Units Sold]],DiscountTableAnswer[],2)</f>
        <v>0.25</v>
      </c>
      <c r="G533">
        <f>ROUND((1-RevenueTableAnswer[[#This Row],[Discount on Total Revenue]])*RevenueTableAnswer[[#This Row],[Total Revenue]],2)</f>
        <v>459.71</v>
      </c>
    </row>
    <row r="534" spans="1:7">
      <c r="A534" s="30">
        <v>43044</v>
      </c>
      <c r="B534" t="s">
        <v>26</v>
      </c>
      <c r="C534">
        <v>7</v>
      </c>
      <c r="D534" s="31">
        <v>43.95</v>
      </c>
      <c r="E534" s="31">
        <v>307.65</v>
      </c>
      <c r="F534">
        <f>VLOOKUP(RevenueTableAnswer[[#This Row],[Units Sold]],DiscountTableAnswer[],2)</f>
        <v>0</v>
      </c>
      <c r="G534">
        <f>ROUND((1-RevenueTableAnswer[[#This Row],[Discount on Total Revenue]])*RevenueTableAnswer[[#This Row],[Total Revenue]],2)</f>
        <v>307.65</v>
      </c>
    </row>
    <row r="535" spans="1:7">
      <c r="A535" s="30">
        <v>43043</v>
      </c>
      <c r="B535" t="s">
        <v>24</v>
      </c>
      <c r="C535">
        <v>14</v>
      </c>
      <c r="D535" s="31">
        <v>14.95</v>
      </c>
      <c r="E535" s="31">
        <v>209.3</v>
      </c>
      <c r="F535">
        <f>VLOOKUP(RevenueTableAnswer[[#This Row],[Units Sold]],DiscountTableAnswer[],2)</f>
        <v>0.25</v>
      </c>
      <c r="G535">
        <f>ROUND((1-RevenueTableAnswer[[#This Row],[Discount on Total Revenue]])*RevenueTableAnswer[[#This Row],[Total Revenue]],2)</f>
        <v>156.98</v>
      </c>
    </row>
    <row r="536" spans="1:7">
      <c r="A536" s="30">
        <v>43042</v>
      </c>
      <c r="B536" t="s">
        <v>37</v>
      </c>
      <c r="C536">
        <v>156</v>
      </c>
      <c r="D536" s="31">
        <v>22.95</v>
      </c>
      <c r="E536" s="31">
        <v>3580.2</v>
      </c>
      <c r="F536">
        <f>VLOOKUP(RevenueTableAnswer[[#This Row],[Units Sold]],DiscountTableAnswer[],2)</f>
        <v>0.5</v>
      </c>
      <c r="G536">
        <f>ROUND((1-RevenueTableAnswer[[#This Row],[Discount on Total Revenue]])*RevenueTableAnswer[[#This Row],[Total Revenue]],2)</f>
        <v>1790.1</v>
      </c>
    </row>
    <row r="537" spans="1:7">
      <c r="A537" s="30">
        <v>43040</v>
      </c>
      <c r="B537" t="s">
        <v>24</v>
      </c>
      <c r="C537">
        <v>98</v>
      </c>
      <c r="D537" s="31">
        <v>14.95</v>
      </c>
      <c r="E537" s="31">
        <v>1465.1</v>
      </c>
      <c r="F537">
        <f>VLOOKUP(RevenueTableAnswer[[#This Row],[Units Sold]],DiscountTableAnswer[],2)</f>
        <v>0.4375</v>
      </c>
      <c r="G537">
        <f>ROUND((1-RevenueTableAnswer[[#This Row],[Discount on Total Revenue]])*RevenueTableAnswer[[#This Row],[Total Revenue]],2)</f>
        <v>824.12</v>
      </c>
    </row>
    <row r="538" spans="1:7">
      <c r="A538" s="30">
        <v>43047</v>
      </c>
      <c r="B538" t="s">
        <v>26</v>
      </c>
      <c r="C538">
        <v>4</v>
      </c>
      <c r="D538" s="31">
        <v>43.95</v>
      </c>
      <c r="E538" s="31">
        <v>175.8</v>
      </c>
      <c r="F538">
        <f>VLOOKUP(RevenueTableAnswer[[#This Row],[Units Sold]],DiscountTableAnswer[],2)</f>
        <v>0</v>
      </c>
      <c r="G538">
        <f>ROUND((1-RevenueTableAnswer[[#This Row],[Discount on Total Revenue]])*RevenueTableAnswer[[#This Row],[Total Revenue]],2)</f>
        <v>175.8</v>
      </c>
    </row>
    <row r="539" spans="1:7">
      <c r="A539" s="30">
        <v>43044</v>
      </c>
      <c r="B539" t="s">
        <v>36</v>
      </c>
      <c r="C539">
        <v>52</v>
      </c>
      <c r="D539" s="31">
        <v>21.95</v>
      </c>
      <c r="E539" s="31">
        <v>1141.4</v>
      </c>
      <c r="F539">
        <f>VLOOKUP(RevenueTableAnswer[[#This Row],[Units Sold]],DiscountTableAnswer[],2)</f>
        <v>0.375</v>
      </c>
      <c r="G539">
        <f>ROUND((1-RevenueTableAnswer[[#This Row],[Discount on Total Revenue]])*RevenueTableAnswer[[#This Row],[Total Revenue]],2)</f>
        <v>713.38</v>
      </c>
    </row>
    <row r="540" spans="1:7">
      <c r="A540" s="30">
        <v>43042</v>
      </c>
      <c r="B540" t="s">
        <v>24</v>
      </c>
      <c r="C540">
        <v>35</v>
      </c>
      <c r="D540" s="31">
        <v>14.95</v>
      </c>
      <c r="E540" s="31">
        <v>523.25</v>
      </c>
      <c r="F540">
        <f>VLOOKUP(RevenueTableAnswer[[#This Row],[Units Sold]],DiscountTableAnswer[],2)</f>
        <v>0.25</v>
      </c>
      <c r="G540">
        <f>ROUND((1-RevenueTableAnswer[[#This Row],[Discount on Total Revenue]])*RevenueTableAnswer[[#This Row],[Total Revenue]],2)</f>
        <v>392.44</v>
      </c>
    </row>
    <row r="541" spans="1:7">
      <c r="A541" s="30">
        <v>43046</v>
      </c>
      <c r="B541" t="s">
        <v>36</v>
      </c>
      <c r="C541">
        <v>101</v>
      </c>
      <c r="D541" s="31">
        <v>21.95</v>
      </c>
      <c r="E541" s="31">
        <v>2216.95</v>
      </c>
      <c r="F541">
        <f>VLOOKUP(RevenueTableAnswer[[#This Row],[Units Sold]],DiscountTableAnswer[],2)</f>
        <v>0.4375</v>
      </c>
      <c r="G541">
        <f>ROUND((1-RevenueTableAnswer[[#This Row],[Discount on Total Revenue]])*RevenueTableAnswer[[#This Row],[Total Revenue]],2)</f>
        <v>1247.03</v>
      </c>
    </row>
    <row r="542" spans="1:7">
      <c r="A542" s="30">
        <v>43041</v>
      </c>
      <c r="B542" t="s">
        <v>24</v>
      </c>
      <c r="C542">
        <v>177</v>
      </c>
      <c r="D542" s="31">
        <v>14.95</v>
      </c>
      <c r="E542" s="31">
        <v>2646.15</v>
      </c>
      <c r="F542">
        <f>VLOOKUP(RevenueTableAnswer[[#This Row],[Units Sold]],DiscountTableAnswer[],2)</f>
        <v>0.55</v>
      </c>
      <c r="G542">
        <f>ROUND((1-RevenueTableAnswer[[#This Row],[Discount on Total Revenue]])*RevenueTableAnswer[[#This Row],[Total Revenue]],2)</f>
        <v>1190.77</v>
      </c>
    </row>
    <row r="543" spans="1:7">
      <c r="A543" s="30">
        <v>43043</v>
      </c>
      <c r="B543" t="s">
        <v>24</v>
      </c>
      <c r="C543">
        <v>158</v>
      </c>
      <c r="D543" s="31">
        <v>14.95</v>
      </c>
      <c r="E543" s="31">
        <v>2362.1</v>
      </c>
      <c r="F543">
        <f>VLOOKUP(RevenueTableAnswer[[#This Row],[Units Sold]],DiscountTableAnswer[],2)</f>
        <v>0.5</v>
      </c>
      <c r="G543">
        <f>ROUND((1-RevenueTableAnswer[[#This Row],[Discount on Total Revenue]])*RevenueTableAnswer[[#This Row],[Total Revenue]],2)</f>
        <v>1181.05</v>
      </c>
    </row>
    <row r="544" spans="1:7">
      <c r="A544" s="30">
        <v>43045</v>
      </c>
      <c r="B544" t="s">
        <v>36</v>
      </c>
      <c r="C544">
        <v>183</v>
      </c>
      <c r="D544" s="31">
        <v>21.95</v>
      </c>
      <c r="E544" s="31">
        <v>4016.85</v>
      </c>
      <c r="F544">
        <f>VLOOKUP(RevenueTableAnswer[[#This Row],[Units Sold]],DiscountTableAnswer[],2)</f>
        <v>0.55</v>
      </c>
      <c r="G544">
        <f>ROUND((1-RevenueTableAnswer[[#This Row],[Discount on Total Revenue]])*RevenueTableAnswer[[#This Row],[Total Revenue]],2)</f>
        <v>1807.58</v>
      </c>
    </row>
    <row r="545" spans="1:7">
      <c r="A545" s="30">
        <v>43041</v>
      </c>
      <c r="B545" t="s">
        <v>24</v>
      </c>
      <c r="C545">
        <v>185</v>
      </c>
      <c r="D545" s="31">
        <v>14.95</v>
      </c>
      <c r="E545" s="31">
        <v>2765.75</v>
      </c>
      <c r="F545">
        <f>VLOOKUP(RevenueTableAnswer[[#This Row],[Units Sold]],DiscountTableAnswer[],2)</f>
        <v>0.55</v>
      </c>
      <c r="G545">
        <f>ROUND((1-RevenueTableAnswer[[#This Row],[Discount on Total Revenue]])*RevenueTableAnswer[[#This Row],[Total Revenue]],2)</f>
        <v>1244.59</v>
      </c>
    </row>
    <row r="546" spans="1:7">
      <c r="A546" s="30">
        <v>43046</v>
      </c>
      <c r="B546" t="s">
        <v>26</v>
      </c>
      <c r="C546">
        <v>87</v>
      </c>
      <c r="D546" s="31">
        <v>43.95</v>
      </c>
      <c r="E546" s="31">
        <v>3823.65</v>
      </c>
      <c r="F546">
        <f>VLOOKUP(RevenueTableAnswer[[#This Row],[Units Sold]],DiscountTableAnswer[],2)</f>
        <v>0.375</v>
      </c>
      <c r="G546">
        <f>ROUND((1-RevenueTableAnswer[[#This Row],[Discount on Total Revenue]])*RevenueTableAnswer[[#This Row],[Total Revenue]],2)</f>
        <v>2389.78</v>
      </c>
    </row>
    <row r="547" spans="1:7">
      <c r="A547" s="30">
        <v>43046</v>
      </c>
      <c r="B547" t="s">
        <v>24</v>
      </c>
      <c r="C547">
        <v>148</v>
      </c>
      <c r="D547" s="31">
        <v>14.95</v>
      </c>
      <c r="E547" s="31">
        <v>2212.6</v>
      </c>
      <c r="F547">
        <f>VLOOKUP(RevenueTableAnswer[[#This Row],[Units Sold]],DiscountTableAnswer[],2)</f>
        <v>0.5</v>
      </c>
      <c r="G547">
        <f>ROUND((1-RevenueTableAnswer[[#This Row],[Discount on Total Revenue]])*RevenueTableAnswer[[#This Row],[Total Revenue]],2)</f>
        <v>1106.3</v>
      </c>
    </row>
    <row r="548" spans="1:7">
      <c r="A548" s="30">
        <v>43047</v>
      </c>
      <c r="B548" t="s">
        <v>36</v>
      </c>
      <c r="C548">
        <v>141</v>
      </c>
      <c r="D548" s="31">
        <v>21.95</v>
      </c>
      <c r="E548" s="31">
        <v>3094.95</v>
      </c>
      <c r="F548">
        <f>VLOOKUP(RevenueTableAnswer[[#This Row],[Units Sold]],DiscountTableAnswer[],2)</f>
        <v>0.4375</v>
      </c>
      <c r="G548">
        <f>ROUND((1-RevenueTableAnswer[[#This Row],[Discount on Total Revenue]])*RevenueTableAnswer[[#This Row],[Total Revenue]],2)</f>
        <v>1740.91</v>
      </c>
    </row>
    <row r="549" spans="1:7">
      <c r="A549" s="30">
        <v>43046</v>
      </c>
      <c r="B549" t="s">
        <v>24</v>
      </c>
      <c r="C549">
        <v>159</v>
      </c>
      <c r="D549" s="31">
        <v>14.95</v>
      </c>
      <c r="E549" s="31">
        <v>2377.05</v>
      </c>
      <c r="F549">
        <f>VLOOKUP(RevenueTableAnswer[[#This Row],[Units Sold]],DiscountTableAnswer[],2)</f>
        <v>0.5</v>
      </c>
      <c r="G549">
        <f>ROUND((1-RevenueTableAnswer[[#This Row],[Discount on Total Revenue]])*RevenueTableAnswer[[#This Row],[Total Revenue]],2)</f>
        <v>1188.53</v>
      </c>
    </row>
    <row r="550" spans="1:7">
      <c r="A550" s="30">
        <v>43040</v>
      </c>
      <c r="B550" t="s">
        <v>37</v>
      </c>
      <c r="C550">
        <v>97</v>
      </c>
      <c r="D550" s="31">
        <v>22.95</v>
      </c>
      <c r="E550" s="31">
        <v>2226.15</v>
      </c>
      <c r="F550">
        <f>VLOOKUP(RevenueTableAnswer[[#This Row],[Units Sold]],DiscountTableAnswer[],2)</f>
        <v>0.4375</v>
      </c>
      <c r="G550">
        <f>ROUND((1-RevenueTableAnswer[[#This Row],[Discount on Total Revenue]])*RevenueTableAnswer[[#This Row],[Total Revenue]],2)</f>
        <v>1252.21</v>
      </c>
    </row>
    <row r="551" spans="1:7">
      <c r="A551" s="30">
        <v>43043</v>
      </c>
      <c r="B551" t="s">
        <v>24</v>
      </c>
      <c r="C551">
        <v>164</v>
      </c>
      <c r="D551" s="31">
        <v>14.95</v>
      </c>
      <c r="E551" s="31">
        <v>2451.8</v>
      </c>
      <c r="F551">
        <f>VLOOKUP(RevenueTableAnswer[[#This Row],[Units Sold]],DiscountTableAnswer[],2)</f>
        <v>0.5</v>
      </c>
      <c r="G551">
        <f>ROUND((1-RevenueTableAnswer[[#This Row],[Discount on Total Revenue]])*RevenueTableAnswer[[#This Row],[Total Revenue]],2)</f>
        <v>1225.9</v>
      </c>
    </row>
    <row r="552" spans="1:7">
      <c r="A552" s="30">
        <v>43042</v>
      </c>
      <c r="B552" t="s">
        <v>36</v>
      </c>
      <c r="C552">
        <v>174</v>
      </c>
      <c r="D552" s="31">
        <v>21.95</v>
      </c>
      <c r="E552" s="31">
        <v>3819.3</v>
      </c>
      <c r="F552">
        <f>VLOOKUP(RevenueTableAnswer[[#This Row],[Units Sold]],DiscountTableAnswer[],2)</f>
        <v>0.55</v>
      </c>
      <c r="G552">
        <f>ROUND((1-RevenueTableAnswer[[#This Row],[Discount on Total Revenue]])*RevenueTableAnswer[[#This Row],[Total Revenue]],2)</f>
        <v>1718.69</v>
      </c>
    </row>
    <row r="553" spans="1:7">
      <c r="A553" s="30">
        <v>43046</v>
      </c>
      <c r="B553" t="s">
        <v>24</v>
      </c>
      <c r="C553">
        <v>92</v>
      </c>
      <c r="D553" s="31">
        <v>14.95</v>
      </c>
      <c r="E553" s="31">
        <v>1375.4</v>
      </c>
      <c r="F553">
        <f>VLOOKUP(RevenueTableAnswer[[#This Row],[Units Sold]],DiscountTableAnswer[],2)</f>
        <v>0.375</v>
      </c>
      <c r="G553">
        <f>ROUND((1-RevenueTableAnswer[[#This Row],[Discount on Total Revenue]])*RevenueTableAnswer[[#This Row],[Total Revenue]],2)</f>
        <v>859.63</v>
      </c>
    </row>
    <row r="554" spans="1:7">
      <c r="A554" s="30">
        <v>43044</v>
      </c>
      <c r="B554" t="s">
        <v>26</v>
      </c>
      <c r="C554">
        <v>132</v>
      </c>
      <c r="D554" s="31">
        <v>43.95</v>
      </c>
      <c r="E554" s="31">
        <v>5801.4</v>
      </c>
      <c r="F554">
        <f>VLOOKUP(RevenueTableAnswer[[#This Row],[Units Sold]],DiscountTableAnswer[],2)</f>
        <v>0.4375</v>
      </c>
      <c r="G554">
        <f>ROUND((1-RevenueTableAnswer[[#This Row],[Discount on Total Revenue]])*RevenueTableAnswer[[#This Row],[Total Revenue]],2)</f>
        <v>3263.29</v>
      </c>
    </row>
    <row r="555" spans="1:7">
      <c r="A555" s="30">
        <v>43044</v>
      </c>
      <c r="B555" t="s">
        <v>26</v>
      </c>
      <c r="C555">
        <v>140</v>
      </c>
      <c r="D555" s="31">
        <v>43.95</v>
      </c>
      <c r="E555" s="31">
        <v>6153</v>
      </c>
      <c r="F555">
        <f>VLOOKUP(RevenueTableAnswer[[#This Row],[Units Sold]],DiscountTableAnswer[],2)</f>
        <v>0.4375</v>
      </c>
      <c r="G555">
        <f>ROUND((1-RevenueTableAnswer[[#This Row],[Discount on Total Revenue]])*RevenueTableAnswer[[#This Row],[Total Revenue]],2)</f>
        <v>3461.06</v>
      </c>
    </row>
    <row r="556" spans="1:7">
      <c r="A556" s="30">
        <v>43045</v>
      </c>
      <c r="B556" t="s">
        <v>26</v>
      </c>
      <c r="C556">
        <v>165</v>
      </c>
      <c r="D556" s="31">
        <v>43.95</v>
      </c>
      <c r="E556" s="31">
        <v>7251.75</v>
      </c>
      <c r="F556">
        <f>VLOOKUP(RevenueTableAnswer[[#This Row],[Units Sold]],DiscountTableAnswer[],2)</f>
        <v>0.5</v>
      </c>
      <c r="G556">
        <f>ROUND((1-RevenueTableAnswer[[#This Row],[Discount on Total Revenue]])*RevenueTableAnswer[[#This Row],[Total Revenue]],2)</f>
        <v>3625.88</v>
      </c>
    </row>
    <row r="557" spans="1:7">
      <c r="A557" s="30">
        <v>43044</v>
      </c>
      <c r="B557" t="s">
        <v>24</v>
      </c>
      <c r="C557">
        <v>89</v>
      </c>
      <c r="D557" s="31">
        <v>14.95</v>
      </c>
      <c r="E557" s="31">
        <v>1330.55</v>
      </c>
      <c r="F557">
        <f>VLOOKUP(RevenueTableAnswer[[#This Row],[Units Sold]],DiscountTableAnswer[],2)</f>
        <v>0.375</v>
      </c>
      <c r="G557">
        <f>ROUND((1-RevenueTableAnswer[[#This Row],[Discount on Total Revenue]])*RevenueTableAnswer[[#This Row],[Total Revenue]],2)</f>
        <v>831.59</v>
      </c>
    </row>
    <row r="558" spans="1:7">
      <c r="A558" s="30">
        <v>43041</v>
      </c>
      <c r="B558" t="s">
        <v>37</v>
      </c>
      <c r="C558">
        <v>95</v>
      </c>
      <c r="D558" s="31">
        <v>22.95</v>
      </c>
      <c r="E558" s="31">
        <v>2180.25</v>
      </c>
      <c r="F558">
        <f>VLOOKUP(RevenueTableAnswer[[#This Row],[Units Sold]],DiscountTableAnswer[],2)</f>
        <v>0.375</v>
      </c>
      <c r="G558">
        <f>ROUND((1-RevenueTableAnswer[[#This Row],[Discount on Total Revenue]])*RevenueTableAnswer[[#This Row],[Total Revenue]],2)</f>
        <v>1362.66</v>
      </c>
    </row>
    <row r="559" spans="1:7">
      <c r="A559" s="30">
        <v>43045</v>
      </c>
      <c r="B559" t="s">
        <v>24</v>
      </c>
      <c r="C559">
        <v>142</v>
      </c>
      <c r="D559" s="31">
        <v>14.95</v>
      </c>
      <c r="E559" s="31">
        <v>2122.9</v>
      </c>
      <c r="F559">
        <f>VLOOKUP(RevenueTableAnswer[[#This Row],[Units Sold]],DiscountTableAnswer[],2)</f>
        <v>0.4375</v>
      </c>
      <c r="G559">
        <f>ROUND((1-RevenueTableAnswer[[#This Row],[Discount on Total Revenue]])*RevenueTableAnswer[[#This Row],[Total Revenue]],2)</f>
        <v>1194.13</v>
      </c>
    </row>
    <row r="560" spans="1:7">
      <c r="A560" s="30">
        <v>43045</v>
      </c>
      <c r="B560" t="s">
        <v>36</v>
      </c>
      <c r="C560">
        <v>60</v>
      </c>
      <c r="D560" s="31">
        <v>21.95</v>
      </c>
      <c r="E560" s="31">
        <v>1317</v>
      </c>
      <c r="F560">
        <f>VLOOKUP(RevenueTableAnswer[[#This Row],[Units Sold]],DiscountTableAnswer[],2)</f>
        <v>0.375</v>
      </c>
      <c r="G560">
        <f>ROUND((1-RevenueTableAnswer[[#This Row],[Discount on Total Revenue]])*RevenueTableAnswer[[#This Row],[Total Revenue]],2)</f>
        <v>823.13</v>
      </c>
    </row>
    <row r="561" spans="1:7">
      <c r="A561" s="30">
        <v>43042</v>
      </c>
      <c r="B561" t="s">
        <v>36</v>
      </c>
      <c r="C561">
        <v>60</v>
      </c>
      <c r="D561" s="31">
        <v>21.95</v>
      </c>
      <c r="E561" s="31">
        <v>1317</v>
      </c>
      <c r="F561">
        <f>VLOOKUP(RevenueTableAnswer[[#This Row],[Units Sold]],DiscountTableAnswer[],2)</f>
        <v>0.375</v>
      </c>
      <c r="G561">
        <f>ROUND((1-RevenueTableAnswer[[#This Row],[Discount on Total Revenue]])*RevenueTableAnswer[[#This Row],[Total Revenue]],2)</f>
        <v>823.13</v>
      </c>
    </row>
    <row r="562" spans="1:7">
      <c r="A562" s="30">
        <v>43042</v>
      </c>
      <c r="B562" t="s">
        <v>24</v>
      </c>
      <c r="C562">
        <v>108</v>
      </c>
      <c r="D562" s="31">
        <v>14.95</v>
      </c>
      <c r="E562" s="31">
        <v>1614.6</v>
      </c>
      <c r="F562">
        <f>VLOOKUP(RevenueTableAnswer[[#This Row],[Units Sold]],DiscountTableAnswer[],2)</f>
        <v>0.4375</v>
      </c>
      <c r="G562">
        <f>ROUND((1-RevenueTableAnswer[[#This Row],[Discount on Total Revenue]])*RevenueTableAnswer[[#This Row],[Total Revenue]],2)</f>
        <v>908.21</v>
      </c>
    </row>
    <row r="563" spans="1:7">
      <c r="A563" s="30">
        <v>43041</v>
      </c>
      <c r="B563" t="s">
        <v>26</v>
      </c>
      <c r="C563">
        <v>61</v>
      </c>
      <c r="D563" s="31">
        <v>43.95</v>
      </c>
      <c r="E563" s="31">
        <v>2680.95</v>
      </c>
      <c r="F563">
        <f>VLOOKUP(RevenueTableAnswer[[#This Row],[Units Sold]],DiscountTableAnswer[],2)</f>
        <v>0.375</v>
      </c>
      <c r="G563">
        <f>ROUND((1-RevenueTableAnswer[[#This Row],[Discount on Total Revenue]])*RevenueTableAnswer[[#This Row],[Total Revenue]],2)</f>
        <v>1675.59</v>
      </c>
    </row>
    <row r="564" spans="1:7">
      <c r="A564" s="30">
        <v>43043</v>
      </c>
      <c r="B564" t="s">
        <v>37</v>
      </c>
      <c r="C564">
        <v>132</v>
      </c>
      <c r="D564" s="31">
        <v>22.95</v>
      </c>
      <c r="E564" s="31">
        <v>3029.4</v>
      </c>
      <c r="F564">
        <f>VLOOKUP(RevenueTableAnswer[[#This Row],[Units Sold]],DiscountTableAnswer[],2)</f>
        <v>0.4375</v>
      </c>
      <c r="G564">
        <f>ROUND((1-RevenueTableAnswer[[#This Row],[Discount on Total Revenue]])*RevenueTableAnswer[[#This Row],[Total Revenue]],2)</f>
        <v>1704.04</v>
      </c>
    </row>
    <row r="565" spans="1:7">
      <c r="A565" s="30">
        <v>43045</v>
      </c>
      <c r="B565" t="s">
        <v>26</v>
      </c>
      <c r="C565">
        <v>136</v>
      </c>
      <c r="D565" s="31">
        <v>43.95</v>
      </c>
      <c r="E565" s="31">
        <v>5977.2</v>
      </c>
      <c r="F565">
        <f>VLOOKUP(RevenueTableAnswer[[#This Row],[Units Sold]],DiscountTableAnswer[],2)</f>
        <v>0.4375</v>
      </c>
      <c r="G565">
        <f>ROUND((1-RevenueTableAnswer[[#This Row],[Discount on Total Revenue]])*RevenueTableAnswer[[#This Row],[Total Revenue]],2)</f>
        <v>3362.18</v>
      </c>
    </row>
    <row r="566" spans="1:7">
      <c r="A566" s="30">
        <v>43043</v>
      </c>
      <c r="B566" t="s">
        <v>36</v>
      </c>
      <c r="C566">
        <v>75</v>
      </c>
      <c r="D566" s="31">
        <v>21.95</v>
      </c>
      <c r="E566" s="31">
        <v>1646.25</v>
      </c>
      <c r="F566">
        <f>VLOOKUP(RevenueTableAnswer[[#This Row],[Units Sold]],DiscountTableAnswer[],2)</f>
        <v>0.375</v>
      </c>
      <c r="G566">
        <f>ROUND((1-RevenueTableAnswer[[#This Row],[Discount on Total Revenue]])*RevenueTableAnswer[[#This Row],[Total Revenue]],2)</f>
        <v>1028.91</v>
      </c>
    </row>
    <row r="567" spans="1:7">
      <c r="A567" s="30">
        <v>43043</v>
      </c>
      <c r="B567" t="s">
        <v>26</v>
      </c>
      <c r="C567">
        <v>14</v>
      </c>
      <c r="D567" s="31">
        <v>43.95</v>
      </c>
      <c r="E567" s="31">
        <v>615.3</v>
      </c>
      <c r="F567">
        <f>VLOOKUP(RevenueTableAnswer[[#This Row],[Units Sold]],DiscountTableAnswer[],2)</f>
        <v>0.25</v>
      </c>
      <c r="G567">
        <f>ROUND((1-RevenueTableAnswer[[#This Row],[Discount on Total Revenue]])*RevenueTableAnswer[[#This Row],[Total Revenue]],2)</f>
        <v>461.48</v>
      </c>
    </row>
    <row r="568" spans="1:7">
      <c r="A568" s="30">
        <v>43040</v>
      </c>
      <c r="B568" t="s">
        <v>36</v>
      </c>
      <c r="C568">
        <v>19</v>
      </c>
      <c r="D568" s="31">
        <v>21.95</v>
      </c>
      <c r="E568" s="31">
        <v>417.05</v>
      </c>
      <c r="F568">
        <f>VLOOKUP(RevenueTableAnswer[[#This Row],[Units Sold]],DiscountTableAnswer[],2)</f>
        <v>0.25</v>
      </c>
      <c r="G568">
        <f>ROUND((1-RevenueTableAnswer[[#This Row],[Discount on Total Revenue]])*RevenueTableAnswer[[#This Row],[Total Revenue]],2)</f>
        <v>312.79</v>
      </c>
    </row>
    <row r="569" spans="1:7">
      <c r="A569" s="30">
        <v>43047</v>
      </c>
      <c r="B569" t="s">
        <v>24</v>
      </c>
      <c r="C569">
        <v>40</v>
      </c>
      <c r="D569" s="31">
        <v>14.95</v>
      </c>
      <c r="E569" s="31">
        <v>598</v>
      </c>
      <c r="F569">
        <f>VLOOKUP(RevenueTableAnswer[[#This Row],[Units Sold]],DiscountTableAnswer[],2)</f>
        <v>0.25</v>
      </c>
      <c r="G569">
        <f>ROUND((1-RevenueTableAnswer[[#This Row],[Discount on Total Revenue]])*RevenueTableAnswer[[#This Row],[Total Revenue]],2)</f>
        <v>448.5</v>
      </c>
    </row>
    <row r="570" spans="1:7">
      <c r="A570" s="30">
        <v>43045</v>
      </c>
      <c r="B570" t="s">
        <v>24</v>
      </c>
      <c r="C570">
        <v>54</v>
      </c>
      <c r="D570" s="31">
        <v>14.95</v>
      </c>
      <c r="E570" s="31">
        <v>807.3</v>
      </c>
      <c r="F570">
        <f>VLOOKUP(RevenueTableAnswer[[#This Row],[Units Sold]],DiscountTableAnswer[],2)</f>
        <v>0.375</v>
      </c>
      <c r="G570">
        <f>ROUND((1-RevenueTableAnswer[[#This Row],[Discount on Total Revenue]])*RevenueTableAnswer[[#This Row],[Total Revenue]],2)</f>
        <v>504.56</v>
      </c>
    </row>
    <row r="571" spans="1:7">
      <c r="A571" s="30">
        <v>43041</v>
      </c>
      <c r="B571" t="s">
        <v>24</v>
      </c>
      <c r="C571">
        <v>11</v>
      </c>
      <c r="D571" s="31">
        <v>14.95</v>
      </c>
      <c r="E571" s="31">
        <v>164.45</v>
      </c>
      <c r="F571">
        <f>VLOOKUP(RevenueTableAnswer[[#This Row],[Units Sold]],DiscountTableAnswer[],2)</f>
        <v>0</v>
      </c>
      <c r="G571">
        <f>ROUND((1-RevenueTableAnswer[[#This Row],[Discount on Total Revenue]])*RevenueTableAnswer[[#This Row],[Total Revenue]],2)</f>
        <v>164.45</v>
      </c>
    </row>
    <row r="572" spans="1:7">
      <c r="A572" s="30">
        <v>43044</v>
      </c>
      <c r="B572" t="s">
        <v>37</v>
      </c>
      <c r="C572">
        <v>49</v>
      </c>
      <c r="D572" s="31">
        <v>22.95</v>
      </c>
      <c r="E572" s="31">
        <v>1124.55</v>
      </c>
      <c r="F572">
        <f>VLOOKUP(RevenueTableAnswer[[#This Row],[Units Sold]],DiscountTableAnswer[],2)</f>
        <v>0.375</v>
      </c>
      <c r="G572">
        <f>ROUND((1-RevenueTableAnswer[[#This Row],[Discount on Total Revenue]])*RevenueTableAnswer[[#This Row],[Total Revenue]],2)</f>
        <v>702.84</v>
      </c>
    </row>
    <row r="573" spans="1:7">
      <c r="A573" s="30">
        <v>43046</v>
      </c>
      <c r="B573" t="s">
        <v>36</v>
      </c>
      <c r="C573">
        <v>146</v>
      </c>
      <c r="D573" s="31">
        <v>21.95</v>
      </c>
      <c r="E573" s="31">
        <v>3204.7</v>
      </c>
      <c r="F573">
        <f>VLOOKUP(RevenueTableAnswer[[#This Row],[Units Sold]],DiscountTableAnswer[],2)</f>
        <v>0.5</v>
      </c>
      <c r="G573">
        <f>ROUND((1-RevenueTableAnswer[[#This Row],[Discount on Total Revenue]])*RevenueTableAnswer[[#This Row],[Total Revenue]],2)</f>
        <v>1602.35</v>
      </c>
    </row>
    <row r="574" spans="1:7">
      <c r="A574" s="30">
        <v>43045</v>
      </c>
      <c r="B574" t="s">
        <v>24</v>
      </c>
      <c r="C574">
        <v>162</v>
      </c>
      <c r="D574" s="31">
        <v>14.95</v>
      </c>
      <c r="E574" s="31">
        <v>2421.9</v>
      </c>
      <c r="F574">
        <f>VLOOKUP(RevenueTableAnswer[[#This Row],[Units Sold]],DiscountTableAnswer[],2)</f>
        <v>0.5</v>
      </c>
      <c r="G574">
        <f>ROUND((1-RevenueTableAnswer[[#This Row],[Discount on Total Revenue]])*RevenueTableAnswer[[#This Row],[Total Revenue]],2)</f>
        <v>1210.95</v>
      </c>
    </row>
    <row r="575" spans="1:7">
      <c r="A575" s="30">
        <v>43040</v>
      </c>
      <c r="B575" t="s">
        <v>24</v>
      </c>
      <c r="C575">
        <v>179</v>
      </c>
      <c r="D575" s="31">
        <v>14.95</v>
      </c>
      <c r="E575" s="31">
        <v>2676.05</v>
      </c>
      <c r="F575">
        <f>VLOOKUP(RevenueTableAnswer[[#This Row],[Units Sold]],DiscountTableAnswer[],2)</f>
        <v>0.55</v>
      </c>
      <c r="G575">
        <f>ROUND((1-RevenueTableAnswer[[#This Row],[Discount on Total Revenue]])*RevenueTableAnswer[[#This Row],[Total Revenue]],2)</f>
        <v>1204.22</v>
      </c>
    </row>
    <row r="576" spans="1:7">
      <c r="A576" s="30">
        <v>43047</v>
      </c>
      <c r="B576" t="s">
        <v>36</v>
      </c>
      <c r="C576">
        <v>88</v>
      </c>
      <c r="D576" s="31">
        <v>21.95</v>
      </c>
      <c r="E576" s="31">
        <v>1931.6</v>
      </c>
      <c r="F576">
        <f>VLOOKUP(RevenueTableAnswer[[#This Row],[Units Sold]],DiscountTableAnswer[],2)</f>
        <v>0.375</v>
      </c>
      <c r="G576">
        <f>ROUND((1-RevenueTableAnswer[[#This Row],[Discount on Total Revenue]])*RevenueTableAnswer[[#This Row],[Total Revenue]],2)</f>
        <v>1207.25</v>
      </c>
    </row>
    <row r="577" spans="1:7">
      <c r="A577" s="30">
        <v>43040</v>
      </c>
      <c r="B577" t="s">
        <v>36</v>
      </c>
      <c r="C577">
        <v>104</v>
      </c>
      <c r="D577" s="31">
        <v>21.95</v>
      </c>
      <c r="E577" s="31">
        <v>2282.8</v>
      </c>
      <c r="F577">
        <f>VLOOKUP(RevenueTableAnswer[[#This Row],[Units Sold]],DiscountTableAnswer[],2)</f>
        <v>0.4375</v>
      </c>
      <c r="G577">
        <f>ROUND((1-RevenueTableAnswer[[#This Row],[Discount on Total Revenue]])*RevenueTableAnswer[[#This Row],[Total Revenue]],2)</f>
        <v>1284.08</v>
      </c>
    </row>
    <row r="578" spans="1:7">
      <c r="A578" s="30">
        <v>43043</v>
      </c>
      <c r="B578" t="s">
        <v>24</v>
      </c>
      <c r="C578">
        <v>56</v>
      </c>
      <c r="D578" s="31">
        <v>14.95</v>
      </c>
      <c r="E578" s="31">
        <v>837.2</v>
      </c>
      <c r="F578">
        <f>VLOOKUP(RevenueTableAnswer[[#This Row],[Units Sold]],DiscountTableAnswer[],2)</f>
        <v>0.375</v>
      </c>
      <c r="G578">
        <f>ROUND((1-RevenueTableAnswer[[#This Row],[Discount on Total Revenue]])*RevenueTableAnswer[[#This Row],[Total Revenue]],2)</f>
        <v>523.25</v>
      </c>
    </row>
    <row r="579" spans="1:7">
      <c r="A579" s="30">
        <v>43043</v>
      </c>
      <c r="B579" t="s">
        <v>36</v>
      </c>
      <c r="C579">
        <v>179</v>
      </c>
      <c r="D579" s="31">
        <v>21.95</v>
      </c>
      <c r="E579" s="31">
        <v>3929.05</v>
      </c>
      <c r="F579">
        <f>VLOOKUP(RevenueTableAnswer[[#This Row],[Units Sold]],DiscountTableAnswer[],2)</f>
        <v>0.55</v>
      </c>
      <c r="G579">
        <f>ROUND((1-RevenueTableAnswer[[#This Row],[Discount on Total Revenue]])*RevenueTableAnswer[[#This Row],[Total Revenue]],2)</f>
        <v>1768.07</v>
      </c>
    </row>
    <row r="580" spans="1:7">
      <c r="A580" s="30">
        <v>43045</v>
      </c>
      <c r="B580" t="s">
        <v>24</v>
      </c>
      <c r="C580">
        <v>177</v>
      </c>
      <c r="D580" s="31">
        <v>14.95</v>
      </c>
      <c r="E580" s="31">
        <v>2646.15</v>
      </c>
      <c r="F580">
        <f>VLOOKUP(RevenueTableAnswer[[#This Row],[Units Sold]],DiscountTableAnswer[],2)</f>
        <v>0.55</v>
      </c>
      <c r="G580">
        <f>ROUND((1-RevenueTableAnswer[[#This Row],[Discount on Total Revenue]])*RevenueTableAnswer[[#This Row],[Total Revenue]],2)</f>
        <v>1190.77</v>
      </c>
    </row>
    <row r="581" spans="1:7">
      <c r="A581" s="30">
        <v>43046</v>
      </c>
      <c r="B581" t="s">
        <v>36</v>
      </c>
      <c r="C581">
        <v>64</v>
      </c>
      <c r="D581" s="31">
        <v>21.95</v>
      </c>
      <c r="E581" s="31">
        <v>1404.8</v>
      </c>
      <c r="F581">
        <f>VLOOKUP(RevenueTableAnswer[[#This Row],[Units Sold]],DiscountTableAnswer[],2)</f>
        <v>0.375</v>
      </c>
      <c r="G581">
        <f>ROUND((1-RevenueTableAnswer[[#This Row],[Discount on Total Revenue]])*RevenueTableAnswer[[#This Row],[Total Revenue]],2)</f>
        <v>878</v>
      </c>
    </row>
    <row r="582" spans="1:7">
      <c r="A582" s="30">
        <v>43040</v>
      </c>
      <c r="B582" t="s">
        <v>26</v>
      </c>
      <c r="C582">
        <v>172</v>
      </c>
      <c r="D582" s="31">
        <v>43.95</v>
      </c>
      <c r="E582" s="31">
        <v>7559.4</v>
      </c>
      <c r="F582">
        <f>VLOOKUP(RevenueTableAnswer[[#This Row],[Units Sold]],DiscountTableAnswer[],2)</f>
        <v>0.55</v>
      </c>
      <c r="G582">
        <f>ROUND((1-RevenueTableAnswer[[#This Row],[Discount on Total Revenue]])*RevenueTableAnswer[[#This Row],[Total Revenue]],2)</f>
        <v>3401.73</v>
      </c>
    </row>
    <row r="583" spans="1:7">
      <c r="A583" s="30">
        <v>43044</v>
      </c>
      <c r="B583" t="s">
        <v>24</v>
      </c>
      <c r="C583">
        <v>98</v>
      </c>
      <c r="D583" s="31">
        <v>14.95</v>
      </c>
      <c r="E583" s="31">
        <v>1465.1</v>
      </c>
      <c r="F583">
        <f>VLOOKUP(RevenueTableAnswer[[#This Row],[Units Sold]],DiscountTableAnswer[],2)</f>
        <v>0.4375</v>
      </c>
      <c r="G583">
        <f>ROUND((1-RevenueTableAnswer[[#This Row],[Discount on Total Revenue]])*RevenueTableAnswer[[#This Row],[Total Revenue]],2)</f>
        <v>824.12</v>
      </c>
    </row>
    <row r="584" spans="1:7">
      <c r="A584" s="30">
        <v>43046</v>
      </c>
      <c r="B584" t="s">
        <v>36</v>
      </c>
      <c r="C584">
        <v>131</v>
      </c>
      <c r="D584" s="31">
        <v>21.95</v>
      </c>
      <c r="E584" s="31">
        <v>2875.45</v>
      </c>
      <c r="F584">
        <f>VLOOKUP(RevenueTableAnswer[[#This Row],[Units Sold]],DiscountTableAnswer[],2)</f>
        <v>0.4375</v>
      </c>
      <c r="G584">
        <f>ROUND((1-RevenueTableAnswer[[#This Row],[Discount on Total Revenue]])*RevenueTableAnswer[[#This Row],[Total Revenue]],2)</f>
        <v>1617.44</v>
      </c>
    </row>
    <row r="585" spans="1:7">
      <c r="A585" s="30">
        <v>43043</v>
      </c>
      <c r="B585" t="s">
        <v>36</v>
      </c>
      <c r="C585">
        <v>73</v>
      </c>
      <c r="D585" s="31">
        <v>21.95</v>
      </c>
      <c r="E585" s="31">
        <v>1602.35</v>
      </c>
      <c r="F585">
        <f>VLOOKUP(RevenueTableAnswer[[#This Row],[Units Sold]],DiscountTableAnswer[],2)</f>
        <v>0.375</v>
      </c>
      <c r="G585">
        <f>ROUND((1-RevenueTableAnswer[[#This Row],[Discount on Total Revenue]])*RevenueTableAnswer[[#This Row],[Total Revenue]],2)</f>
        <v>1001.47</v>
      </c>
    </row>
    <row r="586" spans="1:7">
      <c r="A586" s="30">
        <v>43044</v>
      </c>
      <c r="B586" t="s">
        <v>26</v>
      </c>
      <c r="C586">
        <v>168</v>
      </c>
      <c r="D586" s="31">
        <v>43.95</v>
      </c>
      <c r="E586" s="31">
        <v>7383.6</v>
      </c>
      <c r="F586">
        <f>VLOOKUP(RevenueTableAnswer[[#This Row],[Units Sold]],DiscountTableAnswer[],2)</f>
        <v>0.55</v>
      </c>
      <c r="G586">
        <f>ROUND((1-RevenueTableAnswer[[#This Row],[Discount on Total Revenue]])*RevenueTableAnswer[[#This Row],[Total Revenue]],2)</f>
        <v>3322.62</v>
      </c>
    </row>
    <row r="587" spans="1:7">
      <c r="A587" s="30">
        <v>43044</v>
      </c>
      <c r="B587" t="s">
        <v>24</v>
      </c>
      <c r="C587">
        <v>44</v>
      </c>
      <c r="D587" s="31">
        <v>14.95</v>
      </c>
      <c r="E587" s="31">
        <v>657.8</v>
      </c>
      <c r="F587">
        <f>VLOOKUP(RevenueTableAnswer[[#This Row],[Units Sold]],DiscountTableAnswer[],2)</f>
        <v>0.25</v>
      </c>
      <c r="G587">
        <f>ROUND((1-RevenueTableAnswer[[#This Row],[Discount on Total Revenue]])*RevenueTableAnswer[[#This Row],[Total Revenue]],2)</f>
        <v>493.35</v>
      </c>
    </row>
    <row r="588" spans="1:7">
      <c r="A588" s="30">
        <v>43045</v>
      </c>
      <c r="B588" t="s">
        <v>24</v>
      </c>
      <c r="C588">
        <v>163</v>
      </c>
      <c r="D588" s="31">
        <v>14.95</v>
      </c>
      <c r="E588" s="31">
        <v>2436.85</v>
      </c>
      <c r="F588">
        <f>VLOOKUP(RevenueTableAnswer[[#This Row],[Units Sold]],DiscountTableAnswer[],2)</f>
        <v>0.5</v>
      </c>
      <c r="G588">
        <f>ROUND((1-RevenueTableAnswer[[#This Row],[Discount on Total Revenue]])*RevenueTableAnswer[[#This Row],[Total Revenue]],2)</f>
        <v>1218.43</v>
      </c>
    </row>
    <row r="589" spans="1:7">
      <c r="A589" s="30">
        <v>43043</v>
      </c>
      <c r="B589" t="s">
        <v>24</v>
      </c>
      <c r="C589">
        <v>87</v>
      </c>
      <c r="D589" s="31">
        <v>14.95</v>
      </c>
      <c r="E589" s="31">
        <v>1300.65</v>
      </c>
      <c r="F589">
        <f>VLOOKUP(RevenueTableAnswer[[#This Row],[Units Sold]],DiscountTableAnswer[],2)</f>
        <v>0.375</v>
      </c>
      <c r="G589">
        <f>ROUND((1-RevenueTableAnswer[[#This Row],[Discount on Total Revenue]])*RevenueTableAnswer[[#This Row],[Total Revenue]],2)</f>
        <v>812.91</v>
      </c>
    </row>
    <row r="590" spans="1:7">
      <c r="A590" s="30">
        <v>43043</v>
      </c>
      <c r="B590" t="s">
        <v>36</v>
      </c>
      <c r="C590">
        <v>47</v>
      </c>
      <c r="D590" s="31">
        <v>21.95</v>
      </c>
      <c r="E590" s="31">
        <v>1031.65</v>
      </c>
      <c r="F590">
        <f>VLOOKUP(RevenueTableAnswer[[#This Row],[Units Sold]],DiscountTableAnswer[],2)</f>
        <v>0.25</v>
      </c>
      <c r="G590">
        <f>ROUND((1-RevenueTableAnswer[[#This Row],[Discount on Total Revenue]])*RevenueTableAnswer[[#This Row],[Total Revenue]],2)</f>
        <v>773.74</v>
      </c>
    </row>
    <row r="591" spans="1:7">
      <c r="A591" s="30">
        <v>43046</v>
      </c>
      <c r="B591" t="s">
        <v>24</v>
      </c>
      <c r="C591">
        <v>131</v>
      </c>
      <c r="D591" s="31">
        <v>14.95</v>
      </c>
      <c r="E591" s="31">
        <v>1958.45</v>
      </c>
      <c r="F591">
        <f>VLOOKUP(RevenueTableAnswer[[#This Row],[Units Sold]],DiscountTableAnswer[],2)</f>
        <v>0.4375</v>
      </c>
      <c r="G591">
        <f>ROUND((1-RevenueTableAnswer[[#This Row],[Discount on Total Revenue]])*RevenueTableAnswer[[#This Row],[Total Revenue]],2)</f>
        <v>1101.63</v>
      </c>
    </row>
    <row r="592" spans="1:7">
      <c r="A592" s="30">
        <v>43045</v>
      </c>
      <c r="B592" t="s">
        <v>24</v>
      </c>
      <c r="C592">
        <v>146</v>
      </c>
      <c r="D592" s="31">
        <v>14.95</v>
      </c>
      <c r="E592" s="31">
        <v>2182.7</v>
      </c>
      <c r="F592">
        <f>VLOOKUP(RevenueTableAnswer[[#This Row],[Units Sold]],DiscountTableAnswer[],2)</f>
        <v>0.5</v>
      </c>
      <c r="G592">
        <f>ROUND((1-RevenueTableAnswer[[#This Row],[Discount on Total Revenue]])*RevenueTableAnswer[[#This Row],[Total Revenue]],2)</f>
        <v>1091.35</v>
      </c>
    </row>
    <row r="593" spans="1:7">
      <c r="A593" s="30">
        <v>43042</v>
      </c>
      <c r="B593" t="s">
        <v>26</v>
      </c>
      <c r="C593">
        <v>82</v>
      </c>
      <c r="D593" s="31">
        <v>43.95</v>
      </c>
      <c r="E593" s="31">
        <v>3603.9</v>
      </c>
      <c r="F593">
        <f>VLOOKUP(RevenueTableAnswer[[#This Row],[Units Sold]],DiscountTableAnswer[],2)</f>
        <v>0.375</v>
      </c>
      <c r="G593">
        <f>ROUND((1-RevenueTableAnswer[[#This Row],[Discount on Total Revenue]])*RevenueTableAnswer[[#This Row],[Total Revenue]],2)</f>
        <v>2252.44</v>
      </c>
    </row>
    <row r="594" spans="1:7">
      <c r="A594" s="30">
        <v>43044</v>
      </c>
      <c r="B594" t="s">
        <v>36</v>
      </c>
      <c r="C594">
        <v>129</v>
      </c>
      <c r="D594" s="31">
        <v>21.95</v>
      </c>
      <c r="E594" s="31">
        <v>2831.55</v>
      </c>
      <c r="F594">
        <f>VLOOKUP(RevenueTableAnswer[[#This Row],[Units Sold]],DiscountTableAnswer[],2)</f>
        <v>0.4375</v>
      </c>
      <c r="G594">
        <f>ROUND((1-RevenueTableAnswer[[#This Row],[Discount on Total Revenue]])*RevenueTableAnswer[[#This Row],[Total Revenue]],2)</f>
        <v>1592.75</v>
      </c>
    </row>
    <row r="595" spans="1:7">
      <c r="A595" s="30">
        <v>43045</v>
      </c>
      <c r="B595" t="s">
        <v>37</v>
      </c>
      <c r="C595">
        <v>171</v>
      </c>
      <c r="D595" s="31">
        <v>22.95</v>
      </c>
      <c r="E595" s="31">
        <v>3924.45</v>
      </c>
      <c r="F595">
        <f>VLOOKUP(RevenueTableAnswer[[#This Row],[Units Sold]],DiscountTableAnswer[],2)</f>
        <v>0.55</v>
      </c>
      <c r="G595">
        <f>ROUND((1-RevenueTableAnswer[[#This Row],[Discount on Total Revenue]])*RevenueTableAnswer[[#This Row],[Total Revenue]],2)</f>
        <v>1766</v>
      </c>
    </row>
    <row r="596" spans="1:7">
      <c r="A596" s="30">
        <v>43042</v>
      </c>
      <c r="B596" t="s">
        <v>24</v>
      </c>
      <c r="C596">
        <v>18</v>
      </c>
      <c r="D596" s="31">
        <v>14.95</v>
      </c>
      <c r="E596" s="31">
        <v>269.1</v>
      </c>
      <c r="F596">
        <f>VLOOKUP(RevenueTableAnswer[[#This Row],[Units Sold]],DiscountTableAnswer[],2)</f>
        <v>0.25</v>
      </c>
      <c r="G596">
        <f>ROUND((1-RevenueTableAnswer[[#This Row],[Discount on Total Revenue]])*RevenueTableAnswer[[#This Row],[Total Revenue]],2)</f>
        <v>201.83</v>
      </c>
    </row>
    <row r="597" spans="1:7">
      <c r="A597" s="30">
        <v>43043</v>
      </c>
      <c r="B597" t="s">
        <v>24</v>
      </c>
      <c r="C597">
        <v>54</v>
      </c>
      <c r="D597" s="31">
        <v>14.95</v>
      </c>
      <c r="E597" s="31">
        <v>807.3</v>
      </c>
      <c r="F597">
        <f>VLOOKUP(RevenueTableAnswer[[#This Row],[Units Sold]],DiscountTableAnswer[],2)</f>
        <v>0.375</v>
      </c>
      <c r="G597">
        <f>ROUND((1-RevenueTableAnswer[[#This Row],[Discount on Total Revenue]])*RevenueTableAnswer[[#This Row],[Total Revenue]],2)</f>
        <v>504.56</v>
      </c>
    </row>
    <row r="598" spans="1:7">
      <c r="A598" s="30">
        <v>43043</v>
      </c>
      <c r="B598" t="s">
        <v>36</v>
      </c>
      <c r="C598">
        <v>185</v>
      </c>
      <c r="D598" s="31">
        <v>21.95</v>
      </c>
      <c r="E598" s="31">
        <v>4060.75</v>
      </c>
      <c r="F598">
        <f>VLOOKUP(RevenueTableAnswer[[#This Row],[Units Sold]],DiscountTableAnswer[],2)</f>
        <v>0.55</v>
      </c>
      <c r="G598">
        <f>ROUND((1-RevenueTableAnswer[[#This Row],[Discount on Total Revenue]])*RevenueTableAnswer[[#This Row],[Total Revenue]],2)</f>
        <v>1827.34</v>
      </c>
    </row>
    <row r="599" spans="1:7">
      <c r="A599" s="30">
        <v>43040</v>
      </c>
      <c r="B599" t="s">
        <v>37</v>
      </c>
      <c r="C599">
        <v>85</v>
      </c>
      <c r="D599" s="31">
        <v>22.95</v>
      </c>
      <c r="E599" s="31">
        <v>1950.75</v>
      </c>
      <c r="F599">
        <f>VLOOKUP(RevenueTableAnswer[[#This Row],[Units Sold]],DiscountTableAnswer[],2)</f>
        <v>0.375</v>
      </c>
      <c r="G599">
        <f>ROUND((1-RevenueTableAnswer[[#This Row],[Discount on Total Revenue]])*RevenueTableAnswer[[#This Row],[Total Revenue]],2)</f>
        <v>1219.22</v>
      </c>
    </row>
    <row r="600" spans="1:7">
      <c r="A600" s="30">
        <v>43045</v>
      </c>
      <c r="B600" t="s">
        <v>37</v>
      </c>
      <c r="C600">
        <v>106</v>
      </c>
      <c r="D600" s="31">
        <v>22.95</v>
      </c>
      <c r="E600" s="31">
        <v>2432.7</v>
      </c>
      <c r="F600">
        <f>VLOOKUP(RevenueTableAnswer[[#This Row],[Units Sold]],DiscountTableAnswer[],2)</f>
        <v>0.4375</v>
      </c>
      <c r="G600">
        <f>ROUND((1-RevenueTableAnswer[[#This Row],[Discount on Total Revenue]])*RevenueTableAnswer[[#This Row],[Total Revenue]],2)</f>
        <v>1368.39</v>
      </c>
    </row>
    <row r="601" spans="1:7">
      <c r="A601" s="30">
        <v>43047</v>
      </c>
      <c r="B601" t="s">
        <v>26</v>
      </c>
      <c r="C601">
        <v>136</v>
      </c>
      <c r="D601" s="31">
        <v>43.95</v>
      </c>
      <c r="E601" s="31">
        <v>5977.2</v>
      </c>
      <c r="F601">
        <f>VLOOKUP(RevenueTableAnswer[[#This Row],[Units Sold]],DiscountTableAnswer[],2)</f>
        <v>0.4375</v>
      </c>
      <c r="G601">
        <f>ROUND((1-RevenueTableAnswer[[#This Row],[Discount on Total Revenue]])*RevenueTableAnswer[[#This Row],[Total Revenue]],2)</f>
        <v>3362.18</v>
      </c>
    </row>
    <row r="602" spans="1:7">
      <c r="A602" s="30">
        <v>43043</v>
      </c>
      <c r="B602" t="s">
        <v>26</v>
      </c>
      <c r="C602">
        <v>96</v>
      </c>
      <c r="D602" s="31">
        <v>43.95</v>
      </c>
      <c r="E602" s="31">
        <v>4219.2</v>
      </c>
      <c r="F602">
        <f>VLOOKUP(RevenueTableAnswer[[#This Row],[Units Sold]],DiscountTableAnswer[],2)</f>
        <v>0.4375</v>
      </c>
      <c r="G602">
        <f>ROUND((1-RevenueTableAnswer[[#This Row],[Discount on Total Revenue]])*RevenueTableAnswer[[#This Row],[Total Revenue]],2)</f>
        <v>2373.3</v>
      </c>
    </row>
    <row r="603" spans="1:7">
      <c r="A603" s="30">
        <v>43043</v>
      </c>
      <c r="B603" t="s">
        <v>37</v>
      </c>
      <c r="C603">
        <v>45</v>
      </c>
      <c r="D603" s="31">
        <v>22.95</v>
      </c>
      <c r="E603" s="31">
        <v>1032.75</v>
      </c>
      <c r="F603">
        <f>VLOOKUP(RevenueTableAnswer[[#This Row],[Units Sold]],DiscountTableAnswer[],2)</f>
        <v>0.25</v>
      </c>
      <c r="G603">
        <f>ROUND((1-RevenueTableAnswer[[#This Row],[Discount on Total Revenue]])*RevenueTableAnswer[[#This Row],[Total Revenue]],2)</f>
        <v>774.56</v>
      </c>
    </row>
    <row r="604" spans="1:7">
      <c r="A604" s="30">
        <v>43044</v>
      </c>
      <c r="B604" t="s">
        <v>24</v>
      </c>
      <c r="C604">
        <v>190</v>
      </c>
      <c r="D604" s="31">
        <v>14.95</v>
      </c>
      <c r="E604" s="31">
        <v>2840.5</v>
      </c>
      <c r="F604">
        <f>VLOOKUP(RevenueTableAnswer[[#This Row],[Units Sold]],DiscountTableAnswer[],2)</f>
        <v>0.55</v>
      </c>
      <c r="G604">
        <f>ROUND((1-RevenueTableAnswer[[#This Row],[Discount on Total Revenue]])*RevenueTableAnswer[[#This Row],[Total Revenue]],2)</f>
        <v>1278.23</v>
      </c>
    </row>
    <row r="605" spans="1:7">
      <c r="A605" s="30">
        <v>43042</v>
      </c>
      <c r="B605" t="s">
        <v>36</v>
      </c>
      <c r="C605">
        <v>129</v>
      </c>
      <c r="D605" s="31">
        <v>21.95</v>
      </c>
      <c r="E605" s="31">
        <v>2831.55</v>
      </c>
      <c r="F605">
        <f>VLOOKUP(RevenueTableAnswer[[#This Row],[Units Sold]],DiscountTableAnswer[],2)</f>
        <v>0.4375</v>
      </c>
      <c r="G605">
        <f>ROUND((1-RevenueTableAnswer[[#This Row],[Discount on Total Revenue]])*RevenueTableAnswer[[#This Row],[Total Revenue]],2)</f>
        <v>1592.75</v>
      </c>
    </row>
    <row r="606" spans="1:7">
      <c r="A606" s="30">
        <v>43043</v>
      </c>
      <c r="B606" t="s">
        <v>37</v>
      </c>
      <c r="C606">
        <v>140</v>
      </c>
      <c r="D606" s="31">
        <v>22.95</v>
      </c>
      <c r="E606" s="31">
        <v>3213</v>
      </c>
      <c r="F606">
        <f>VLOOKUP(RevenueTableAnswer[[#This Row],[Units Sold]],DiscountTableAnswer[],2)</f>
        <v>0.4375</v>
      </c>
      <c r="G606">
        <f>ROUND((1-RevenueTableAnswer[[#This Row],[Discount on Total Revenue]])*RevenueTableAnswer[[#This Row],[Total Revenue]],2)</f>
        <v>1807.31</v>
      </c>
    </row>
    <row r="607" spans="1:7">
      <c r="A607" s="30">
        <v>43047</v>
      </c>
      <c r="B607" t="s">
        <v>36</v>
      </c>
      <c r="C607">
        <v>19</v>
      </c>
      <c r="D607" s="31">
        <v>21.95</v>
      </c>
      <c r="E607" s="31">
        <v>417.05</v>
      </c>
      <c r="F607">
        <f>VLOOKUP(RevenueTableAnswer[[#This Row],[Units Sold]],DiscountTableAnswer[],2)</f>
        <v>0.25</v>
      </c>
      <c r="G607">
        <f>ROUND((1-RevenueTableAnswer[[#This Row],[Discount on Total Revenue]])*RevenueTableAnswer[[#This Row],[Total Revenue]],2)</f>
        <v>312.79</v>
      </c>
    </row>
    <row r="608" spans="1:7">
      <c r="A608" s="30">
        <v>43046</v>
      </c>
      <c r="B608" t="s">
        <v>37</v>
      </c>
      <c r="C608">
        <v>88</v>
      </c>
      <c r="D608" s="31">
        <v>22.95</v>
      </c>
      <c r="E608" s="31">
        <v>2019.6</v>
      </c>
      <c r="F608">
        <f>VLOOKUP(RevenueTableAnswer[[#This Row],[Units Sold]],DiscountTableAnswer[],2)</f>
        <v>0.375</v>
      </c>
      <c r="G608">
        <f>ROUND((1-RevenueTableAnswer[[#This Row],[Discount on Total Revenue]])*RevenueTableAnswer[[#This Row],[Total Revenue]],2)</f>
        <v>1262.25</v>
      </c>
    </row>
    <row r="609" spans="1:7">
      <c r="A609" s="30">
        <v>43040</v>
      </c>
      <c r="B609" t="s">
        <v>36</v>
      </c>
      <c r="C609">
        <v>132</v>
      </c>
      <c r="D609" s="31">
        <v>21.95</v>
      </c>
      <c r="E609" s="31">
        <v>2897.4</v>
      </c>
      <c r="F609">
        <f>VLOOKUP(RevenueTableAnswer[[#This Row],[Units Sold]],DiscountTableAnswer[],2)</f>
        <v>0.4375</v>
      </c>
      <c r="G609">
        <f>ROUND((1-RevenueTableAnswer[[#This Row],[Discount on Total Revenue]])*RevenueTableAnswer[[#This Row],[Total Revenue]],2)</f>
        <v>1629.79</v>
      </c>
    </row>
    <row r="610" spans="1:7">
      <c r="A610" s="30">
        <v>43040</v>
      </c>
      <c r="B610" t="s">
        <v>26</v>
      </c>
      <c r="C610">
        <v>38</v>
      </c>
      <c r="D610" s="31">
        <v>43.95</v>
      </c>
      <c r="E610" s="31">
        <v>1670.1</v>
      </c>
      <c r="F610">
        <f>VLOOKUP(RevenueTableAnswer[[#This Row],[Units Sold]],DiscountTableAnswer[],2)</f>
        <v>0.25</v>
      </c>
      <c r="G610">
        <f>ROUND((1-RevenueTableAnswer[[#This Row],[Discount on Total Revenue]])*RevenueTableAnswer[[#This Row],[Total Revenue]],2)</f>
        <v>1252.58</v>
      </c>
    </row>
    <row r="611" spans="1:7">
      <c r="A611" s="30">
        <v>43046</v>
      </c>
      <c r="B611" t="s">
        <v>36</v>
      </c>
      <c r="C611">
        <v>82</v>
      </c>
      <c r="D611" s="31">
        <v>21.95</v>
      </c>
      <c r="E611" s="31">
        <v>1799.9</v>
      </c>
      <c r="F611">
        <f>VLOOKUP(RevenueTableAnswer[[#This Row],[Units Sold]],DiscountTableAnswer[],2)</f>
        <v>0.375</v>
      </c>
      <c r="G611">
        <f>ROUND((1-RevenueTableAnswer[[#This Row],[Discount on Total Revenue]])*RevenueTableAnswer[[#This Row],[Total Revenue]],2)</f>
        <v>1124.94</v>
      </c>
    </row>
    <row r="612" spans="1:7">
      <c r="A612" s="30">
        <v>43047</v>
      </c>
      <c r="B612" t="s">
        <v>26</v>
      </c>
      <c r="C612">
        <v>101</v>
      </c>
      <c r="D612" s="31">
        <v>43.95</v>
      </c>
      <c r="E612" s="31">
        <v>4438.95</v>
      </c>
      <c r="F612">
        <f>VLOOKUP(RevenueTableAnswer[[#This Row],[Units Sold]],DiscountTableAnswer[],2)</f>
        <v>0.4375</v>
      </c>
      <c r="G612">
        <f>ROUND((1-RevenueTableAnswer[[#This Row],[Discount on Total Revenue]])*RevenueTableAnswer[[#This Row],[Total Revenue]],2)</f>
        <v>2496.91</v>
      </c>
    </row>
    <row r="613" spans="1:7">
      <c r="A613" s="30">
        <v>43046</v>
      </c>
      <c r="B613" t="s">
        <v>24</v>
      </c>
      <c r="C613">
        <v>89</v>
      </c>
      <c r="D613" s="31">
        <v>14.95</v>
      </c>
      <c r="E613" s="31">
        <v>1330.55</v>
      </c>
      <c r="F613">
        <f>VLOOKUP(RevenueTableAnswer[[#This Row],[Units Sold]],DiscountTableAnswer[],2)</f>
        <v>0.375</v>
      </c>
      <c r="G613">
        <f>ROUND((1-RevenueTableAnswer[[#This Row],[Discount on Total Revenue]])*RevenueTableAnswer[[#This Row],[Total Revenue]],2)</f>
        <v>831.59</v>
      </c>
    </row>
    <row r="614" spans="1:7">
      <c r="A614" s="30">
        <v>43045</v>
      </c>
      <c r="B614" t="s">
        <v>24</v>
      </c>
      <c r="C614">
        <v>59</v>
      </c>
      <c r="D614" s="31">
        <v>14.95</v>
      </c>
      <c r="E614" s="31">
        <v>882.05</v>
      </c>
      <c r="F614">
        <f>VLOOKUP(RevenueTableAnswer[[#This Row],[Units Sold]],DiscountTableAnswer[],2)</f>
        <v>0.375</v>
      </c>
      <c r="G614">
        <f>ROUND((1-RevenueTableAnswer[[#This Row],[Discount on Total Revenue]])*RevenueTableAnswer[[#This Row],[Total Revenue]],2)</f>
        <v>551.28</v>
      </c>
    </row>
    <row r="615" spans="1:7">
      <c r="A615" s="30">
        <v>43042</v>
      </c>
      <c r="B615" t="s">
        <v>36</v>
      </c>
      <c r="C615">
        <v>135</v>
      </c>
      <c r="D615" s="31">
        <v>21.95</v>
      </c>
      <c r="E615" s="31">
        <v>2963.25</v>
      </c>
      <c r="F615">
        <f>VLOOKUP(RevenueTableAnswer[[#This Row],[Units Sold]],DiscountTableAnswer[],2)</f>
        <v>0.4375</v>
      </c>
      <c r="G615">
        <f>ROUND((1-RevenueTableAnswer[[#This Row],[Discount on Total Revenue]])*RevenueTableAnswer[[#This Row],[Total Revenue]],2)</f>
        <v>1666.83</v>
      </c>
    </row>
    <row r="616" spans="1:7">
      <c r="A616" s="30">
        <v>43046</v>
      </c>
      <c r="B616" t="s">
        <v>26</v>
      </c>
      <c r="C616">
        <v>151</v>
      </c>
      <c r="D616" s="31">
        <v>43.95</v>
      </c>
      <c r="E616" s="31">
        <v>6636.45</v>
      </c>
      <c r="F616">
        <f>VLOOKUP(RevenueTableAnswer[[#This Row],[Units Sold]],DiscountTableAnswer[],2)</f>
        <v>0.5</v>
      </c>
      <c r="G616">
        <f>ROUND((1-RevenueTableAnswer[[#This Row],[Discount on Total Revenue]])*RevenueTableAnswer[[#This Row],[Total Revenue]],2)</f>
        <v>3318.23</v>
      </c>
    </row>
    <row r="617" spans="1:7">
      <c r="A617" s="30">
        <v>43045</v>
      </c>
      <c r="B617" t="s">
        <v>26</v>
      </c>
      <c r="C617">
        <v>143</v>
      </c>
      <c r="D617" s="31">
        <v>43.95</v>
      </c>
      <c r="E617" s="31">
        <v>6284.85</v>
      </c>
      <c r="F617">
        <f>VLOOKUP(RevenueTableAnswer[[#This Row],[Units Sold]],DiscountTableAnswer[],2)</f>
        <v>0.4375</v>
      </c>
      <c r="G617">
        <f>ROUND((1-RevenueTableAnswer[[#This Row],[Discount on Total Revenue]])*RevenueTableAnswer[[#This Row],[Total Revenue]],2)</f>
        <v>3535.23</v>
      </c>
    </row>
    <row r="618" spans="1:7">
      <c r="A618" s="30">
        <v>43044</v>
      </c>
      <c r="B618" t="s">
        <v>24</v>
      </c>
      <c r="C618">
        <v>50</v>
      </c>
      <c r="D618" s="31">
        <v>14.95</v>
      </c>
      <c r="E618" s="31">
        <v>747.5</v>
      </c>
      <c r="F618">
        <f>VLOOKUP(RevenueTableAnswer[[#This Row],[Units Sold]],DiscountTableAnswer[],2)</f>
        <v>0.375</v>
      </c>
      <c r="G618">
        <f>ROUND((1-RevenueTableAnswer[[#This Row],[Discount on Total Revenue]])*RevenueTableAnswer[[#This Row],[Total Revenue]],2)</f>
        <v>467.19</v>
      </c>
    </row>
    <row r="619" spans="1:7">
      <c r="A619" s="30">
        <v>43043</v>
      </c>
      <c r="B619" t="s">
        <v>26</v>
      </c>
      <c r="C619">
        <v>135</v>
      </c>
      <c r="D619" s="31">
        <v>43.95</v>
      </c>
      <c r="E619" s="31">
        <v>5933.25</v>
      </c>
      <c r="F619">
        <f>VLOOKUP(RevenueTableAnswer[[#This Row],[Units Sold]],DiscountTableAnswer[],2)</f>
        <v>0.4375</v>
      </c>
      <c r="G619">
        <f>ROUND((1-RevenueTableAnswer[[#This Row],[Discount on Total Revenue]])*RevenueTableAnswer[[#This Row],[Total Revenue]],2)</f>
        <v>3337.45</v>
      </c>
    </row>
    <row r="620" spans="1:7">
      <c r="A620" s="30">
        <v>43045</v>
      </c>
      <c r="B620" t="s">
        <v>37</v>
      </c>
      <c r="C620">
        <v>64</v>
      </c>
      <c r="D620" s="31">
        <v>22.95</v>
      </c>
      <c r="E620" s="31">
        <v>1468.8</v>
      </c>
      <c r="F620">
        <f>VLOOKUP(RevenueTableAnswer[[#This Row],[Units Sold]],DiscountTableAnswer[],2)</f>
        <v>0.375</v>
      </c>
      <c r="G620">
        <f>ROUND((1-RevenueTableAnswer[[#This Row],[Discount on Total Revenue]])*RevenueTableAnswer[[#This Row],[Total Revenue]],2)</f>
        <v>918</v>
      </c>
    </row>
    <row r="621" spans="1:7">
      <c r="A621" s="30">
        <v>43042</v>
      </c>
      <c r="B621" t="s">
        <v>24</v>
      </c>
      <c r="C621">
        <v>188</v>
      </c>
      <c r="D621" s="31">
        <v>14.95</v>
      </c>
      <c r="E621" s="31">
        <v>2810.6</v>
      </c>
      <c r="F621">
        <f>VLOOKUP(RevenueTableAnswer[[#This Row],[Units Sold]],DiscountTableAnswer[],2)</f>
        <v>0.55</v>
      </c>
      <c r="G621">
        <f>ROUND((1-RevenueTableAnswer[[#This Row],[Discount on Total Revenue]])*RevenueTableAnswer[[#This Row],[Total Revenue]],2)</f>
        <v>1264.77</v>
      </c>
    </row>
    <row r="622" spans="1:7">
      <c r="A622" s="30">
        <v>43045</v>
      </c>
      <c r="B622" t="s">
        <v>37</v>
      </c>
      <c r="C622">
        <v>40</v>
      </c>
      <c r="D622" s="31">
        <v>22.95</v>
      </c>
      <c r="E622" s="31">
        <v>918</v>
      </c>
      <c r="F622">
        <f>VLOOKUP(RevenueTableAnswer[[#This Row],[Units Sold]],DiscountTableAnswer[],2)</f>
        <v>0.25</v>
      </c>
      <c r="G622">
        <f>ROUND((1-RevenueTableAnswer[[#This Row],[Discount on Total Revenue]])*RevenueTableAnswer[[#This Row],[Total Revenue]],2)</f>
        <v>688.5</v>
      </c>
    </row>
    <row r="623" spans="1:7">
      <c r="A623" s="30">
        <v>43042</v>
      </c>
      <c r="B623" t="s">
        <v>36</v>
      </c>
      <c r="C623">
        <v>6</v>
      </c>
      <c r="D623" s="31">
        <v>21.95</v>
      </c>
      <c r="E623" s="31">
        <v>131.7</v>
      </c>
      <c r="F623">
        <f>VLOOKUP(RevenueTableAnswer[[#This Row],[Units Sold]],DiscountTableAnswer[],2)</f>
        <v>0</v>
      </c>
      <c r="G623">
        <f>ROUND((1-RevenueTableAnswer[[#This Row],[Discount on Total Revenue]])*RevenueTableAnswer[[#This Row],[Total Revenue]],2)</f>
        <v>131.7</v>
      </c>
    </row>
    <row r="624" spans="1:7">
      <c r="A624" s="30">
        <v>43041</v>
      </c>
      <c r="B624" t="s">
        <v>24</v>
      </c>
      <c r="C624">
        <v>18</v>
      </c>
      <c r="D624" s="31">
        <v>14.95</v>
      </c>
      <c r="E624" s="31">
        <v>269.1</v>
      </c>
      <c r="F624">
        <f>VLOOKUP(RevenueTableAnswer[[#This Row],[Units Sold]],DiscountTableAnswer[],2)</f>
        <v>0.25</v>
      </c>
      <c r="G624">
        <f>ROUND((1-RevenueTableAnswer[[#This Row],[Discount on Total Revenue]])*RevenueTableAnswer[[#This Row],[Total Revenue]],2)</f>
        <v>201.83</v>
      </c>
    </row>
    <row r="625" spans="1:7">
      <c r="A625" s="30">
        <v>43045</v>
      </c>
      <c r="B625" t="s">
        <v>37</v>
      </c>
      <c r="C625">
        <v>126</v>
      </c>
      <c r="D625" s="31">
        <v>22.95</v>
      </c>
      <c r="E625" s="31">
        <v>2891.7</v>
      </c>
      <c r="F625">
        <f>VLOOKUP(RevenueTableAnswer[[#This Row],[Units Sold]],DiscountTableAnswer[],2)</f>
        <v>0.4375</v>
      </c>
      <c r="G625">
        <f>ROUND((1-RevenueTableAnswer[[#This Row],[Discount on Total Revenue]])*RevenueTableAnswer[[#This Row],[Total Revenue]],2)</f>
        <v>1626.58</v>
      </c>
    </row>
    <row r="626" spans="1:7">
      <c r="A626" s="30">
        <v>43044</v>
      </c>
      <c r="B626" t="s">
        <v>37</v>
      </c>
      <c r="C626">
        <v>136</v>
      </c>
      <c r="D626" s="31">
        <v>22.95</v>
      </c>
      <c r="E626" s="31">
        <v>3121.2</v>
      </c>
      <c r="F626">
        <f>VLOOKUP(RevenueTableAnswer[[#This Row],[Units Sold]],DiscountTableAnswer[],2)</f>
        <v>0.4375</v>
      </c>
      <c r="G626">
        <f>ROUND((1-RevenueTableAnswer[[#This Row],[Discount on Total Revenue]])*RevenueTableAnswer[[#This Row],[Total Revenue]],2)</f>
        <v>1755.68</v>
      </c>
    </row>
    <row r="627" spans="1:7">
      <c r="A627" s="30">
        <v>43047</v>
      </c>
      <c r="B627" t="s">
        <v>36</v>
      </c>
      <c r="C627">
        <v>101</v>
      </c>
      <c r="D627" s="31">
        <v>21.95</v>
      </c>
      <c r="E627" s="31">
        <v>2216.95</v>
      </c>
      <c r="F627">
        <f>VLOOKUP(RevenueTableAnswer[[#This Row],[Units Sold]],DiscountTableAnswer[],2)</f>
        <v>0.4375</v>
      </c>
      <c r="G627">
        <f>ROUND((1-RevenueTableAnswer[[#This Row],[Discount on Total Revenue]])*RevenueTableAnswer[[#This Row],[Total Revenue]],2)</f>
        <v>1247.03</v>
      </c>
    </row>
    <row r="628" spans="1:7">
      <c r="A628" s="30">
        <v>43042</v>
      </c>
      <c r="B628" t="s">
        <v>37</v>
      </c>
      <c r="C628">
        <v>23</v>
      </c>
      <c r="D628" s="31">
        <v>22.95</v>
      </c>
      <c r="E628" s="31">
        <v>527.85</v>
      </c>
      <c r="F628">
        <f>VLOOKUP(RevenueTableAnswer[[#This Row],[Units Sold]],DiscountTableAnswer[],2)</f>
        <v>0.25</v>
      </c>
      <c r="G628">
        <f>ROUND((1-RevenueTableAnswer[[#This Row],[Discount on Total Revenue]])*RevenueTableAnswer[[#This Row],[Total Revenue]],2)</f>
        <v>395.89</v>
      </c>
    </row>
    <row r="629" spans="1:7">
      <c r="A629" s="30">
        <v>43040</v>
      </c>
      <c r="B629" t="s">
        <v>26</v>
      </c>
      <c r="C629">
        <v>42</v>
      </c>
      <c r="D629" s="31">
        <v>43.95</v>
      </c>
      <c r="E629" s="31">
        <v>1845.9</v>
      </c>
      <c r="F629">
        <f>VLOOKUP(RevenueTableAnswer[[#This Row],[Units Sold]],DiscountTableAnswer[],2)</f>
        <v>0.25</v>
      </c>
      <c r="G629">
        <f>ROUND((1-RevenueTableAnswer[[#This Row],[Discount on Total Revenue]])*RevenueTableAnswer[[#This Row],[Total Revenue]],2)</f>
        <v>1384.43</v>
      </c>
    </row>
    <row r="630" spans="1:7">
      <c r="A630" s="30">
        <v>43043</v>
      </c>
      <c r="B630" t="s">
        <v>26</v>
      </c>
      <c r="C630">
        <v>98</v>
      </c>
      <c r="D630" s="31">
        <v>43.95</v>
      </c>
      <c r="E630" s="31">
        <v>4307.1</v>
      </c>
      <c r="F630">
        <f>VLOOKUP(RevenueTableAnswer[[#This Row],[Units Sold]],DiscountTableAnswer[],2)</f>
        <v>0.4375</v>
      </c>
      <c r="G630">
        <f>ROUND((1-RevenueTableAnswer[[#This Row],[Discount on Total Revenue]])*RevenueTableAnswer[[#This Row],[Total Revenue]],2)</f>
        <v>2422.74</v>
      </c>
    </row>
    <row r="631" spans="1:7">
      <c r="A631" s="30">
        <v>43040</v>
      </c>
      <c r="B631" t="s">
        <v>37</v>
      </c>
      <c r="C631">
        <v>104</v>
      </c>
      <c r="D631" s="31">
        <v>22.95</v>
      </c>
      <c r="E631" s="31">
        <v>2386.8</v>
      </c>
      <c r="F631">
        <f>VLOOKUP(RevenueTableAnswer[[#This Row],[Units Sold]],DiscountTableAnswer[],2)</f>
        <v>0.4375</v>
      </c>
      <c r="G631">
        <f>ROUND((1-RevenueTableAnswer[[#This Row],[Discount on Total Revenue]])*RevenueTableAnswer[[#This Row],[Total Revenue]],2)</f>
        <v>1342.58</v>
      </c>
    </row>
    <row r="632" spans="1:7">
      <c r="A632" s="30">
        <v>43043</v>
      </c>
      <c r="B632" t="s">
        <v>37</v>
      </c>
      <c r="C632">
        <v>113</v>
      </c>
      <c r="D632" s="31">
        <v>22.95</v>
      </c>
      <c r="E632" s="31">
        <v>2593.35</v>
      </c>
      <c r="F632">
        <f>VLOOKUP(RevenueTableAnswer[[#This Row],[Units Sold]],DiscountTableAnswer[],2)</f>
        <v>0.4375</v>
      </c>
      <c r="G632">
        <f>ROUND((1-RevenueTableAnswer[[#This Row],[Discount on Total Revenue]])*RevenueTableAnswer[[#This Row],[Total Revenue]],2)</f>
        <v>1458.76</v>
      </c>
    </row>
    <row r="633" spans="1:7">
      <c r="A633" s="30">
        <v>43042</v>
      </c>
      <c r="B633" t="s">
        <v>36</v>
      </c>
      <c r="C633">
        <v>48</v>
      </c>
      <c r="D633" s="31">
        <v>21.95</v>
      </c>
      <c r="E633" s="31">
        <v>1053.6</v>
      </c>
      <c r="F633">
        <f>VLOOKUP(RevenueTableAnswer[[#This Row],[Units Sold]],DiscountTableAnswer[],2)</f>
        <v>0.375</v>
      </c>
      <c r="G633">
        <f>ROUND((1-RevenueTableAnswer[[#This Row],[Discount on Total Revenue]])*RevenueTableAnswer[[#This Row],[Total Revenue]],2)</f>
        <v>658.5</v>
      </c>
    </row>
    <row r="634" spans="1:7">
      <c r="A634" s="30">
        <v>43047</v>
      </c>
      <c r="B634" t="s">
        <v>24</v>
      </c>
      <c r="C634">
        <v>168</v>
      </c>
      <c r="D634" s="31">
        <v>14.95</v>
      </c>
      <c r="E634" s="31">
        <v>2511.6</v>
      </c>
      <c r="F634">
        <f>VLOOKUP(RevenueTableAnswer[[#This Row],[Units Sold]],DiscountTableAnswer[],2)</f>
        <v>0.55</v>
      </c>
      <c r="G634">
        <f>ROUND((1-RevenueTableAnswer[[#This Row],[Discount on Total Revenue]])*RevenueTableAnswer[[#This Row],[Total Revenue]],2)</f>
        <v>1130.22</v>
      </c>
    </row>
    <row r="635" spans="1:7">
      <c r="A635" s="30">
        <v>43040</v>
      </c>
      <c r="B635" t="s">
        <v>36</v>
      </c>
      <c r="C635">
        <v>36</v>
      </c>
      <c r="D635" s="31">
        <v>21.95</v>
      </c>
      <c r="E635" s="31">
        <v>790.2</v>
      </c>
      <c r="F635">
        <f>VLOOKUP(RevenueTableAnswer[[#This Row],[Units Sold]],DiscountTableAnswer[],2)</f>
        <v>0.25</v>
      </c>
      <c r="G635">
        <f>ROUND((1-RevenueTableAnswer[[#This Row],[Discount on Total Revenue]])*RevenueTableAnswer[[#This Row],[Total Revenue]],2)</f>
        <v>592.65</v>
      </c>
    </row>
    <row r="636" spans="1:7">
      <c r="A636" s="30">
        <v>43040</v>
      </c>
      <c r="B636" t="s">
        <v>37</v>
      </c>
      <c r="C636">
        <v>122</v>
      </c>
      <c r="D636" s="31">
        <v>22.95</v>
      </c>
      <c r="E636" s="31">
        <v>2799.9</v>
      </c>
      <c r="F636">
        <f>VLOOKUP(RevenueTableAnswer[[#This Row],[Units Sold]],DiscountTableAnswer[],2)</f>
        <v>0.4375</v>
      </c>
      <c r="G636">
        <f>ROUND((1-RevenueTableAnswer[[#This Row],[Discount on Total Revenue]])*RevenueTableAnswer[[#This Row],[Total Revenue]],2)</f>
        <v>1574.94</v>
      </c>
    </row>
    <row r="637" spans="1:7">
      <c r="A637" s="30">
        <v>43041</v>
      </c>
      <c r="B637" t="s">
        <v>37</v>
      </c>
      <c r="C637">
        <v>136</v>
      </c>
      <c r="D637" s="31">
        <v>22.95</v>
      </c>
      <c r="E637" s="31">
        <v>3121.2</v>
      </c>
      <c r="F637">
        <f>VLOOKUP(RevenueTableAnswer[[#This Row],[Units Sold]],DiscountTableAnswer[],2)</f>
        <v>0.4375</v>
      </c>
      <c r="G637">
        <f>ROUND((1-RevenueTableAnswer[[#This Row],[Discount on Total Revenue]])*RevenueTableAnswer[[#This Row],[Total Revenue]],2)</f>
        <v>1755.68</v>
      </c>
    </row>
    <row r="638" spans="1:7">
      <c r="A638" s="30">
        <v>43040</v>
      </c>
      <c r="B638" t="s">
        <v>26</v>
      </c>
      <c r="C638">
        <v>76</v>
      </c>
      <c r="D638" s="31">
        <v>43.95</v>
      </c>
      <c r="E638" s="31">
        <v>3340.2</v>
      </c>
      <c r="F638">
        <f>VLOOKUP(RevenueTableAnswer[[#This Row],[Units Sold]],DiscountTableAnswer[],2)</f>
        <v>0.375</v>
      </c>
      <c r="G638">
        <f>ROUND((1-RevenueTableAnswer[[#This Row],[Discount on Total Revenue]])*RevenueTableAnswer[[#This Row],[Total Revenue]],2)</f>
        <v>2087.63</v>
      </c>
    </row>
    <row r="639" spans="1:7">
      <c r="A639" s="30">
        <v>43041</v>
      </c>
      <c r="B639" t="s">
        <v>24</v>
      </c>
      <c r="C639">
        <v>161</v>
      </c>
      <c r="D639" s="31">
        <v>14.95</v>
      </c>
      <c r="E639" s="31">
        <v>2406.95</v>
      </c>
      <c r="F639">
        <f>VLOOKUP(RevenueTableAnswer[[#This Row],[Units Sold]],DiscountTableAnswer[],2)</f>
        <v>0.5</v>
      </c>
      <c r="G639">
        <f>ROUND((1-RevenueTableAnswer[[#This Row],[Discount on Total Revenue]])*RevenueTableAnswer[[#This Row],[Total Revenue]],2)</f>
        <v>1203.48</v>
      </c>
    </row>
    <row r="640" spans="1:7">
      <c r="A640" s="30">
        <v>43043</v>
      </c>
      <c r="B640" t="s">
        <v>26</v>
      </c>
      <c r="C640">
        <v>187</v>
      </c>
      <c r="D640" s="31">
        <v>43.95</v>
      </c>
      <c r="E640" s="31">
        <v>8218.65</v>
      </c>
      <c r="F640">
        <f>VLOOKUP(RevenueTableAnswer[[#This Row],[Units Sold]],DiscountTableAnswer[],2)</f>
        <v>0.55</v>
      </c>
      <c r="G640">
        <f>ROUND((1-RevenueTableAnswer[[#This Row],[Discount on Total Revenue]])*RevenueTableAnswer[[#This Row],[Total Revenue]],2)</f>
        <v>3698.39</v>
      </c>
    </row>
    <row r="641" spans="1:7">
      <c r="A641" s="30">
        <v>43044</v>
      </c>
      <c r="B641" t="s">
        <v>26</v>
      </c>
      <c r="C641">
        <v>38</v>
      </c>
      <c r="D641" s="31">
        <v>43.95</v>
      </c>
      <c r="E641" s="31">
        <v>1670.1</v>
      </c>
      <c r="F641">
        <f>VLOOKUP(RevenueTableAnswer[[#This Row],[Units Sold]],DiscountTableAnswer[],2)</f>
        <v>0.25</v>
      </c>
      <c r="G641">
        <f>ROUND((1-RevenueTableAnswer[[#This Row],[Discount on Total Revenue]])*RevenueTableAnswer[[#This Row],[Total Revenue]],2)</f>
        <v>1252.58</v>
      </c>
    </row>
    <row r="642" spans="1:7">
      <c r="A642" s="30">
        <v>43047</v>
      </c>
      <c r="B642" t="s">
        <v>37</v>
      </c>
      <c r="C642">
        <v>5</v>
      </c>
      <c r="D642" s="31">
        <v>22.95</v>
      </c>
      <c r="E642" s="31">
        <v>114.75</v>
      </c>
      <c r="F642">
        <f>VLOOKUP(RevenueTableAnswer[[#This Row],[Units Sold]],DiscountTableAnswer[],2)</f>
        <v>0</v>
      </c>
      <c r="G642">
        <f>ROUND((1-RevenueTableAnswer[[#This Row],[Discount on Total Revenue]])*RevenueTableAnswer[[#This Row],[Total Revenue]],2)</f>
        <v>114.75</v>
      </c>
    </row>
    <row r="643" spans="1:7">
      <c r="A643" s="30">
        <v>43045</v>
      </c>
      <c r="B643" t="s">
        <v>24</v>
      </c>
      <c r="C643">
        <v>44</v>
      </c>
      <c r="D643" s="31">
        <v>14.95</v>
      </c>
      <c r="E643" s="31">
        <v>657.8</v>
      </c>
      <c r="F643">
        <f>VLOOKUP(RevenueTableAnswer[[#This Row],[Units Sold]],DiscountTableAnswer[],2)</f>
        <v>0.25</v>
      </c>
      <c r="G643">
        <f>ROUND((1-RevenueTableAnswer[[#This Row],[Discount on Total Revenue]])*RevenueTableAnswer[[#This Row],[Total Revenue]],2)</f>
        <v>493.35</v>
      </c>
    </row>
    <row r="644" spans="1:7">
      <c r="A644" s="30">
        <v>43041</v>
      </c>
      <c r="B644" t="s">
        <v>24</v>
      </c>
      <c r="C644">
        <v>101</v>
      </c>
      <c r="D644" s="31">
        <v>14.95</v>
      </c>
      <c r="E644" s="31">
        <v>1509.95</v>
      </c>
      <c r="F644">
        <f>VLOOKUP(RevenueTableAnswer[[#This Row],[Units Sold]],DiscountTableAnswer[],2)</f>
        <v>0.4375</v>
      </c>
      <c r="G644">
        <f>ROUND((1-RevenueTableAnswer[[#This Row],[Discount on Total Revenue]])*RevenueTableAnswer[[#This Row],[Total Revenue]],2)</f>
        <v>849.35</v>
      </c>
    </row>
    <row r="645" spans="1:7">
      <c r="A645" s="30">
        <v>43046</v>
      </c>
      <c r="B645" t="s">
        <v>36</v>
      </c>
      <c r="C645">
        <v>129</v>
      </c>
      <c r="D645" s="31">
        <v>21.95</v>
      </c>
      <c r="E645" s="31">
        <v>2831.55</v>
      </c>
      <c r="F645">
        <f>VLOOKUP(RevenueTableAnswer[[#This Row],[Units Sold]],DiscountTableAnswer[],2)</f>
        <v>0.4375</v>
      </c>
      <c r="G645">
        <f>ROUND((1-RevenueTableAnswer[[#This Row],[Discount on Total Revenue]])*RevenueTableAnswer[[#This Row],[Total Revenue]],2)</f>
        <v>1592.75</v>
      </c>
    </row>
    <row r="646" spans="1:7">
      <c r="A646" s="30">
        <v>43045</v>
      </c>
      <c r="B646" t="s">
        <v>26</v>
      </c>
      <c r="C646">
        <v>170</v>
      </c>
      <c r="D646" s="31">
        <v>43.95</v>
      </c>
      <c r="E646" s="31">
        <v>7471.5</v>
      </c>
      <c r="F646">
        <f>VLOOKUP(RevenueTableAnswer[[#This Row],[Units Sold]],DiscountTableAnswer[],2)</f>
        <v>0.55</v>
      </c>
      <c r="G646">
        <f>ROUND((1-RevenueTableAnswer[[#This Row],[Discount on Total Revenue]])*RevenueTableAnswer[[#This Row],[Total Revenue]],2)</f>
        <v>3362.18</v>
      </c>
    </row>
    <row r="647" spans="1:7">
      <c r="A647" s="30">
        <v>43047</v>
      </c>
      <c r="B647" t="s">
        <v>26</v>
      </c>
      <c r="C647">
        <v>169</v>
      </c>
      <c r="D647" s="31">
        <v>43.95</v>
      </c>
      <c r="E647" s="31">
        <v>7427.55</v>
      </c>
      <c r="F647">
        <f>VLOOKUP(RevenueTableAnswer[[#This Row],[Units Sold]],DiscountTableAnswer[],2)</f>
        <v>0.55</v>
      </c>
      <c r="G647">
        <f>ROUND((1-RevenueTableAnswer[[#This Row],[Discount on Total Revenue]])*RevenueTableAnswer[[#This Row],[Total Revenue]],2)</f>
        <v>3342.4</v>
      </c>
    </row>
    <row r="648" spans="1:7">
      <c r="A648" s="30">
        <v>43047</v>
      </c>
      <c r="B648" t="s">
        <v>24</v>
      </c>
      <c r="C648">
        <v>173</v>
      </c>
      <c r="D648" s="31">
        <v>14.95</v>
      </c>
      <c r="E648" s="31">
        <v>2586.35</v>
      </c>
      <c r="F648">
        <f>VLOOKUP(RevenueTableAnswer[[#This Row],[Units Sold]],DiscountTableAnswer[],2)</f>
        <v>0.55</v>
      </c>
      <c r="G648">
        <f>ROUND((1-RevenueTableAnswer[[#This Row],[Discount on Total Revenue]])*RevenueTableAnswer[[#This Row],[Total Revenue]],2)</f>
        <v>1163.86</v>
      </c>
    </row>
    <row r="649" spans="1:7">
      <c r="A649" s="30">
        <v>43044</v>
      </c>
      <c r="B649" t="s">
        <v>26</v>
      </c>
      <c r="C649">
        <v>155</v>
      </c>
      <c r="D649" s="31">
        <v>43.95</v>
      </c>
      <c r="E649" s="31">
        <v>6812.25</v>
      </c>
      <c r="F649">
        <f>VLOOKUP(RevenueTableAnswer[[#This Row],[Units Sold]],DiscountTableAnswer[],2)</f>
        <v>0.5</v>
      </c>
      <c r="G649">
        <f>ROUND((1-RevenueTableAnswer[[#This Row],[Discount on Total Revenue]])*RevenueTableAnswer[[#This Row],[Total Revenue]],2)</f>
        <v>3406.13</v>
      </c>
    </row>
    <row r="650" spans="1:7">
      <c r="A650" s="30">
        <v>43043</v>
      </c>
      <c r="B650" t="s">
        <v>37</v>
      </c>
      <c r="C650">
        <v>40</v>
      </c>
      <c r="D650" s="31">
        <v>22.95</v>
      </c>
      <c r="E650" s="31">
        <v>918</v>
      </c>
      <c r="F650">
        <f>VLOOKUP(RevenueTableAnswer[[#This Row],[Units Sold]],DiscountTableAnswer[],2)</f>
        <v>0.25</v>
      </c>
      <c r="G650">
        <f>ROUND((1-RevenueTableAnswer[[#This Row],[Discount on Total Revenue]])*RevenueTableAnswer[[#This Row],[Total Revenue]],2)</f>
        <v>688.5</v>
      </c>
    </row>
    <row r="651" spans="1:7">
      <c r="A651" s="30">
        <v>43046</v>
      </c>
      <c r="B651" t="s">
        <v>26</v>
      </c>
      <c r="C651">
        <v>14</v>
      </c>
      <c r="D651" s="31">
        <v>43.95</v>
      </c>
      <c r="E651" s="31">
        <v>615.3</v>
      </c>
      <c r="F651">
        <f>VLOOKUP(RevenueTableAnswer[[#This Row],[Units Sold]],DiscountTableAnswer[],2)</f>
        <v>0.25</v>
      </c>
      <c r="G651">
        <f>ROUND((1-RevenueTableAnswer[[#This Row],[Discount on Total Revenue]])*RevenueTableAnswer[[#This Row],[Total Revenue]],2)</f>
        <v>461.48</v>
      </c>
    </row>
    <row r="652" spans="1:7">
      <c r="A652" s="30">
        <v>43042</v>
      </c>
      <c r="B652" t="s">
        <v>36</v>
      </c>
      <c r="C652">
        <v>172</v>
      </c>
      <c r="D652" s="31">
        <v>21.95</v>
      </c>
      <c r="E652" s="31">
        <v>3775.4</v>
      </c>
      <c r="F652">
        <f>VLOOKUP(RevenueTableAnswer[[#This Row],[Units Sold]],DiscountTableAnswer[],2)</f>
        <v>0.55</v>
      </c>
      <c r="G652">
        <f>ROUND((1-RevenueTableAnswer[[#This Row],[Discount on Total Revenue]])*RevenueTableAnswer[[#This Row],[Total Revenue]],2)</f>
        <v>1698.93</v>
      </c>
    </row>
    <row r="653" spans="1:7">
      <c r="A653" s="30">
        <v>43042</v>
      </c>
      <c r="B653" t="s">
        <v>37</v>
      </c>
      <c r="C653">
        <v>15</v>
      </c>
      <c r="D653" s="31">
        <v>22.95</v>
      </c>
      <c r="E653" s="31">
        <v>344.25</v>
      </c>
      <c r="F653" s="38">
        <f>VLOOKUP(RevenueTableAnswer[[#This Row],[Units Sold]],DiscountTableAnswer[],2)</f>
        <v>0.25</v>
      </c>
      <c r="G653" s="38">
        <f>ROUND((1-RevenueTableAnswer[[#This Row],[Discount on Total Revenue]])*RevenueTableAnswer[[#This Row],[Total Revenue]],2)</f>
        <v>258.19</v>
      </c>
    </row>
    <row r="654" spans="1:7">
      <c r="A654" s="30">
        <v>43040</v>
      </c>
      <c r="B654" t="s">
        <v>26</v>
      </c>
      <c r="C654">
        <v>46</v>
      </c>
      <c r="D654" s="31">
        <v>22.95</v>
      </c>
      <c r="E654" s="31">
        <v>1055.7</v>
      </c>
      <c r="F654" s="38">
        <f>VLOOKUP(RevenueTableAnswer[[#This Row],[Units Sold]],DiscountTableAnswer[],2)</f>
        <v>0.25</v>
      </c>
      <c r="G654" s="38">
        <f>ROUND((1-RevenueTableAnswer[[#This Row],[Discount on Total Revenue]])*RevenueTableAnswer[[#This Row],[Total Revenue]],2)</f>
        <v>791.78</v>
      </c>
    </row>
    <row r="655" spans="1:7">
      <c r="A655" s="30">
        <v>43046</v>
      </c>
      <c r="B655" t="s">
        <v>37</v>
      </c>
      <c r="C655">
        <v>17</v>
      </c>
      <c r="D655" s="31">
        <v>43.95</v>
      </c>
      <c r="E655" s="31">
        <v>747.15</v>
      </c>
      <c r="F655" s="38">
        <f>VLOOKUP(RevenueTableAnswer[[#This Row],[Units Sold]],DiscountTableAnswer[],2)</f>
        <v>0.25</v>
      </c>
      <c r="G655" s="38">
        <f>ROUND((1-RevenueTableAnswer[[#This Row],[Discount on Total Revenue]])*RevenueTableAnswer[[#This Row],[Total Revenue]],2)</f>
        <v>560.36</v>
      </c>
    </row>
  </sheetData>
  <pageMargins left="0.7" right="0.7" top="0.75" bottom="0.75" header="0.3" footer="0.3"/>
  <pageSetup paperSize="1" orientation="portrait"/>
  <headerFooter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1"/>
  </sheetPr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M585"/>
  <sheetViews>
    <sheetView workbookViewId="0">
      <selection activeCell="A8" sqref="A8"/>
    </sheetView>
  </sheetViews>
  <sheetFormatPr defaultColWidth="9" defaultRowHeight="15"/>
  <cols>
    <col min="1" max="4" width="17.2857142857143" customWidth="1"/>
    <col min="8" max="8" width="19.4285714285714"/>
    <col min="9" max="9" width="13"/>
  </cols>
  <sheetData>
    <row r="1" spans="1:13">
      <c r="A1" s="5" t="s">
        <v>63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14"/>
    </row>
    <row r="3" spans="1:4">
      <c r="A3" s="2" t="s">
        <v>31</v>
      </c>
      <c r="B3" s="2" t="s">
        <v>64</v>
      </c>
      <c r="C3" s="2" t="s">
        <v>65</v>
      </c>
      <c r="D3" s="2" t="s">
        <v>66</v>
      </c>
    </row>
    <row r="4" spans="1:4">
      <c r="A4" s="18">
        <v>41568</v>
      </c>
      <c r="B4" s="11" t="s">
        <v>67</v>
      </c>
      <c r="C4" s="11" t="s">
        <v>68</v>
      </c>
      <c r="D4" s="19">
        <v>519</v>
      </c>
    </row>
    <row r="5" spans="1:4">
      <c r="A5" s="18">
        <v>41572</v>
      </c>
      <c r="B5" s="11" t="s">
        <v>67</v>
      </c>
      <c r="C5" s="11" t="s">
        <v>69</v>
      </c>
      <c r="D5" s="19">
        <v>651</v>
      </c>
    </row>
    <row r="6" spans="1:9">
      <c r="A6" s="18">
        <v>41573</v>
      </c>
      <c r="B6" s="11" t="s">
        <v>67</v>
      </c>
      <c r="C6" s="11" t="s">
        <v>70</v>
      </c>
      <c r="D6" s="19">
        <v>618</v>
      </c>
      <c r="H6" t="s">
        <v>65</v>
      </c>
      <c r="I6" t="s">
        <v>71</v>
      </c>
    </row>
    <row r="7" spans="1:9">
      <c r="A7" s="18">
        <v>41570</v>
      </c>
      <c r="B7" s="11" t="s">
        <v>72</v>
      </c>
      <c r="C7" s="11" t="s">
        <v>73</v>
      </c>
      <c r="D7" s="19">
        <v>335</v>
      </c>
      <c r="H7" t="s">
        <v>74</v>
      </c>
      <c r="I7" s="20">
        <v>4047</v>
      </c>
    </row>
    <row r="8" spans="1:9">
      <c r="A8" s="18">
        <v>41567</v>
      </c>
      <c r="B8" s="11" t="s">
        <v>72</v>
      </c>
      <c r="C8" s="11" t="s">
        <v>73</v>
      </c>
      <c r="D8" s="19">
        <v>640</v>
      </c>
      <c r="H8" t="s">
        <v>75</v>
      </c>
      <c r="I8" s="20">
        <v>4860</v>
      </c>
    </row>
    <row r="9" spans="1:9">
      <c r="A9" s="18">
        <v>41570</v>
      </c>
      <c r="B9" s="11" t="s">
        <v>76</v>
      </c>
      <c r="C9" s="11" t="s">
        <v>77</v>
      </c>
      <c r="D9" s="19">
        <v>586</v>
      </c>
      <c r="H9" t="s">
        <v>73</v>
      </c>
      <c r="I9" s="20">
        <v>14779</v>
      </c>
    </row>
    <row r="10" spans="1:9">
      <c r="A10" s="18">
        <v>41568</v>
      </c>
      <c r="B10" s="11" t="s">
        <v>67</v>
      </c>
      <c r="C10" s="11" t="s">
        <v>78</v>
      </c>
      <c r="D10" s="19">
        <v>301</v>
      </c>
      <c r="H10" t="s">
        <v>70</v>
      </c>
      <c r="I10" s="20">
        <v>13915</v>
      </c>
    </row>
    <row r="11" spans="1:9">
      <c r="A11" s="18">
        <v>41572</v>
      </c>
      <c r="B11" s="11" t="s">
        <v>76</v>
      </c>
      <c r="C11" s="11" t="s">
        <v>69</v>
      </c>
      <c r="D11" s="19">
        <v>359</v>
      </c>
      <c r="H11" t="s">
        <v>79</v>
      </c>
      <c r="I11" s="20">
        <v>4368</v>
      </c>
    </row>
    <row r="12" spans="1:9">
      <c r="A12" s="18">
        <v>41567</v>
      </c>
      <c r="B12" s="11" t="s">
        <v>67</v>
      </c>
      <c r="C12" s="11" t="s">
        <v>77</v>
      </c>
      <c r="D12" s="19">
        <v>658</v>
      </c>
      <c r="H12" t="s">
        <v>80</v>
      </c>
      <c r="I12" s="20">
        <v>2939</v>
      </c>
    </row>
    <row r="13" spans="1:9">
      <c r="A13" s="18">
        <v>41568</v>
      </c>
      <c r="B13" s="11" t="s">
        <v>76</v>
      </c>
      <c r="C13" s="11" t="s">
        <v>69</v>
      </c>
      <c r="D13" s="19">
        <v>213</v>
      </c>
      <c r="H13" t="s">
        <v>69</v>
      </c>
      <c r="I13" s="20">
        <v>15181</v>
      </c>
    </row>
    <row r="14" spans="1:9">
      <c r="A14" s="18">
        <v>41572</v>
      </c>
      <c r="B14" s="11" t="s">
        <v>76</v>
      </c>
      <c r="C14" s="11" t="s">
        <v>81</v>
      </c>
      <c r="D14" s="19">
        <v>500</v>
      </c>
      <c r="H14" t="s">
        <v>82</v>
      </c>
      <c r="I14" s="20">
        <v>4662</v>
      </c>
    </row>
    <row r="15" spans="1:9">
      <c r="A15" s="18">
        <v>41569</v>
      </c>
      <c r="B15" s="11" t="s">
        <v>72</v>
      </c>
      <c r="C15" s="11" t="s">
        <v>77</v>
      </c>
      <c r="D15" s="19">
        <v>604</v>
      </c>
      <c r="H15" t="s">
        <v>83</v>
      </c>
      <c r="I15" s="20">
        <v>2485</v>
      </c>
    </row>
    <row r="16" spans="1:9">
      <c r="A16" s="18">
        <v>41570</v>
      </c>
      <c r="B16" s="11" t="s">
        <v>67</v>
      </c>
      <c r="C16" s="11" t="s">
        <v>75</v>
      </c>
      <c r="D16" s="19">
        <v>340</v>
      </c>
      <c r="H16" t="s">
        <v>84</v>
      </c>
      <c r="I16" s="20">
        <v>6436</v>
      </c>
    </row>
    <row r="17" spans="1:9">
      <c r="A17" s="18">
        <v>41568</v>
      </c>
      <c r="B17" s="11" t="s">
        <v>72</v>
      </c>
      <c r="C17" s="11" t="s">
        <v>81</v>
      </c>
      <c r="D17" s="19">
        <v>117</v>
      </c>
      <c r="H17" t="s">
        <v>85</v>
      </c>
      <c r="I17" s="20">
        <v>3204</v>
      </c>
    </row>
    <row r="18" spans="1:9">
      <c r="A18" s="18">
        <v>41572</v>
      </c>
      <c r="B18" s="11" t="s">
        <v>76</v>
      </c>
      <c r="C18" s="11" t="s">
        <v>86</v>
      </c>
      <c r="D18" s="19">
        <v>234</v>
      </c>
      <c r="H18" t="s">
        <v>68</v>
      </c>
      <c r="I18" s="20">
        <v>6027</v>
      </c>
    </row>
    <row r="19" spans="1:9">
      <c r="A19" s="18">
        <v>41567</v>
      </c>
      <c r="B19" s="11" t="s">
        <v>67</v>
      </c>
      <c r="C19" s="11" t="s">
        <v>86</v>
      </c>
      <c r="D19" s="19">
        <v>225</v>
      </c>
      <c r="H19" t="s">
        <v>87</v>
      </c>
      <c r="I19" s="20">
        <v>2287</v>
      </c>
    </row>
    <row r="20" spans="1:9">
      <c r="A20" s="18">
        <v>41572</v>
      </c>
      <c r="B20" s="11" t="s">
        <v>76</v>
      </c>
      <c r="C20" s="11" t="s">
        <v>88</v>
      </c>
      <c r="D20" s="19">
        <v>302</v>
      </c>
      <c r="H20" t="s">
        <v>89</v>
      </c>
      <c r="I20" s="20">
        <v>16838</v>
      </c>
    </row>
    <row r="21" spans="1:9">
      <c r="A21" s="18">
        <v>41571</v>
      </c>
      <c r="B21" s="11" t="s">
        <v>72</v>
      </c>
      <c r="C21" s="11" t="s">
        <v>83</v>
      </c>
      <c r="D21" s="19">
        <v>223</v>
      </c>
      <c r="H21" t="s">
        <v>77</v>
      </c>
      <c r="I21" s="20">
        <v>15449</v>
      </c>
    </row>
    <row r="22" spans="1:9">
      <c r="A22" s="18">
        <v>41569</v>
      </c>
      <c r="B22" s="11" t="s">
        <v>67</v>
      </c>
      <c r="C22" s="11" t="s">
        <v>77</v>
      </c>
      <c r="D22" s="19">
        <v>401</v>
      </c>
      <c r="H22" t="s">
        <v>90</v>
      </c>
      <c r="I22" s="20">
        <v>4284</v>
      </c>
    </row>
    <row r="23" spans="1:9">
      <c r="A23" s="18">
        <v>41571</v>
      </c>
      <c r="B23" s="11" t="s">
        <v>67</v>
      </c>
      <c r="C23" s="11" t="s">
        <v>70</v>
      </c>
      <c r="D23" s="19">
        <v>405</v>
      </c>
      <c r="H23" t="s">
        <v>81</v>
      </c>
      <c r="I23" s="20">
        <v>17520</v>
      </c>
    </row>
    <row r="24" spans="1:9">
      <c r="A24" s="18">
        <v>41568</v>
      </c>
      <c r="B24" s="11" t="s">
        <v>72</v>
      </c>
      <c r="C24" s="11" t="s">
        <v>78</v>
      </c>
      <c r="D24" s="19">
        <v>493</v>
      </c>
      <c r="H24" t="s">
        <v>86</v>
      </c>
      <c r="I24" s="20">
        <v>15973</v>
      </c>
    </row>
    <row r="25" spans="1:9">
      <c r="A25" s="18">
        <v>41568</v>
      </c>
      <c r="B25" s="11" t="s">
        <v>76</v>
      </c>
      <c r="C25" s="11" t="s">
        <v>81</v>
      </c>
      <c r="D25" s="19">
        <v>214</v>
      </c>
      <c r="H25" t="s">
        <v>78</v>
      </c>
      <c r="I25" s="20">
        <v>14079</v>
      </c>
    </row>
    <row r="26" spans="1:9">
      <c r="A26" s="18">
        <v>41569</v>
      </c>
      <c r="B26" s="11" t="s">
        <v>76</v>
      </c>
      <c r="C26" s="11" t="s">
        <v>73</v>
      </c>
      <c r="D26" s="19">
        <v>366</v>
      </c>
      <c r="H26" t="s">
        <v>91</v>
      </c>
      <c r="I26" s="20">
        <v>12691</v>
      </c>
    </row>
    <row r="27" spans="1:9">
      <c r="A27" s="18">
        <v>41569</v>
      </c>
      <c r="B27" s="11" t="s">
        <v>72</v>
      </c>
      <c r="C27" s="11" t="s">
        <v>69</v>
      </c>
      <c r="D27" s="19">
        <v>191</v>
      </c>
      <c r="H27" t="s">
        <v>92</v>
      </c>
      <c r="I27" s="20">
        <v>5527</v>
      </c>
    </row>
    <row r="28" spans="1:9">
      <c r="A28" s="18">
        <v>41572</v>
      </c>
      <c r="B28" s="11" t="s">
        <v>67</v>
      </c>
      <c r="C28" s="11" t="s">
        <v>86</v>
      </c>
      <c r="D28" s="19">
        <v>628</v>
      </c>
      <c r="H28" t="s">
        <v>93</v>
      </c>
      <c r="I28" s="20">
        <v>1941</v>
      </c>
    </row>
    <row r="29" spans="1:9">
      <c r="A29" s="18">
        <v>41573</v>
      </c>
      <c r="B29" s="11" t="s">
        <v>67</v>
      </c>
      <c r="C29" s="11" t="s">
        <v>73</v>
      </c>
      <c r="D29" s="19">
        <v>144</v>
      </c>
      <c r="H29" t="s">
        <v>94</v>
      </c>
      <c r="I29" s="20">
        <v>6024</v>
      </c>
    </row>
    <row r="30" spans="1:9">
      <c r="A30" s="18">
        <v>41573</v>
      </c>
      <c r="B30" s="11" t="s">
        <v>76</v>
      </c>
      <c r="C30" s="11" t="s">
        <v>86</v>
      </c>
      <c r="D30" s="19">
        <v>335</v>
      </c>
      <c r="H30" t="s">
        <v>88</v>
      </c>
      <c r="I30" s="20">
        <v>4485</v>
      </c>
    </row>
    <row r="31" spans="1:9">
      <c r="A31" s="18">
        <v>41569</v>
      </c>
      <c r="B31" s="11" t="s">
        <v>76</v>
      </c>
      <c r="C31" s="11" t="s">
        <v>78</v>
      </c>
      <c r="D31" s="19">
        <v>571</v>
      </c>
      <c r="H31" t="s">
        <v>95</v>
      </c>
      <c r="I31" s="20">
        <v>3017</v>
      </c>
    </row>
    <row r="32" spans="1:9">
      <c r="A32" s="18">
        <v>41572</v>
      </c>
      <c r="B32" s="11" t="s">
        <v>76</v>
      </c>
      <c r="C32" s="11" t="s">
        <v>73</v>
      </c>
      <c r="D32" s="19">
        <v>136</v>
      </c>
      <c r="H32" t="s">
        <v>39</v>
      </c>
      <c r="I32" s="20">
        <v>203018</v>
      </c>
    </row>
    <row r="33" spans="1:4">
      <c r="A33" s="18">
        <v>41572</v>
      </c>
      <c r="B33" s="11" t="s">
        <v>72</v>
      </c>
      <c r="C33" s="11" t="s">
        <v>81</v>
      </c>
      <c r="D33" s="19">
        <v>201</v>
      </c>
    </row>
    <row r="34" spans="1:4">
      <c r="A34" s="18">
        <v>41570</v>
      </c>
      <c r="B34" s="11" t="s">
        <v>72</v>
      </c>
      <c r="C34" s="11" t="s">
        <v>79</v>
      </c>
      <c r="D34" s="19">
        <v>339</v>
      </c>
    </row>
    <row r="35" spans="1:4">
      <c r="A35" s="18">
        <v>41572</v>
      </c>
      <c r="B35" s="11" t="s">
        <v>72</v>
      </c>
      <c r="C35" s="11" t="s">
        <v>77</v>
      </c>
      <c r="D35" s="19">
        <v>203</v>
      </c>
    </row>
    <row r="36" spans="1:4">
      <c r="A36" s="18">
        <v>41568</v>
      </c>
      <c r="B36" s="11" t="s">
        <v>67</v>
      </c>
      <c r="C36" s="11" t="s">
        <v>75</v>
      </c>
      <c r="D36" s="19">
        <v>526</v>
      </c>
    </row>
    <row r="37" spans="1:4">
      <c r="A37" s="18">
        <v>41572</v>
      </c>
      <c r="B37" s="11" t="s">
        <v>67</v>
      </c>
      <c r="C37" s="11" t="s">
        <v>78</v>
      </c>
      <c r="D37" s="19">
        <v>86</v>
      </c>
    </row>
    <row r="38" spans="1:4">
      <c r="A38" s="18">
        <v>41571</v>
      </c>
      <c r="B38" s="11" t="s">
        <v>76</v>
      </c>
      <c r="C38" s="11" t="s">
        <v>91</v>
      </c>
      <c r="D38" s="19">
        <v>388</v>
      </c>
    </row>
    <row r="39" spans="1:4">
      <c r="A39" s="18">
        <v>41572</v>
      </c>
      <c r="B39" s="11" t="s">
        <v>72</v>
      </c>
      <c r="C39" s="11" t="s">
        <v>89</v>
      </c>
      <c r="D39" s="19">
        <v>119</v>
      </c>
    </row>
    <row r="40" spans="1:4">
      <c r="A40" s="18">
        <v>41568</v>
      </c>
      <c r="B40" s="11" t="s">
        <v>67</v>
      </c>
      <c r="C40" s="11" t="s">
        <v>89</v>
      </c>
      <c r="D40" s="19">
        <v>296</v>
      </c>
    </row>
    <row r="41" spans="1:4">
      <c r="A41" s="18">
        <v>41568</v>
      </c>
      <c r="B41" s="11" t="s">
        <v>72</v>
      </c>
      <c r="C41" s="11" t="s">
        <v>70</v>
      </c>
      <c r="D41" s="19">
        <v>295</v>
      </c>
    </row>
    <row r="42" spans="1:4">
      <c r="A42" s="18">
        <v>41568</v>
      </c>
      <c r="B42" s="11" t="s">
        <v>72</v>
      </c>
      <c r="C42" s="11" t="s">
        <v>79</v>
      </c>
      <c r="D42" s="19">
        <v>120</v>
      </c>
    </row>
    <row r="43" spans="1:4">
      <c r="A43" s="18">
        <v>41568</v>
      </c>
      <c r="B43" s="11" t="s">
        <v>67</v>
      </c>
      <c r="C43" s="11" t="s">
        <v>69</v>
      </c>
      <c r="D43" s="19">
        <v>647</v>
      </c>
    </row>
    <row r="44" spans="1:4">
      <c r="A44" s="18">
        <v>41569</v>
      </c>
      <c r="B44" s="11" t="s">
        <v>72</v>
      </c>
      <c r="C44" s="11" t="s">
        <v>95</v>
      </c>
      <c r="D44" s="19">
        <v>159</v>
      </c>
    </row>
    <row r="45" spans="1:4">
      <c r="A45" s="18">
        <v>41570</v>
      </c>
      <c r="B45" s="11" t="s">
        <v>72</v>
      </c>
      <c r="C45" s="11" t="s">
        <v>75</v>
      </c>
      <c r="D45" s="19">
        <v>217</v>
      </c>
    </row>
    <row r="46" spans="1:4">
      <c r="A46" s="18">
        <v>41571</v>
      </c>
      <c r="B46" s="11" t="s">
        <v>76</v>
      </c>
      <c r="C46" s="11" t="s">
        <v>77</v>
      </c>
      <c r="D46" s="19">
        <v>362</v>
      </c>
    </row>
    <row r="47" spans="1:4">
      <c r="A47" s="18">
        <v>41573</v>
      </c>
      <c r="B47" s="11" t="s">
        <v>76</v>
      </c>
      <c r="C47" s="11" t="s">
        <v>88</v>
      </c>
      <c r="D47" s="19">
        <v>599</v>
      </c>
    </row>
    <row r="48" spans="1:4">
      <c r="A48" s="18">
        <v>41572</v>
      </c>
      <c r="B48" s="11" t="s">
        <v>67</v>
      </c>
      <c r="C48" s="11" t="s">
        <v>68</v>
      </c>
      <c r="D48" s="19">
        <v>546</v>
      </c>
    </row>
    <row r="49" spans="1:4">
      <c r="A49" s="18">
        <v>41572</v>
      </c>
      <c r="B49" s="11" t="s">
        <v>72</v>
      </c>
      <c r="C49" s="11" t="s">
        <v>81</v>
      </c>
      <c r="D49" s="19">
        <v>254</v>
      </c>
    </row>
    <row r="50" spans="1:4">
      <c r="A50" s="18">
        <v>41567</v>
      </c>
      <c r="B50" s="11" t="s">
        <v>67</v>
      </c>
      <c r="C50" s="11" t="s">
        <v>69</v>
      </c>
      <c r="D50" s="19">
        <v>101</v>
      </c>
    </row>
    <row r="51" spans="1:4">
      <c r="A51" s="18">
        <v>41573</v>
      </c>
      <c r="B51" s="11" t="s">
        <v>76</v>
      </c>
      <c r="C51" s="11" t="s">
        <v>81</v>
      </c>
      <c r="D51" s="19">
        <v>150</v>
      </c>
    </row>
    <row r="52" spans="1:4">
      <c r="A52" s="18">
        <v>41572</v>
      </c>
      <c r="B52" s="11" t="s">
        <v>76</v>
      </c>
      <c r="C52" s="11" t="s">
        <v>78</v>
      </c>
      <c r="D52" s="19">
        <v>204</v>
      </c>
    </row>
    <row r="53" spans="1:4">
      <c r="A53" s="18">
        <v>41571</v>
      </c>
      <c r="B53" s="11" t="s">
        <v>76</v>
      </c>
      <c r="C53" s="11" t="s">
        <v>79</v>
      </c>
      <c r="D53" s="19">
        <v>106</v>
      </c>
    </row>
    <row r="54" spans="1:4">
      <c r="A54" s="18">
        <v>41568</v>
      </c>
      <c r="B54" s="11" t="s">
        <v>67</v>
      </c>
      <c r="C54" s="11" t="s">
        <v>78</v>
      </c>
      <c r="D54" s="19">
        <v>333</v>
      </c>
    </row>
    <row r="55" spans="1:4">
      <c r="A55" s="18">
        <v>41571</v>
      </c>
      <c r="B55" s="11" t="s">
        <v>72</v>
      </c>
      <c r="C55" s="11" t="s">
        <v>78</v>
      </c>
      <c r="D55" s="19">
        <v>67</v>
      </c>
    </row>
    <row r="56" spans="1:4">
      <c r="A56" s="18">
        <v>41567</v>
      </c>
      <c r="B56" s="11" t="s">
        <v>72</v>
      </c>
      <c r="C56" s="11" t="s">
        <v>88</v>
      </c>
      <c r="D56" s="19">
        <v>51</v>
      </c>
    </row>
    <row r="57" spans="1:4">
      <c r="A57" s="18">
        <v>41568</v>
      </c>
      <c r="B57" s="11" t="s">
        <v>76</v>
      </c>
      <c r="C57" s="11" t="s">
        <v>81</v>
      </c>
      <c r="D57" s="19">
        <v>279</v>
      </c>
    </row>
    <row r="58" spans="1:4">
      <c r="A58" s="18">
        <v>41571</v>
      </c>
      <c r="B58" s="11" t="s">
        <v>76</v>
      </c>
      <c r="C58" s="11" t="s">
        <v>94</v>
      </c>
      <c r="D58" s="19">
        <v>123</v>
      </c>
    </row>
    <row r="59" spans="1:4">
      <c r="A59" s="18">
        <v>41568</v>
      </c>
      <c r="B59" s="11" t="s">
        <v>67</v>
      </c>
      <c r="C59" s="11" t="s">
        <v>73</v>
      </c>
      <c r="D59" s="19">
        <v>519</v>
      </c>
    </row>
    <row r="60" spans="1:4">
      <c r="A60" s="18">
        <v>41569</v>
      </c>
      <c r="B60" s="11" t="s">
        <v>72</v>
      </c>
      <c r="C60" s="11" t="s">
        <v>86</v>
      </c>
      <c r="D60" s="19">
        <v>501</v>
      </c>
    </row>
    <row r="61" spans="1:4">
      <c r="A61" s="18">
        <v>41573</v>
      </c>
      <c r="B61" s="11" t="s">
        <v>67</v>
      </c>
      <c r="C61" s="11" t="s">
        <v>89</v>
      </c>
      <c r="D61" s="19">
        <v>235</v>
      </c>
    </row>
    <row r="62" spans="1:4">
      <c r="A62" s="18">
        <v>41570</v>
      </c>
      <c r="B62" s="11" t="s">
        <v>76</v>
      </c>
      <c r="C62" s="11" t="s">
        <v>70</v>
      </c>
      <c r="D62" s="19">
        <v>35</v>
      </c>
    </row>
    <row r="63" spans="1:4">
      <c r="A63" s="18">
        <v>41570</v>
      </c>
      <c r="B63" s="11" t="s">
        <v>67</v>
      </c>
      <c r="C63" s="11" t="s">
        <v>73</v>
      </c>
      <c r="D63" s="19">
        <v>319</v>
      </c>
    </row>
    <row r="64" spans="1:4">
      <c r="A64" s="18">
        <v>41571</v>
      </c>
      <c r="B64" s="11" t="s">
        <v>72</v>
      </c>
      <c r="C64" s="11" t="s">
        <v>70</v>
      </c>
      <c r="D64" s="19">
        <v>551</v>
      </c>
    </row>
    <row r="65" spans="1:4">
      <c r="A65" s="18">
        <v>41573</v>
      </c>
      <c r="B65" s="11" t="s">
        <v>76</v>
      </c>
      <c r="C65" s="11" t="s">
        <v>91</v>
      </c>
      <c r="D65" s="19">
        <v>188</v>
      </c>
    </row>
    <row r="66" spans="1:4">
      <c r="A66" s="18">
        <v>41572</v>
      </c>
      <c r="B66" s="11" t="s">
        <v>67</v>
      </c>
      <c r="C66" s="11" t="s">
        <v>89</v>
      </c>
      <c r="D66" s="19">
        <v>129</v>
      </c>
    </row>
    <row r="67" spans="1:4">
      <c r="A67" s="18">
        <v>41567</v>
      </c>
      <c r="B67" s="11" t="s">
        <v>67</v>
      </c>
      <c r="C67" s="11" t="s">
        <v>79</v>
      </c>
      <c r="D67" s="19">
        <v>339</v>
      </c>
    </row>
    <row r="68" spans="1:4">
      <c r="A68" s="18">
        <v>41568</v>
      </c>
      <c r="B68" s="11" t="s">
        <v>76</v>
      </c>
      <c r="C68" s="11" t="s">
        <v>89</v>
      </c>
      <c r="D68" s="19">
        <v>485</v>
      </c>
    </row>
    <row r="69" spans="1:4">
      <c r="A69" s="18">
        <v>41567</v>
      </c>
      <c r="B69" s="11" t="s">
        <v>67</v>
      </c>
      <c r="C69" s="11" t="s">
        <v>86</v>
      </c>
      <c r="D69" s="19">
        <v>29</v>
      </c>
    </row>
    <row r="70" spans="1:4">
      <c r="A70" s="18">
        <v>41567</v>
      </c>
      <c r="B70" s="11" t="s">
        <v>76</v>
      </c>
      <c r="C70" s="11" t="s">
        <v>77</v>
      </c>
      <c r="D70" s="19">
        <v>135</v>
      </c>
    </row>
    <row r="71" spans="1:4">
      <c r="A71" s="18">
        <v>41573</v>
      </c>
      <c r="B71" s="11" t="s">
        <v>76</v>
      </c>
      <c r="C71" s="11" t="s">
        <v>68</v>
      </c>
      <c r="D71" s="19">
        <v>584</v>
      </c>
    </row>
    <row r="72" spans="1:4">
      <c r="A72" s="18">
        <v>41570</v>
      </c>
      <c r="B72" s="11" t="s">
        <v>72</v>
      </c>
      <c r="C72" s="11" t="s">
        <v>81</v>
      </c>
      <c r="D72" s="19">
        <v>684</v>
      </c>
    </row>
    <row r="73" spans="1:4">
      <c r="A73" s="18">
        <v>41570</v>
      </c>
      <c r="B73" s="11" t="s">
        <v>67</v>
      </c>
      <c r="C73" s="11" t="s">
        <v>73</v>
      </c>
      <c r="D73" s="19">
        <v>528</v>
      </c>
    </row>
    <row r="74" spans="1:4">
      <c r="A74" s="18">
        <v>41573</v>
      </c>
      <c r="B74" s="11" t="s">
        <v>76</v>
      </c>
      <c r="C74" s="11" t="s">
        <v>81</v>
      </c>
      <c r="D74" s="19">
        <v>675</v>
      </c>
    </row>
    <row r="75" spans="1:4">
      <c r="A75" s="18">
        <v>41570</v>
      </c>
      <c r="B75" s="11" t="s">
        <v>67</v>
      </c>
      <c r="C75" s="11" t="s">
        <v>79</v>
      </c>
      <c r="D75" s="19">
        <v>119</v>
      </c>
    </row>
    <row r="76" spans="1:4">
      <c r="A76" s="18">
        <v>41569</v>
      </c>
      <c r="B76" s="11" t="s">
        <v>67</v>
      </c>
      <c r="C76" s="11" t="s">
        <v>77</v>
      </c>
      <c r="D76" s="19">
        <v>368</v>
      </c>
    </row>
    <row r="77" spans="1:4">
      <c r="A77" s="18">
        <v>41571</v>
      </c>
      <c r="B77" s="11" t="s">
        <v>76</v>
      </c>
      <c r="C77" s="11" t="s">
        <v>84</v>
      </c>
      <c r="D77" s="19">
        <v>524</v>
      </c>
    </row>
    <row r="78" spans="1:4">
      <c r="A78" s="18">
        <v>41571</v>
      </c>
      <c r="B78" s="11" t="s">
        <v>76</v>
      </c>
      <c r="C78" s="11" t="s">
        <v>81</v>
      </c>
      <c r="D78" s="19">
        <v>329</v>
      </c>
    </row>
    <row r="79" spans="1:4">
      <c r="A79" s="18">
        <v>41573</v>
      </c>
      <c r="B79" s="11" t="s">
        <v>67</v>
      </c>
      <c r="C79" s="11" t="s">
        <v>92</v>
      </c>
      <c r="D79" s="19">
        <v>146</v>
      </c>
    </row>
    <row r="80" spans="1:4">
      <c r="A80" s="18">
        <v>41573</v>
      </c>
      <c r="B80" s="11" t="s">
        <v>72</v>
      </c>
      <c r="C80" s="11" t="s">
        <v>73</v>
      </c>
      <c r="D80" s="19">
        <v>350</v>
      </c>
    </row>
    <row r="81" spans="1:4">
      <c r="A81" s="18">
        <v>41570</v>
      </c>
      <c r="B81" s="11" t="s">
        <v>76</v>
      </c>
      <c r="C81" s="11" t="s">
        <v>91</v>
      </c>
      <c r="D81" s="19">
        <v>387</v>
      </c>
    </row>
    <row r="82" spans="1:4">
      <c r="A82" s="18">
        <v>41567</v>
      </c>
      <c r="B82" s="11" t="s">
        <v>76</v>
      </c>
      <c r="C82" s="11" t="s">
        <v>82</v>
      </c>
      <c r="D82" s="19">
        <v>244</v>
      </c>
    </row>
    <row r="83" spans="1:4">
      <c r="A83" s="18">
        <v>41570</v>
      </c>
      <c r="B83" s="11" t="s">
        <v>76</v>
      </c>
      <c r="C83" s="11" t="s">
        <v>89</v>
      </c>
      <c r="D83" s="19">
        <v>388</v>
      </c>
    </row>
    <row r="84" spans="1:4">
      <c r="A84" s="18">
        <v>41567</v>
      </c>
      <c r="B84" s="11" t="s">
        <v>76</v>
      </c>
      <c r="C84" s="11" t="s">
        <v>91</v>
      </c>
      <c r="D84" s="19">
        <v>449</v>
      </c>
    </row>
    <row r="85" spans="1:4">
      <c r="A85" s="18">
        <v>41569</v>
      </c>
      <c r="B85" s="11" t="s">
        <v>67</v>
      </c>
      <c r="C85" s="11" t="s">
        <v>91</v>
      </c>
      <c r="D85" s="19">
        <v>477</v>
      </c>
    </row>
    <row r="86" spans="1:4">
      <c r="A86" s="18">
        <v>41570</v>
      </c>
      <c r="B86" s="11" t="s">
        <v>76</v>
      </c>
      <c r="C86" s="11" t="s">
        <v>93</v>
      </c>
      <c r="D86" s="19">
        <v>457</v>
      </c>
    </row>
    <row r="87" spans="1:4">
      <c r="A87" s="18">
        <v>41573</v>
      </c>
      <c r="B87" s="11" t="s">
        <v>76</v>
      </c>
      <c r="C87" s="11" t="s">
        <v>70</v>
      </c>
      <c r="D87" s="19">
        <v>105</v>
      </c>
    </row>
    <row r="88" spans="1:4">
      <c r="A88" s="18">
        <v>41569</v>
      </c>
      <c r="B88" s="11" t="s">
        <v>67</v>
      </c>
      <c r="C88" s="11" t="s">
        <v>92</v>
      </c>
      <c r="D88" s="19">
        <v>458</v>
      </c>
    </row>
    <row r="89" spans="1:4">
      <c r="A89" s="18">
        <v>41573</v>
      </c>
      <c r="B89" s="11" t="s">
        <v>72</v>
      </c>
      <c r="C89" s="11" t="s">
        <v>69</v>
      </c>
      <c r="D89" s="19">
        <v>110</v>
      </c>
    </row>
    <row r="90" spans="1:4">
      <c r="A90" s="18">
        <v>41568</v>
      </c>
      <c r="B90" s="11" t="s">
        <v>67</v>
      </c>
      <c r="C90" s="11" t="s">
        <v>91</v>
      </c>
      <c r="D90" s="19">
        <v>32</v>
      </c>
    </row>
    <row r="91" spans="1:4">
      <c r="A91" s="18">
        <v>41571</v>
      </c>
      <c r="B91" s="11" t="s">
        <v>67</v>
      </c>
      <c r="C91" s="11" t="s">
        <v>80</v>
      </c>
      <c r="D91" s="19">
        <v>681</v>
      </c>
    </row>
    <row r="92" spans="1:4">
      <c r="A92" s="18">
        <v>41570</v>
      </c>
      <c r="B92" s="11" t="s">
        <v>72</v>
      </c>
      <c r="C92" s="11" t="s">
        <v>70</v>
      </c>
      <c r="D92" s="19">
        <v>320</v>
      </c>
    </row>
    <row r="93" spans="1:4">
      <c r="A93" s="18">
        <v>41572</v>
      </c>
      <c r="B93" s="11" t="s">
        <v>72</v>
      </c>
      <c r="C93" s="11" t="s">
        <v>84</v>
      </c>
      <c r="D93" s="19">
        <v>601</v>
      </c>
    </row>
    <row r="94" spans="1:4">
      <c r="A94" s="18">
        <v>41572</v>
      </c>
      <c r="B94" s="11" t="s">
        <v>76</v>
      </c>
      <c r="C94" s="11" t="s">
        <v>86</v>
      </c>
      <c r="D94" s="19">
        <v>101</v>
      </c>
    </row>
    <row r="95" spans="1:4">
      <c r="A95" s="18">
        <v>41570</v>
      </c>
      <c r="B95" s="11" t="s">
        <v>72</v>
      </c>
      <c r="C95" s="11" t="s">
        <v>93</v>
      </c>
      <c r="D95" s="19">
        <v>172</v>
      </c>
    </row>
    <row r="96" spans="1:4">
      <c r="A96" s="18">
        <v>41567</v>
      </c>
      <c r="B96" s="11" t="s">
        <v>67</v>
      </c>
      <c r="C96" s="11" t="s">
        <v>79</v>
      </c>
      <c r="D96" s="19">
        <v>197</v>
      </c>
    </row>
    <row r="97" spans="1:4">
      <c r="A97" s="18">
        <v>41569</v>
      </c>
      <c r="B97" s="11" t="s">
        <v>67</v>
      </c>
      <c r="C97" s="11" t="s">
        <v>73</v>
      </c>
      <c r="D97" s="19">
        <v>346</v>
      </c>
    </row>
    <row r="98" spans="1:4">
      <c r="A98" s="18">
        <v>41573</v>
      </c>
      <c r="B98" s="11" t="s">
        <v>67</v>
      </c>
      <c r="C98" s="11" t="s">
        <v>87</v>
      </c>
      <c r="D98" s="19">
        <v>318</v>
      </c>
    </row>
    <row r="99" spans="1:4">
      <c r="A99" s="18">
        <v>41568</v>
      </c>
      <c r="B99" s="11" t="s">
        <v>67</v>
      </c>
      <c r="C99" s="11" t="s">
        <v>87</v>
      </c>
      <c r="D99" s="19">
        <v>245</v>
      </c>
    </row>
    <row r="100" spans="1:4">
      <c r="A100" s="18">
        <v>41572</v>
      </c>
      <c r="B100" s="11" t="s">
        <v>76</v>
      </c>
      <c r="C100" s="11" t="s">
        <v>89</v>
      </c>
      <c r="D100" s="19">
        <v>498</v>
      </c>
    </row>
    <row r="101" spans="1:4">
      <c r="A101" s="18">
        <v>41573</v>
      </c>
      <c r="B101" s="11" t="s">
        <v>76</v>
      </c>
      <c r="C101" s="11" t="s">
        <v>81</v>
      </c>
      <c r="D101" s="19">
        <v>272</v>
      </c>
    </row>
    <row r="102" spans="1:4">
      <c r="A102" s="18">
        <v>41568</v>
      </c>
      <c r="B102" s="11" t="s">
        <v>76</v>
      </c>
      <c r="C102" s="11" t="s">
        <v>89</v>
      </c>
      <c r="D102" s="19">
        <v>424</v>
      </c>
    </row>
    <row r="103" spans="1:4">
      <c r="A103" s="18">
        <v>41573</v>
      </c>
      <c r="B103" s="11" t="s">
        <v>72</v>
      </c>
      <c r="C103" s="11" t="s">
        <v>81</v>
      </c>
      <c r="D103" s="19">
        <v>122</v>
      </c>
    </row>
    <row r="104" spans="1:4">
      <c r="A104" s="18">
        <v>41570</v>
      </c>
      <c r="B104" s="11" t="s">
        <v>76</v>
      </c>
      <c r="C104" s="11" t="s">
        <v>81</v>
      </c>
      <c r="D104" s="19">
        <v>39</v>
      </c>
    </row>
    <row r="105" spans="1:4">
      <c r="A105" s="18">
        <v>41568</v>
      </c>
      <c r="B105" s="11" t="s">
        <v>76</v>
      </c>
      <c r="C105" s="11" t="s">
        <v>68</v>
      </c>
      <c r="D105" s="19">
        <v>400</v>
      </c>
    </row>
    <row r="106" spans="1:4">
      <c r="A106" s="18">
        <v>41573</v>
      </c>
      <c r="B106" s="11" t="s">
        <v>67</v>
      </c>
      <c r="C106" s="11" t="s">
        <v>73</v>
      </c>
      <c r="D106" s="19">
        <v>416</v>
      </c>
    </row>
    <row r="107" spans="1:4">
      <c r="A107" s="18">
        <v>41567</v>
      </c>
      <c r="B107" s="11" t="s">
        <v>76</v>
      </c>
      <c r="C107" s="11" t="s">
        <v>88</v>
      </c>
      <c r="D107" s="19">
        <v>397</v>
      </c>
    </row>
    <row r="108" spans="1:4">
      <c r="A108" s="18">
        <v>41572</v>
      </c>
      <c r="B108" s="11" t="s">
        <v>72</v>
      </c>
      <c r="C108" s="11" t="s">
        <v>78</v>
      </c>
      <c r="D108" s="19">
        <v>671</v>
      </c>
    </row>
    <row r="109" spans="1:4">
      <c r="A109" s="18">
        <v>41572</v>
      </c>
      <c r="B109" s="11" t="s">
        <v>76</v>
      </c>
      <c r="C109" s="11" t="s">
        <v>73</v>
      </c>
      <c r="D109" s="19">
        <v>148</v>
      </c>
    </row>
    <row r="110" spans="1:4">
      <c r="A110" s="18">
        <v>41568</v>
      </c>
      <c r="B110" s="11" t="s">
        <v>72</v>
      </c>
      <c r="C110" s="11" t="s">
        <v>83</v>
      </c>
      <c r="D110" s="19">
        <v>115</v>
      </c>
    </row>
    <row r="111" spans="1:4">
      <c r="A111" s="18">
        <v>41572</v>
      </c>
      <c r="B111" s="11" t="s">
        <v>72</v>
      </c>
      <c r="C111" s="11" t="s">
        <v>74</v>
      </c>
      <c r="D111" s="19">
        <v>639</v>
      </c>
    </row>
    <row r="112" spans="1:4">
      <c r="A112" s="18">
        <v>41571</v>
      </c>
      <c r="B112" s="11" t="s">
        <v>76</v>
      </c>
      <c r="C112" s="11" t="s">
        <v>89</v>
      </c>
      <c r="D112" s="19">
        <v>659</v>
      </c>
    </row>
    <row r="113" spans="1:4">
      <c r="A113" s="18">
        <v>41569</v>
      </c>
      <c r="B113" s="11" t="s">
        <v>67</v>
      </c>
      <c r="C113" s="11" t="s">
        <v>70</v>
      </c>
      <c r="D113" s="19">
        <v>36</v>
      </c>
    </row>
    <row r="114" spans="1:4">
      <c r="A114" s="18">
        <v>41568</v>
      </c>
      <c r="B114" s="11" t="s">
        <v>72</v>
      </c>
      <c r="C114" s="11" t="s">
        <v>83</v>
      </c>
      <c r="D114" s="19">
        <v>102</v>
      </c>
    </row>
    <row r="115" spans="1:4">
      <c r="A115" s="18">
        <v>41569</v>
      </c>
      <c r="B115" s="11" t="s">
        <v>67</v>
      </c>
      <c r="C115" s="11" t="s">
        <v>86</v>
      </c>
      <c r="D115" s="19">
        <v>413</v>
      </c>
    </row>
    <row r="116" spans="1:4">
      <c r="A116" s="18">
        <v>41572</v>
      </c>
      <c r="B116" s="11" t="s">
        <v>67</v>
      </c>
      <c r="C116" s="11" t="s">
        <v>91</v>
      </c>
      <c r="D116" s="19">
        <v>166</v>
      </c>
    </row>
    <row r="117" spans="1:4">
      <c r="A117" s="18">
        <v>41569</v>
      </c>
      <c r="B117" s="11" t="s">
        <v>67</v>
      </c>
      <c r="C117" s="11" t="s">
        <v>77</v>
      </c>
      <c r="D117" s="19">
        <v>97</v>
      </c>
    </row>
    <row r="118" spans="1:4">
      <c r="A118" s="18">
        <v>41573</v>
      </c>
      <c r="B118" s="11" t="s">
        <v>67</v>
      </c>
      <c r="C118" s="11" t="s">
        <v>92</v>
      </c>
      <c r="D118" s="19">
        <v>127</v>
      </c>
    </row>
    <row r="119" spans="1:4">
      <c r="A119" s="18">
        <v>41567</v>
      </c>
      <c r="B119" s="11" t="s">
        <v>72</v>
      </c>
      <c r="C119" s="11" t="s">
        <v>85</v>
      </c>
      <c r="D119" s="19">
        <v>60</v>
      </c>
    </row>
    <row r="120" spans="1:4">
      <c r="A120" s="18">
        <v>41569</v>
      </c>
      <c r="B120" s="11" t="s">
        <v>76</v>
      </c>
      <c r="C120" s="11" t="s">
        <v>86</v>
      </c>
      <c r="D120" s="19">
        <v>496</v>
      </c>
    </row>
    <row r="121" spans="1:4">
      <c r="A121" s="18">
        <v>41570</v>
      </c>
      <c r="B121" s="11" t="s">
        <v>72</v>
      </c>
      <c r="C121" s="11" t="s">
        <v>92</v>
      </c>
      <c r="D121" s="19">
        <v>204</v>
      </c>
    </row>
    <row r="122" spans="1:4">
      <c r="A122" s="18">
        <v>41573</v>
      </c>
      <c r="B122" s="11" t="s">
        <v>72</v>
      </c>
      <c r="C122" s="11" t="s">
        <v>73</v>
      </c>
      <c r="D122" s="19">
        <v>489</v>
      </c>
    </row>
    <row r="123" spans="1:4">
      <c r="A123" s="18">
        <v>41567</v>
      </c>
      <c r="B123" s="11" t="s">
        <v>67</v>
      </c>
      <c r="C123" s="11" t="s">
        <v>82</v>
      </c>
      <c r="D123" s="19">
        <v>266</v>
      </c>
    </row>
    <row r="124" spans="1:4">
      <c r="A124" s="18">
        <v>41567</v>
      </c>
      <c r="B124" s="11" t="s">
        <v>72</v>
      </c>
      <c r="C124" s="11" t="s">
        <v>89</v>
      </c>
      <c r="D124" s="19">
        <v>364</v>
      </c>
    </row>
    <row r="125" spans="1:4">
      <c r="A125" s="18">
        <v>41567</v>
      </c>
      <c r="B125" s="11" t="s">
        <v>72</v>
      </c>
      <c r="C125" s="11" t="s">
        <v>70</v>
      </c>
      <c r="D125" s="19">
        <v>579</v>
      </c>
    </row>
    <row r="126" spans="1:4">
      <c r="A126" s="18">
        <v>41568</v>
      </c>
      <c r="B126" s="11" t="s">
        <v>67</v>
      </c>
      <c r="C126" s="11" t="s">
        <v>82</v>
      </c>
      <c r="D126" s="19">
        <v>587</v>
      </c>
    </row>
    <row r="127" spans="1:4">
      <c r="A127" s="18">
        <v>41573</v>
      </c>
      <c r="B127" s="11" t="s">
        <v>67</v>
      </c>
      <c r="C127" s="11" t="s">
        <v>85</v>
      </c>
      <c r="D127" s="19">
        <v>543</v>
      </c>
    </row>
    <row r="128" spans="1:4">
      <c r="A128" s="18">
        <v>41569</v>
      </c>
      <c r="B128" s="11" t="s">
        <v>72</v>
      </c>
      <c r="C128" s="11" t="s">
        <v>86</v>
      </c>
      <c r="D128" s="19">
        <v>644</v>
      </c>
    </row>
    <row r="129" spans="1:4">
      <c r="A129" s="18">
        <v>41567</v>
      </c>
      <c r="B129" s="11" t="s">
        <v>67</v>
      </c>
      <c r="C129" s="11" t="s">
        <v>73</v>
      </c>
      <c r="D129" s="19">
        <v>564</v>
      </c>
    </row>
    <row r="130" spans="1:4">
      <c r="A130" s="18">
        <v>41569</v>
      </c>
      <c r="B130" s="11" t="s">
        <v>76</v>
      </c>
      <c r="C130" s="11" t="s">
        <v>82</v>
      </c>
      <c r="D130" s="19">
        <v>149</v>
      </c>
    </row>
    <row r="131" spans="1:4">
      <c r="A131" s="18">
        <v>41570</v>
      </c>
      <c r="B131" s="11" t="s">
        <v>76</v>
      </c>
      <c r="C131" s="11" t="s">
        <v>70</v>
      </c>
      <c r="D131" s="19">
        <v>201</v>
      </c>
    </row>
    <row r="132" spans="1:4">
      <c r="A132" s="18">
        <v>41572</v>
      </c>
      <c r="B132" s="11" t="s">
        <v>67</v>
      </c>
      <c r="C132" s="11" t="s">
        <v>85</v>
      </c>
      <c r="D132" s="19">
        <v>51</v>
      </c>
    </row>
    <row r="133" spans="1:4">
      <c r="A133" s="18">
        <v>41570</v>
      </c>
      <c r="B133" s="11" t="s">
        <v>67</v>
      </c>
      <c r="C133" s="11" t="s">
        <v>78</v>
      </c>
      <c r="D133" s="19">
        <v>195</v>
      </c>
    </row>
    <row r="134" spans="1:4">
      <c r="A134" s="18">
        <v>41573</v>
      </c>
      <c r="B134" s="11" t="s">
        <v>72</v>
      </c>
      <c r="C134" s="11" t="s">
        <v>77</v>
      </c>
      <c r="D134" s="19">
        <v>660</v>
      </c>
    </row>
    <row r="135" spans="1:4">
      <c r="A135" s="18">
        <v>41568</v>
      </c>
      <c r="B135" s="11" t="s">
        <v>72</v>
      </c>
      <c r="C135" s="11" t="s">
        <v>78</v>
      </c>
      <c r="D135" s="19">
        <v>523</v>
      </c>
    </row>
    <row r="136" spans="1:4">
      <c r="A136" s="18">
        <v>41570</v>
      </c>
      <c r="B136" s="11" t="s">
        <v>67</v>
      </c>
      <c r="C136" s="11" t="s">
        <v>89</v>
      </c>
      <c r="D136" s="19">
        <v>649</v>
      </c>
    </row>
    <row r="137" spans="1:4">
      <c r="A137" s="18">
        <v>41572</v>
      </c>
      <c r="B137" s="11" t="s">
        <v>76</v>
      </c>
      <c r="C137" s="11" t="s">
        <v>69</v>
      </c>
      <c r="D137" s="19">
        <v>409</v>
      </c>
    </row>
    <row r="138" spans="1:4">
      <c r="A138" s="18">
        <v>41567</v>
      </c>
      <c r="B138" s="11" t="s">
        <v>72</v>
      </c>
      <c r="C138" s="11" t="s">
        <v>88</v>
      </c>
      <c r="D138" s="19">
        <v>556</v>
      </c>
    </row>
    <row r="139" spans="1:4">
      <c r="A139" s="18">
        <v>41569</v>
      </c>
      <c r="B139" s="11" t="s">
        <v>72</v>
      </c>
      <c r="C139" s="11" t="s">
        <v>77</v>
      </c>
      <c r="D139" s="19">
        <v>565</v>
      </c>
    </row>
    <row r="140" spans="1:4">
      <c r="A140" s="18">
        <v>41567</v>
      </c>
      <c r="B140" s="11" t="s">
        <v>76</v>
      </c>
      <c r="C140" s="11" t="s">
        <v>69</v>
      </c>
      <c r="D140" s="19">
        <v>357</v>
      </c>
    </row>
    <row r="141" spans="1:4">
      <c r="A141" s="18">
        <v>41572</v>
      </c>
      <c r="B141" s="11" t="s">
        <v>67</v>
      </c>
      <c r="C141" s="11" t="s">
        <v>75</v>
      </c>
      <c r="D141" s="19">
        <v>219</v>
      </c>
    </row>
    <row r="142" spans="1:4">
      <c r="A142" s="18">
        <v>41572</v>
      </c>
      <c r="B142" s="11" t="s">
        <v>72</v>
      </c>
      <c r="C142" s="11" t="s">
        <v>84</v>
      </c>
      <c r="D142" s="19">
        <v>327</v>
      </c>
    </row>
    <row r="143" spans="1:4">
      <c r="A143" s="18">
        <v>41567</v>
      </c>
      <c r="B143" s="11" t="s">
        <v>76</v>
      </c>
      <c r="C143" s="11" t="s">
        <v>88</v>
      </c>
      <c r="D143" s="19">
        <v>666</v>
      </c>
    </row>
    <row r="144" spans="1:4">
      <c r="A144" s="18">
        <v>41567</v>
      </c>
      <c r="B144" s="11" t="s">
        <v>72</v>
      </c>
      <c r="C144" s="11" t="s">
        <v>84</v>
      </c>
      <c r="D144" s="19">
        <v>290</v>
      </c>
    </row>
    <row r="145" spans="1:4">
      <c r="A145" s="18">
        <v>41571</v>
      </c>
      <c r="B145" s="11" t="s">
        <v>72</v>
      </c>
      <c r="C145" s="11" t="s">
        <v>69</v>
      </c>
      <c r="D145" s="19">
        <v>64</v>
      </c>
    </row>
    <row r="146" spans="1:4">
      <c r="A146" s="18">
        <v>41571</v>
      </c>
      <c r="B146" s="11" t="s">
        <v>67</v>
      </c>
      <c r="C146" s="11" t="s">
        <v>91</v>
      </c>
      <c r="D146" s="19">
        <v>373</v>
      </c>
    </row>
    <row r="147" spans="1:4">
      <c r="A147" s="18">
        <v>41573</v>
      </c>
      <c r="B147" s="11" t="s">
        <v>72</v>
      </c>
      <c r="C147" s="11" t="s">
        <v>79</v>
      </c>
      <c r="D147" s="19">
        <v>249</v>
      </c>
    </row>
    <row r="148" spans="1:4">
      <c r="A148" s="18">
        <v>41567</v>
      </c>
      <c r="B148" s="11" t="s">
        <v>72</v>
      </c>
      <c r="C148" s="11" t="s">
        <v>90</v>
      </c>
      <c r="D148" s="19">
        <v>237</v>
      </c>
    </row>
    <row r="149" spans="1:4">
      <c r="A149" s="18">
        <v>41569</v>
      </c>
      <c r="B149" s="11" t="s">
        <v>67</v>
      </c>
      <c r="C149" s="11" t="s">
        <v>91</v>
      </c>
      <c r="D149" s="19">
        <v>138</v>
      </c>
    </row>
    <row r="150" spans="1:4">
      <c r="A150" s="18">
        <v>41573</v>
      </c>
      <c r="B150" s="11" t="s">
        <v>67</v>
      </c>
      <c r="C150" s="11" t="s">
        <v>82</v>
      </c>
      <c r="D150" s="19">
        <v>324</v>
      </c>
    </row>
    <row r="151" spans="1:4">
      <c r="A151" s="18">
        <v>41569</v>
      </c>
      <c r="B151" s="11" t="s">
        <v>76</v>
      </c>
      <c r="C151" s="11" t="s">
        <v>89</v>
      </c>
      <c r="D151" s="19">
        <v>633</v>
      </c>
    </row>
    <row r="152" spans="1:4">
      <c r="A152" s="18">
        <v>41573</v>
      </c>
      <c r="B152" s="11" t="s">
        <v>76</v>
      </c>
      <c r="C152" s="11" t="s">
        <v>81</v>
      </c>
      <c r="D152" s="19">
        <v>240</v>
      </c>
    </row>
    <row r="153" spans="1:4">
      <c r="A153" s="18">
        <v>41567</v>
      </c>
      <c r="B153" s="11" t="s">
        <v>76</v>
      </c>
      <c r="C153" s="11" t="s">
        <v>79</v>
      </c>
      <c r="D153" s="19">
        <v>615</v>
      </c>
    </row>
    <row r="154" spans="1:4">
      <c r="A154" s="18">
        <v>41569</v>
      </c>
      <c r="B154" s="11" t="s">
        <v>76</v>
      </c>
      <c r="C154" s="11" t="s">
        <v>78</v>
      </c>
      <c r="D154" s="19">
        <v>180</v>
      </c>
    </row>
    <row r="155" spans="1:4">
      <c r="A155" s="18">
        <v>41572</v>
      </c>
      <c r="B155" s="11" t="s">
        <v>67</v>
      </c>
      <c r="C155" s="11" t="s">
        <v>94</v>
      </c>
      <c r="D155" s="19">
        <v>415</v>
      </c>
    </row>
    <row r="156" spans="1:4">
      <c r="A156" s="18">
        <v>41569</v>
      </c>
      <c r="B156" s="11" t="s">
        <v>67</v>
      </c>
      <c r="C156" s="11" t="s">
        <v>83</v>
      </c>
      <c r="D156" s="19">
        <v>305</v>
      </c>
    </row>
    <row r="157" spans="1:4">
      <c r="A157" s="18">
        <v>41572</v>
      </c>
      <c r="B157" s="11" t="s">
        <v>72</v>
      </c>
      <c r="C157" s="11" t="s">
        <v>89</v>
      </c>
      <c r="D157" s="19">
        <v>657</v>
      </c>
    </row>
    <row r="158" spans="1:4">
      <c r="A158" s="18">
        <v>41570</v>
      </c>
      <c r="B158" s="11" t="s">
        <v>67</v>
      </c>
      <c r="C158" s="11" t="s">
        <v>89</v>
      </c>
      <c r="D158" s="19">
        <v>474</v>
      </c>
    </row>
    <row r="159" spans="1:4">
      <c r="A159" s="18">
        <v>41569</v>
      </c>
      <c r="B159" s="11" t="s">
        <v>67</v>
      </c>
      <c r="C159" s="11" t="s">
        <v>91</v>
      </c>
      <c r="D159" s="19">
        <v>611</v>
      </c>
    </row>
    <row r="160" spans="1:4">
      <c r="A160" s="18">
        <v>41568</v>
      </c>
      <c r="B160" s="11" t="s">
        <v>67</v>
      </c>
      <c r="C160" s="11" t="s">
        <v>90</v>
      </c>
      <c r="D160" s="19">
        <v>682</v>
      </c>
    </row>
    <row r="161" spans="1:4">
      <c r="A161" s="18">
        <v>41571</v>
      </c>
      <c r="B161" s="11" t="s">
        <v>72</v>
      </c>
      <c r="C161" s="11" t="s">
        <v>83</v>
      </c>
      <c r="D161" s="19">
        <v>398</v>
      </c>
    </row>
    <row r="162" spans="1:4">
      <c r="A162" s="18">
        <v>41570</v>
      </c>
      <c r="B162" s="11" t="s">
        <v>72</v>
      </c>
      <c r="C162" s="11" t="s">
        <v>91</v>
      </c>
      <c r="D162" s="19">
        <v>74</v>
      </c>
    </row>
    <row r="163" spans="1:4">
      <c r="A163" s="18">
        <v>41571</v>
      </c>
      <c r="B163" s="11" t="s">
        <v>67</v>
      </c>
      <c r="C163" s="11" t="s">
        <v>81</v>
      </c>
      <c r="D163" s="19">
        <v>243</v>
      </c>
    </row>
    <row r="164" spans="1:4">
      <c r="A164" s="18">
        <v>41572</v>
      </c>
      <c r="B164" s="11" t="s">
        <v>67</v>
      </c>
      <c r="C164" s="11" t="s">
        <v>70</v>
      </c>
      <c r="D164" s="19">
        <v>151</v>
      </c>
    </row>
    <row r="165" spans="1:4">
      <c r="A165" s="18">
        <v>41572</v>
      </c>
      <c r="B165" s="11" t="s">
        <v>72</v>
      </c>
      <c r="C165" s="11" t="s">
        <v>89</v>
      </c>
      <c r="D165" s="19">
        <v>174</v>
      </c>
    </row>
    <row r="166" spans="1:4">
      <c r="A166" s="18">
        <v>41571</v>
      </c>
      <c r="B166" s="11" t="s">
        <v>72</v>
      </c>
      <c r="C166" s="11" t="s">
        <v>84</v>
      </c>
      <c r="D166" s="19">
        <v>304</v>
      </c>
    </row>
    <row r="167" spans="1:4">
      <c r="A167" s="18">
        <v>41567</v>
      </c>
      <c r="B167" s="11" t="s">
        <v>67</v>
      </c>
      <c r="C167" s="11" t="s">
        <v>95</v>
      </c>
      <c r="D167" s="19">
        <v>457</v>
      </c>
    </row>
    <row r="168" spans="1:4">
      <c r="A168" s="18">
        <v>41567</v>
      </c>
      <c r="B168" s="11" t="s">
        <v>76</v>
      </c>
      <c r="C168" s="11" t="s">
        <v>73</v>
      </c>
      <c r="D168" s="19">
        <v>315</v>
      </c>
    </row>
    <row r="169" spans="1:4">
      <c r="A169" s="18">
        <v>41570</v>
      </c>
      <c r="B169" s="11" t="s">
        <v>72</v>
      </c>
      <c r="C169" s="11" t="s">
        <v>77</v>
      </c>
      <c r="D169" s="19">
        <v>295</v>
      </c>
    </row>
    <row r="170" spans="1:4">
      <c r="A170" s="18">
        <v>41569</v>
      </c>
      <c r="B170" s="11" t="s">
        <v>72</v>
      </c>
      <c r="C170" s="11" t="s">
        <v>86</v>
      </c>
      <c r="D170" s="19">
        <v>534</v>
      </c>
    </row>
    <row r="171" spans="1:4">
      <c r="A171" s="18">
        <v>41570</v>
      </c>
      <c r="B171" s="11" t="s">
        <v>67</v>
      </c>
      <c r="C171" s="11" t="s">
        <v>68</v>
      </c>
      <c r="D171" s="19">
        <v>598</v>
      </c>
    </row>
    <row r="172" spans="1:4">
      <c r="A172" s="18">
        <v>41571</v>
      </c>
      <c r="B172" s="11" t="s">
        <v>76</v>
      </c>
      <c r="C172" s="11" t="s">
        <v>81</v>
      </c>
      <c r="D172" s="19">
        <v>14</v>
      </c>
    </row>
    <row r="173" spans="1:4">
      <c r="A173" s="18">
        <v>41569</v>
      </c>
      <c r="B173" s="11" t="s">
        <v>76</v>
      </c>
      <c r="C173" s="11" t="s">
        <v>89</v>
      </c>
      <c r="D173" s="19">
        <v>26</v>
      </c>
    </row>
    <row r="174" spans="1:4">
      <c r="A174" s="18">
        <v>41570</v>
      </c>
      <c r="B174" s="11" t="s">
        <v>67</v>
      </c>
      <c r="C174" s="11" t="s">
        <v>74</v>
      </c>
      <c r="D174" s="19">
        <v>108</v>
      </c>
    </row>
    <row r="175" spans="1:4">
      <c r="A175" s="18">
        <v>41569</v>
      </c>
      <c r="B175" s="11" t="s">
        <v>67</v>
      </c>
      <c r="C175" s="11" t="s">
        <v>85</v>
      </c>
      <c r="D175" s="19">
        <v>114</v>
      </c>
    </row>
    <row r="176" spans="1:4">
      <c r="A176" s="18">
        <v>41573</v>
      </c>
      <c r="B176" s="11" t="s">
        <v>72</v>
      </c>
      <c r="C176" s="11" t="s">
        <v>93</v>
      </c>
      <c r="D176" s="19">
        <v>684</v>
      </c>
    </row>
    <row r="177" spans="1:4">
      <c r="A177" s="18">
        <v>41572</v>
      </c>
      <c r="B177" s="11" t="s">
        <v>67</v>
      </c>
      <c r="C177" s="11" t="s">
        <v>90</v>
      </c>
      <c r="D177" s="19">
        <v>258</v>
      </c>
    </row>
    <row r="178" spans="1:4">
      <c r="A178" s="18">
        <v>41568</v>
      </c>
      <c r="B178" s="11" t="s">
        <v>72</v>
      </c>
      <c r="C178" s="11" t="s">
        <v>87</v>
      </c>
      <c r="D178" s="19">
        <v>439</v>
      </c>
    </row>
    <row r="179" spans="1:4">
      <c r="A179" s="18">
        <v>41573</v>
      </c>
      <c r="B179" s="11" t="s">
        <v>72</v>
      </c>
      <c r="C179" s="11" t="s">
        <v>73</v>
      </c>
      <c r="D179" s="19">
        <v>583</v>
      </c>
    </row>
    <row r="180" spans="1:4">
      <c r="A180" s="18">
        <v>41572</v>
      </c>
      <c r="B180" s="11" t="s">
        <v>67</v>
      </c>
      <c r="C180" s="11" t="s">
        <v>81</v>
      </c>
      <c r="D180" s="19">
        <v>664</v>
      </c>
    </row>
    <row r="181" spans="1:4">
      <c r="A181" s="18">
        <v>41571</v>
      </c>
      <c r="B181" s="11" t="s">
        <v>67</v>
      </c>
      <c r="C181" s="11" t="s">
        <v>69</v>
      </c>
      <c r="D181" s="19">
        <v>339</v>
      </c>
    </row>
    <row r="182" spans="1:4">
      <c r="A182" s="18">
        <v>41571</v>
      </c>
      <c r="B182" s="11" t="s">
        <v>72</v>
      </c>
      <c r="C182" s="11" t="s">
        <v>84</v>
      </c>
      <c r="D182" s="19">
        <v>164</v>
      </c>
    </row>
    <row r="183" spans="1:4">
      <c r="A183" s="18">
        <v>41569</v>
      </c>
      <c r="B183" s="11" t="s">
        <v>76</v>
      </c>
      <c r="C183" s="11" t="s">
        <v>69</v>
      </c>
      <c r="D183" s="19">
        <v>671</v>
      </c>
    </row>
    <row r="184" spans="1:4">
      <c r="A184" s="18">
        <v>41570</v>
      </c>
      <c r="B184" s="11" t="s">
        <v>76</v>
      </c>
      <c r="C184" s="11" t="s">
        <v>86</v>
      </c>
      <c r="D184" s="19">
        <v>241</v>
      </c>
    </row>
    <row r="185" spans="1:4">
      <c r="A185" s="18">
        <v>41571</v>
      </c>
      <c r="B185" s="11" t="s">
        <v>67</v>
      </c>
      <c r="C185" s="11" t="s">
        <v>86</v>
      </c>
      <c r="D185" s="19">
        <v>257</v>
      </c>
    </row>
    <row r="186" spans="1:4">
      <c r="A186" s="18">
        <v>41570</v>
      </c>
      <c r="B186" s="11" t="s">
        <v>72</v>
      </c>
      <c r="C186" s="11" t="s">
        <v>90</v>
      </c>
      <c r="D186" s="19">
        <v>264</v>
      </c>
    </row>
    <row r="187" spans="1:4">
      <c r="A187" s="18">
        <v>41573</v>
      </c>
      <c r="B187" s="11" t="s">
        <v>67</v>
      </c>
      <c r="C187" s="11" t="s">
        <v>86</v>
      </c>
      <c r="D187" s="19">
        <v>471</v>
      </c>
    </row>
    <row r="188" spans="1:4">
      <c r="A188" s="18">
        <v>41568</v>
      </c>
      <c r="B188" s="11" t="s">
        <v>72</v>
      </c>
      <c r="C188" s="11" t="s">
        <v>94</v>
      </c>
      <c r="D188" s="19">
        <v>40</v>
      </c>
    </row>
    <row r="189" spans="1:4">
      <c r="A189" s="18">
        <v>41569</v>
      </c>
      <c r="B189" s="11" t="s">
        <v>67</v>
      </c>
      <c r="C189" s="11" t="s">
        <v>82</v>
      </c>
      <c r="D189" s="19">
        <v>594</v>
      </c>
    </row>
    <row r="190" spans="1:4">
      <c r="A190" s="18">
        <v>41568</v>
      </c>
      <c r="B190" s="11" t="s">
        <v>67</v>
      </c>
      <c r="C190" s="11" t="s">
        <v>77</v>
      </c>
      <c r="D190" s="19">
        <v>605</v>
      </c>
    </row>
    <row r="191" spans="1:4">
      <c r="A191" s="18">
        <v>41571</v>
      </c>
      <c r="B191" s="11" t="s">
        <v>67</v>
      </c>
      <c r="C191" s="11" t="s">
        <v>83</v>
      </c>
      <c r="D191" s="19">
        <v>409</v>
      </c>
    </row>
    <row r="192" spans="1:4">
      <c r="A192" s="18">
        <v>41568</v>
      </c>
      <c r="B192" s="11" t="s">
        <v>72</v>
      </c>
      <c r="C192" s="11" t="s">
        <v>94</v>
      </c>
      <c r="D192" s="19">
        <v>250</v>
      </c>
    </row>
    <row r="193" spans="1:4">
      <c r="A193" s="18">
        <v>41569</v>
      </c>
      <c r="B193" s="11" t="s">
        <v>76</v>
      </c>
      <c r="C193" s="11" t="s">
        <v>94</v>
      </c>
      <c r="D193" s="19">
        <v>481</v>
      </c>
    </row>
    <row r="194" spans="1:4">
      <c r="A194" s="18">
        <v>41572</v>
      </c>
      <c r="B194" s="11" t="s">
        <v>67</v>
      </c>
      <c r="C194" s="11" t="s">
        <v>92</v>
      </c>
      <c r="D194" s="19">
        <v>529</v>
      </c>
    </row>
    <row r="195" spans="1:4">
      <c r="A195" s="18">
        <v>41571</v>
      </c>
      <c r="B195" s="11" t="s">
        <v>76</v>
      </c>
      <c r="C195" s="11" t="s">
        <v>95</v>
      </c>
      <c r="D195" s="19">
        <v>56</v>
      </c>
    </row>
    <row r="196" spans="1:4">
      <c r="A196" s="18">
        <v>41570</v>
      </c>
      <c r="B196" s="11" t="s">
        <v>67</v>
      </c>
      <c r="C196" s="11" t="s">
        <v>73</v>
      </c>
      <c r="D196" s="19">
        <v>82</v>
      </c>
    </row>
    <row r="197" spans="1:4">
      <c r="A197" s="18">
        <v>41573</v>
      </c>
      <c r="B197" s="11" t="s">
        <v>67</v>
      </c>
      <c r="C197" s="11" t="s">
        <v>81</v>
      </c>
      <c r="D197" s="19">
        <v>575</v>
      </c>
    </row>
    <row r="198" spans="1:4">
      <c r="A198" s="18">
        <v>41569</v>
      </c>
      <c r="B198" s="11" t="s">
        <v>67</v>
      </c>
      <c r="C198" s="11" t="s">
        <v>89</v>
      </c>
      <c r="D198" s="19">
        <v>665</v>
      </c>
    </row>
    <row r="199" spans="1:4">
      <c r="A199" s="18">
        <v>41572</v>
      </c>
      <c r="B199" s="11" t="s">
        <v>67</v>
      </c>
      <c r="C199" s="11" t="s">
        <v>89</v>
      </c>
      <c r="D199" s="19">
        <v>490</v>
      </c>
    </row>
    <row r="200" spans="1:4">
      <c r="A200" s="18">
        <v>41570</v>
      </c>
      <c r="B200" s="11" t="s">
        <v>76</v>
      </c>
      <c r="C200" s="11" t="s">
        <v>86</v>
      </c>
      <c r="D200" s="19">
        <v>630</v>
      </c>
    </row>
    <row r="201" spans="1:4">
      <c r="A201" s="18">
        <v>41572</v>
      </c>
      <c r="B201" s="11" t="s">
        <v>76</v>
      </c>
      <c r="C201" s="11" t="s">
        <v>69</v>
      </c>
      <c r="D201" s="19">
        <v>352</v>
      </c>
    </row>
    <row r="202" spans="1:4">
      <c r="A202" s="18">
        <v>41570</v>
      </c>
      <c r="B202" s="11" t="s">
        <v>76</v>
      </c>
      <c r="C202" s="11" t="s">
        <v>80</v>
      </c>
      <c r="D202" s="19">
        <v>269</v>
      </c>
    </row>
    <row r="203" spans="1:4">
      <c r="A203" s="18">
        <v>41569</v>
      </c>
      <c r="B203" s="11" t="s">
        <v>76</v>
      </c>
      <c r="C203" s="11" t="s">
        <v>68</v>
      </c>
      <c r="D203" s="19">
        <v>200</v>
      </c>
    </row>
    <row r="204" spans="1:4">
      <c r="A204" s="18">
        <v>41570</v>
      </c>
      <c r="B204" s="11" t="s">
        <v>67</v>
      </c>
      <c r="C204" s="11" t="s">
        <v>91</v>
      </c>
      <c r="D204" s="19">
        <v>329</v>
      </c>
    </row>
    <row r="205" spans="1:4">
      <c r="A205" s="18">
        <v>41571</v>
      </c>
      <c r="B205" s="11" t="s">
        <v>67</v>
      </c>
      <c r="C205" s="11" t="s">
        <v>77</v>
      </c>
      <c r="D205" s="19">
        <v>605</v>
      </c>
    </row>
    <row r="206" spans="1:4">
      <c r="A206" s="18">
        <v>41569</v>
      </c>
      <c r="B206" s="11" t="s">
        <v>67</v>
      </c>
      <c r="C206" s="11" t="s">
        <v>82</v>
      </c>
      <c r="D206" s="19">
        <v>340</v>
      </c>
    </row>
    <row r="207" spans="1:4">
      <c r="A207" s="18">
        <v>41569</v>
      </c>
      <c r="B207" s="11" t="s">
        <v>67</v>
      </c>
      <c r="C207" s="11" t="s">
        <v>91</v>
      </c>
      <c r="D207" s="19">
        <v>456</v>
      </c>
    </row>
    <row r="208" spans="1:4">
      <c r="A208" s="18">
        <v>41569</v>
      </c>
      <c r="B208" s="11" t="s">
        <v>67</v>
      </c>
      <c r="C208" s="11" t="s">
        <v>92</v>
      </c>
      <c r="D208" s="19">
        <v>368</v>
      </c>
    </row>
    <row r="209" spans="1:4">
      <c r="A209" s="18">
        <v>41569</v>
      </c>
      <c r="B209" s="11" t="s">
        <v>72</v>
      </c>
      <c r="C209" s="11" t="s">
        <v>81</v>
      </c>
      <c r="D209" s="19">
        <v>510</v>
      </c>
    </row>
    <row r="210" spans="1:4">
      <c r="A210" s="18">
        <v>41568</v>
      </c>
      <c r="B210" s="11" t="s">
        <v>72</v>
      </c>
      <c r="C210" s="11" t="s">
        <v>70</v>
      </c>
      <c r="D210" s="19">
        <v>63</v>
      </c>
    </row>
    <row r="211" spans="1:4">
      <c r="A211" s="18">
        <v>41570</v>
      </c>
      <c r="B211" s="11" t="s">
        <v>72</v>
      </c>
      <c r="C211" s="11" t="s">
        <v>69</v>
      </c>
      <c r="D211" s="19">
        <v>359</v>
      </c>
    </row>
    <row r="212" spans="1:4">
      <c r="A212" s="18">
        <v>41567</v>
      </c>
      <c r="B212" s="11" t="s">
        <v>67</v>
      </c>
      <c r="C212" s="11" t="s">
        <v>70</v>
      </c>
      <c r="D212" s="19">
        <v>138</v>
      </c>
    </row>
    <row r="213" spans="1:4">
      <c r="A213" s="18">
        <v>41573</v>
      </c>
      <c r="B213" s="11" t="s">
        <v>72</v>
      </c>
      <c r="C213" s="11" t="s">
        <v>85</v>
      </c>
      <c r="D213" s="19">
        <v>35</v>
      </c>
    </row>
    <row r="214" spans="1:4">
      <c r="A214" s="18">
        <v>41573</v>
      </c>
      <c r="B214" s="11" t="s">
        <v>76</v>
      </c>
      <c r="C214" s="11" t="s">
        <v>78</v>
      </c>
      <c r="D214" s="19">
        <v>386</v>
      </c>
    </row>
    <row r="215" spans="1:4">
      <c r="A215" s="18">
        <v>41573</v>
      </c>
      <c r="B215" s="11" t="s">
        <v>76</v>
      </c>
      <c r="C215" s="11" t="s">
        <v>86</v>
      </c>
      <c r="D215" s="19">
        <v>73</v>
      </c>
    </row>
    <row r="216" spans="1:4">
      <c r="A216" s="18">
        <v>41572</v>
      </c>
      <c r="B216" s="11" t="s">
        <v>72</v>
      </c>
      <c r="C216" s="11" t="s">
        <v>86</v>
      </c>
      <c r="D216" s="19">
        <v>389</v>
      </c>
    </row>
    <row r="217" spans="1:4">
      <c r="A217" s="18">
        <v>41573</v>
      </c>
      <c r="B217" s="11" t="s">
        <v>67</v>
      </c>
      <c r="C217" s="11" t="s">
        <v>89</v>
      </c>
      <c r="D217" s="19">
        <v>321</v>
      </c>
    </row>
    <row r="218" spans="1:4">
      <c r="A218" s="18">
        <v>41571</v>
      </c>
      <c r="B218" s="11" t="s">
        <v>72</v>
      </c>
      <c r="C218" s="11" t="s">
        <v>89</v>
      </c>
      <c r="D218" s="19">
        <v>175</v>
      </c>
    </row>
    <row r="219" spans="1:4">
      <c r="A219" s="18">
        <v>41572</v>
      </c>
      <c r="B219" s="11" t="s">
        <v>76</v>
      </c>
      <c r="C219" s="11" t="s">
        <v>69</v>
      </c>
      <c r="D219" s="19">
        <v>438</v>
      </c>
    </row>
    <row r="220" spans="1:4">
      <c r="A220" s="18">
        <v>41567</v>
      </c>
      <c r="B220" s="11" t="s">
        <v>76</v>
      </c>
      <c r="C220" s="11" t="s">
        <v>73</v>
      </c>
      <c r="D220" s="19">
        <v>622</v>
      </c>
    </row>
    <row r="221" spans="1:4">
      <c r="A221" s="18">
        <v>41568</v>
      </c>
      <c r="B221" s="11" t="s">
        <v>76</v>
      </c>
      <c r="C221" s="11" t="s">
        <v>73</v>
      </c>
      <c r="D221" s="19">
        <v>612</v>
      </c>
    </row>
    <row r="222" spans="1:4">
      <c r="A222" s="18">
        <v>41571</v>
      </c>
      <c r="B222" s="11" t="s">
        <v>76</v>
      </c>
      <c r="C222" s="11" t="s">
        <v>70</v>
      </c>
      <c r="D222" s="19">
        <v>404</v>
      </c>
    </row>
    <row r="223" spans="1:4">
      <c r="A223" s="18">
        <v>41573</v>
      </c>
      <c r="B223" s="11" t="s">
        <v>76</v>
      </c>
      <c r="C223" s="11" t="s">
        <v>69</v>
      </c>
      <c r="D223" s="19">
        <v>632</v>
      </c>
    </row>
    <row r="224" spans="1:4">
      <c r="A224" s="18">
        <v>41569</v>
      </c>
      <c r="B224" s="11" t="s">
        <v>72</v>
      </c>
      <c r="C224" s="11" t="s">
        <v>69</v>
      </c>
      <c r="D224" s="19">
        <v>20</v>
      </c>
    </row>
    <row r="225" spans="1:4">
      <c r="A225" s="18">
        <v>41567</v>
      </c>
      <c r="B225" s="11" t="s">
        <v>67</v>
      </c>
      <c r="C225" s="11" t="s">
        <v>80</v>
      </c>
      <c r="D225" s="19">
        <v>264</v>
      </c>
    </row>
    <row r="226" spans="1:4">
      <c r="A226" s="18">
        <v>41567</v>
      </c>
      <c r="B226" s="11" t="s">
        <v>72</v>
      </c>
      <c r="C226" s="11" t="s">
        <v>69</v>
      </c>
      <c r="D226" s="19">
        <v>656</v>
      </c>
    </row>
    <row r="227" spans="1:4">
      <c r="A227" s="18">
        <v>41568</v>
      </c>
      <c r="B227" s="11" t="s">
        <v>72</v>
      </c>
      <c r="C227" s="11" t="s">
        <v>68</v>
      </c>
      <c r="D227" s="19">
        <v>391</v>
      </c>
    </row>
    <row r="228" spans="1:4">
      <c r="A228" s="18">
        <v>41567</v>
      </c>
      <c r="B228" s="11" t="s">
        <v>76</v>
      </c>
      <c r="C228" s="11" t="s">
        <v>70</v>
      </c>
      <c r="D228" s="19">
        <v>686</v>
      </c>
    </row>
    <row r="229" spans="1:4">
      <c r="A229" s="18">
        <v>41573</v>
      </c>
      <c r="B229" s="11" t="s">
        <v>72</v>
      </c>
      <c r="C229" s="11" t="s">
        <v>74</v>
      </c>
      <c r="D229" s="19">
        <v>466</v>
      </c>
    </row>
    <row r="230" spans="1:4">
      <c r="A230" s="18">
        <v>41569</v>
      </c>
      <c r="B230" s="11" t="s">
        <v>67</v>
      </c>
      <c r="C230" s="11" t="s">
        <v>89</v>
      </c>
      <c r="D230" s="19">
        <v>661</v>
      </c>
    </row>
    <row r="231" spans="1:4">
      <c r="A231" s="18">
        <v>41568</v>
      </c>
      <c r="B231" s="11" t="s">
        <v>76</v>
      </c>
      <c r="C231" s="11" t="s">
        <v>81</v>
      </c>
      <c r="D231" s="19">
        <v>654</v>
      </c>
    </row>
    <row r="232" spans="1:4">
      <c r="A232" s="18">
        <v>41569</v>
      </c>
      <c r="B232" s="11" t="s">
        <v>67</v>
      </c>
      <c r="C232" s="11" t="s">
        <v>91</v>
      </c>
      <c r="D232" s="19">
        <v>661</v>
      </c>
    </row>
    <row r="233" spans="1:4">
      <c r="A233" s="18">
        <v>41572</v>
      </c>
      <c r="B233" s="11" t="s">
        <v>67</v>
      </c>
      <c r="C233" s="11" t="s">
        <v>95</v>
      </c>
      <c r="D233" s="19">
        <v>202</v>
      </c>
    </row>
    <row r="234" spans="1:4">
      <c r="A234" s="18">
        <v>41570</v>
      </c>
      <c r="B234" s="11" t="s">
        <v>67</v>
      </c>
      <c r="C234" s="11" t="s">
        <v>81</v>
      </c>
      <c r="D234" s="19">
        <v>335</v>
      </c>
    </row>
    <row r="235" spans="1:4">
      <c r="A235" s="18">
        <v>41571</v>
      </c>
      <c r="B235" s="11" t="s">
        <v>76</v>
      </c>
      <c r="C235" s="11" t="s">
        <v>91</v>
      </c>
      <c r="D235" s="19">
        <v>181</v>
      </c>
    </row>
    <row r="236" spans="1:4">
      <c r="A236" s="18">
        <v>41570</v>
      </c>
      <c r="B236" s="11" t="s">
        <v>67</v>
      </c>
      <c r="C236" s="11" t="s">
        <v>73</v>
      </c>
      <c r="D236" s="19">
        <v>370</v>
      </c>
    </row>
    <row r="237" spans="1:4">
      <c r="A237" s="18">
        <v>41570</v>
      </c>
      <c r="B237" s="11" t="s">
        <v>67</v>
      </c>
      <c r="C237" s="11" t="s">
        <v>77</v>
      </c>
      <c r="D237" s="19">
        <v>608</v>
      </c>
    </row>
    <row r="238" spans="1:4">
      <c r="A238" s="18">
        <v>41573</v>
      </c>
      <c r="B238" s="11" t="s">
        <v>67</v>
      </c>
      <c r="C238" s="11" t="s">
        <v>81</v>
      </c>
      <c r="D238" s="19">
        <v>74</v>
      </c>
    </row>
    <row r="239" spans="1:4">
      <c r="A239" s="18">
        <v>41568</v>
      </c>
      <c r="B239" s="11" t="s">
        <v>76</v>
      </c>
      <c r="C239" s="11" t="s">
        <v>75</v>
      </c>
      <c r="D239" s="19">
        <v>349</v>
      </c>
    </row>
    <row r="240" spans="1:4">
      <c r="A240" s="18">
        <v>41570</v>
      </c>
      <c r="B240" s="11" t="s">
        <v>72</v>
      </c>
      <c r="C240" s="11" t="s">
        <v>70</v>
      </c>
      <c r="D240" s="19">
        <v>77</v>
      </c>
    </row>
    <row r="241" spans="1:4">
      <c r="A241" s="18">
        <v>41567</v>
      </c>
      <c r="B241" s="11" t="s">
        <v>76</v>
      </c>
      <c r="C241" s="11" t="s">
        <v>78</v>
      </c>
      <c r="D241" s="19">
        <v>77</v>
      </c>
    </row>
    <row r="242" spans="1:4">
      <c r="A242" s="18">
        <v>41573</v>
      </c>
      <c r="B242" s="11" t="s">
        <v>76</v>
      </c>
      <c r="C242" s="11" t="s">
        <v>77</v>
      </c>
      <c r="D242" s="19">
        <v>639</v>
      </c>
    </row>
    <row r="243" spans="1:4">
      <c r="A243" s="18">
        <v>41573</v>
      </c>
      <c r="B243" s="11" t="s">
        <v>76</v>
      </c>
      <c r="C243" s="11" t="s">
        <v>91</v>
      </c>
      <c r="D243" s="19">
        <v>97</v>
      </c>
    </row>
    <row r="244" spans="1:4">
      <c r="A244" s="18">
        <v>41571</v>
      </c>
      <c r="B244" s="11" t="s">
        <v>72</v>
      </c>
      <c r="C244" s="11" t="s">
        <v>91</v>
      </c>
      <c r="D244" s="19">
        <v>56</v>
      </c>
    </row>
    <row r="245" spans="1:4">
      <c r="A245" s="18">
        <v>41569</v>
      </c>
      <c r="B245" s="11" t="s">
        <v>76</v>
      </c>
      <c r="C245" s="11" t="s">
        <v>86</v>
      </c>
      <c r="D245" s="19">
        <v>22</v>
      </c>
    </row>
    <row r="246" spans="1:4">
      <c r="A246" s="18">
        <v>41569</v>
      </c>
      <c r="B246" s="11" t="s">
        <v>67</v>
      </c>
      <c r="C246" s="11" t="s">
        <v>85</v>
      </c>
      <c r="D246" s="19">
        <v>306</v>
      </c>
    </row>
    <row r="247" spans="1:4">
      <c r="A247" s="18">
        <v>41572</v>
      </c>
      <c r="B247" s="11" t="s">
        <v>72</v>
      </c>
      <c r="C247" s="11" t="s">
        <v>69</v>
      </c>
      <c r="D247" s="19">
        <v>329</v>
      </c>
    </row>
    <row r="248" spans="1:4">
      <c r="A248" s="18">
        <v>41567</v>
      </c>
      <c r="B248" s="11" t="s">
        <v>67</v>
      </c>
      <c r="C248" s="11" t="s">
        <v>69</v>
      </c>
      <c r="D248" s="19">
        <v>95</v>
      </c>
    </row>
    <row r="249" spans="1:4">
      <c r="A249" s="18">
        <v>41572</v>
      </c>
      <c r="B249" s="11" t="s">
        <v>76</v>
      </c>
      <c r="C249" s="11" t="s">
        <v>89</v>
      </c>
      <c r="D249" s="19">
        <v>270</v>
      </c>
    </row>
    <row r="250" spans="1:4">
      <c r="A250" s="18">
        <v>41573</v>
      </c>
      <c r="B250" s="11" t="s">
        <v>76</v>
      </c>
      <c r="C250" s="11" t="s">
        <v>79</v>
      </c>
      <c r="D250" s="19">
        <v>648</v>
      </c>
    </row>
    <row r="251" spans="1:4">
      <c r="A251" s="18">
        <v>41571</v>
      </c>
      <c r="B251" s="11" t="s">
        <v>72</v>
      </c>
      <c r="C251" s="11" t="s">
        <v>81</v>
      </c>
      <c r="D251" s="19">
        <v>169</v>
      </c>
    </row>
    <row r="252" spans="1:4">
      <c r="A252" s="18">
        <v>41568</v>
      </c>
      <c r="B252" s="11" t="s">
        <v>67</v>
      </c>
      <c r="C252" s="11" t="s">
        <v>77</v>
      </c>
      <c r="D252" s="19">
        <v>488</v>
      </c>
    </row>
    <row r="253" spans="1:4">
      <c r="A253" s="18">
        <v>41569</v>
      </c>
      <c r="B253" s="11" t="s">
        <v>72</v>
      </c>
      <c r="C253" s="11" t="s">
        <v>70</v>
      </c>
      <c r="D253" s="19">
        <v>353</v>
      </c>
    </row>
    <row r="254" spans="1:4">
      <c r="A254" s="18">
        <v>41569</v>
      </c>
      <c r="B254" s="11" t="s">
        <v>67</v>
      </c>
      <c r="C254" s="11" t="s">
        <v>69</v>
      </c>
      <c r="D254" s="19">
        <v>613</v>
      </c>
    </row>
    <row r="255" spans="1:4">
      <c r="A255" s="18">
        <v>41570</v>
      </c>
      <c r="B255" s="11" t="s">
        <v>67</v>
      </c>
      <c r="C255" s="11" t="s">
        <v>78</v>
      </c>
      <c r="D255" s="19">
        <v>664</v>
      </c>
    </row>
    <row r="256" spans="1:4">
      <c r="A256" s="18">
        <v>41570</v>
      </c>
      <c r="B256" s="11" t="s">
        <v>67</v>
      </c>
      <c r="C256" s="11" t="s">
        <v>90</v>
      </c>
      <c r="D256" s="19">
        <v>343</v>
      </c>
    </row>
    <row r="257" spans="1:4">
      <c r="A257" s="18">
        <v>41571</v>
      </c>
      <c r="B257" s="11" t="s">
        <v>76</v>
      </c>
      <c r="C257" s="11" t="s">
        <v>85</v>
      </c>
      <c r="D257" s="19">
        <v>318</v>
      </c>
    </row>
    <row r="258" spans="1:4">
      <c r="A258" s="18">
        <v>41573</v>
      </c>
      <c r="B258" s="11" t="s">
        <v>72</v>
      </c>
      <c r="C258" s="11" t="s">
        <v>94</v>
      </c>
      <c r="D258" s="19">
        <v>294</v>
      </c>
    </row>
    <row r="259" spans="1:4">
      <c r="A259" s="18">
        <v>41570</v>
      </c>
      <c r="B259" s="11" t="s">
        <v>72</v>
      </c>
      <c r="C259" s="11" t="s">
        <v>86</v>
      </c>
      <c r="D259" s="19">
        <v>295</v>
      </c>
    </row>
    <row r="260" spans="1:4">
      <c r="A260" s="18">
        <v>41573</v>
      </c>
      <c r="B260" s="11" t="s">
        <v>72</v>
      </c>
      <c r="C260" s="11" t="s">
        <v>89</v>
      </c>
      <c r="D260" s="19">
        <v>197</v>
      </c>
    </row>
    <row r="261" spans="1:4">
      <c r="A261" s="18">
        <v>41568</v>
      </c>
      <c r="B261" s="11" t="s">
        <v>72</v>
      </c>
      <c r="C261" s="11" t="s">
        <v>78</v>
      </c>
      <c r="D261" s="19">
        <v>682</v>
      </c>
    </row>
    <row r="262" spans="1:4">
      <c r="A262" s="18">
        <v>41570</v>
      </c>
      <c r="B262" s="11" t="s">
        <v>67</v>
      </c>
      <c r="C262" s="11" t="s">
        <v>82</v>
      </c>
      <c r="D262" s="19">
        <v>147</v>
      </c>
    </row>
    <row r="263" spans="1:4">
      <c r="A263" s="18">
        <v>41571</v>
      </c>
      <c r="B263" s="11" t="s">
        <v>67</v>
      </c>
      <c r="C263" s="11" t="s">
        <v>94</v>
      </c>
      <c r="D263" s="19">
        <v>662</v>
      </c>
    </row>
    <row r="264" spans="1:4">
      <c r="A264" s="18">
        <v>41572</v>
      </c>
      <c r="B264" s="11" t="s">
        <v>72</v>
      </c>
      <c r="C264" s="11" t="s">
        <v>89</v>
      </c>
      <c r="D264" s="19">
        <v>482</v>
      </c>
    </row>
    <row r="265" spans="1:4">
      <c r="A265" s="18">
        <v>41571</v>
      </c>
      <c r="B265" s="11" t="s">
        <v>76</v>
      </c>
      <c r="C265" s="11" t="s">
        <v>77</v>
      </c>
      <c r="D265" s="19">
        <v>503</v>
      </c>
    </row>
    <row r="266" spans="1:4">
      <c r="A266" s="18">
        <v>41571</v>
      </c>
      <c r="B266" s="11" t="s">
        <v>67</v>
      </c>
      <c r="C266" s="11" t="s">
        <v>69</v>
      </c>
      <c r="D266" s="19">
        <v>190</v>
      </c>
    </row>
    <row r="267" spans="1:4">
      <c r="A267" s="18">
        <v>41572</v>
      </c>
      <c r="B267" s="11" t="s">
        <v>76</v>
      </c>
      <c r="C267" s="11" t="s">
        <v>80</v>
      </c>
      <c r="D267" s="19">
        <v>477</v>
      </c>
    </row>
    <row r="268" spans="1:4">
      <c r="A268" s="18">
        <v>41568</v>
      </c>
      <c r="B268" s="11" t="s">
        <v>76</v>
      </c>
      <c r="C268" s="11" t="s">
        <v>69</v>
      </c>
      <c r="D268" s="19">
        <v>630</v>
      </c>
    </row>
    <row r="269" spans="1:4">
      <c r="A269" s="18">
        <v>41568</v>
      </c>
      <c r="B269" s="11" t="s">
        <v>67</v>
      </c>
      <c r="C269" s="11" t="s">
        <v>81</v>
      </c>
      <c r="D269" s="19">
        <v>576</v>
      </c>
    </row>
    <row r="270" spans="1:4">
      <c r="A270" s="18">
        <v>41572</v>
      </c>
      <c r="B270" s="11" t="s">
        <v>67</v>
      </c>
      <c r="C270" s="11" t="s">
        <v>91</v>
      </c>
      <c r="D270" s="19">
        <v>43</v>
      </c>
    </row>
    <row r="271" spans="1:4">
      <c r="A271" s="18">
        <v>41569</v>
      </c>
      <c r="B271" s="11" t="s">
        <v>76</v>
      </c>
      <c r="C271" s="11" t="s">
        <v>77</v>
      </c>
      <c r="D271" s="19">
        <v>460</v>
      </c>
    </row>
    <row r="272" spans="1:4">
      <c r="A272" s="18">
        <v>41567</v>
      </c>
      <c r="B272" s="11" t="s">
        <v>67</v>
      </c>
      <c r="C272" s="11" t="s">
        <v>82</v>
      </c>
      <c r="D272" s="19">
        <v>347</v>
      </c>
    </row>
    <row r="273" spans="1:4">
      <c r="A273" s="18">
        <v>41570</v>
      </c>
      <c r="B273" s="11" t="s">
        <v>72</v>
      </c>
      <c r="C273" s="11" t="s">
        <v>89</v>
      </c>
      <c r="D273" s="19">
        <v>245</v>
      </c>
    </row>
    <row r="274" spans="1:4">
      <c r="A274" s="18">
        <v>41573</v>
      </c>
      <c r="B274" s="11" t="s">
        <v>67</v>
      </c>
      <c r="C274" s="11" t="s">
        <v>91</v>
      </c>
      <c r="D274" s="19">
        <v>303</v>
      </c>
    </row>
    <row r="275" spans="1:4">
      <c r="A275" s="18">
        <v>41569</v>
      </c>
      <c r="B275" s="11" t="s">
        <v>76</v>
      </c>
      <c r="C275" s="11" t="s">
        <v>81</v>
      </c>
      <c r="D275" s="19">
        <v>60</v>
      </c>
    </row>
    <row r="276" spans="1:4">
      <c r="A276" s="18">
        <v>41570</v>
      </c>
      <c r="B276" s="11" t="s">
        <v>72</v>
      </c>
      <c r="C276" s="11" t="s">
        <v>86</v>
      </c>
      <c r="D276" s="19">
        <v>191</v>
      </c>
    </row>
    <row r="277" spans="1:4">
      <c r="A277" s="18">
        <v>41571</v>
      </c>
      <c r="B277" s="11" t="s">
        <v>76</v>
      </c>
      <c r="C277" s="11" t="s">
        <v>70</v>
      </c>
      <c r="D277" s="19">
        <v>550</v>
      </c>
    </row>
    <row r="278" spans="1:4">
      <c r="A278" s="18">
        <v>41567</v>
      </c>
      <c r="B278" s="11" t="s">
        <v>72</v>
      </c>
      <c r="C278" s="11" t="s">
        <v>79</v>
      </c>
      <c r="D278" s="19">
        <v>222</v>
      </c>
    </row>
    <row r="279" spans="1:4">
      <c r="A279" s="18">
        <v>41571</v>
      </c>
      <c r="B279" s="11" t="s">
        <v>76</v>
      </c>
      <c r="C279" s="11" t="s">
        <v>77</v>
      </c>
      <c r="D279" s="19">
        <v>213</v>
      </c>
    </row>
    <row r="280" spans="1:4">
      <c r="A280" s="18">
        <v>41573</v>
      </c>
      <c r="B280" s="11" t="s">
        <v>76</v>
      </c>
      <c r="C280" s="11" t="s">
        <v>80</v>
      </c>
      <c r="D280" s="19">
        <v>28</v>
      </c>
    </row>
    <row r="281" spans="1:4">
      <c r="A281" s="18">
        <v>41569</v>
      </c>
      <c r="B281" s="11" t="s">
        <v>67</v>
      </c>
      <c r="C281" s="11" t="s">
        <v>78</v>
      </c>
      <c r="D281" s="19">
        <v>552</v>
      </c>
    </row>
    <row r="282" spans="1:4">
      <c r="A282" s="18">
        <v>41570</v>
      </c>
      <c r="B282" s="11" t="s">
        <v>67</v>
      </c>
      <c r="C282" s="11" t="s">
        <v>77</v>
      </c>
      <c r="D282" s="19">
        <v>608</v>
      </c>
    </row>
    <row r="283" spans="1:4">
      <c r="A283" s="18">
        <v>41572</v>
      </c>
      <c r="B283" s="11" t="s">
        <v>67</v>
      </c>
      <c r="C283" s="11" t="s">
        <v>78</v>
      </c>
      <c r="D283" s="19">
        <v>308</v>
      </c>
    </row>
    <row r="284" spans="1:4">
      <c r="A284" s="18">
        <v>41569</v>
      </c>
      <c r="B284" s="11" t="s">
        <v>76</v>
      </c>
      <c r="C284" s="11" t="s">
        <v>90</v>
      </c>
      <c r="D284" s="19">
        <v>56</v>
      </c>
    </row>
    <row r="285" spans="1:4">
      <c r="A285" s="18">
        <v>41573</v>
      </c>
      <c r="B285" s="11" t="s">
        <v>76</v>
      </c>
      <c r="C285" s="11" t="s">
        <v>90</v>
      </c>
      <c r="D285" s="19">
        <v>303</v>
      </c>
    </row>
    <row r="286" spans="1:4">
      <c r="A286" s="18">
        <v>41569</v>
      </c>
      <c r="B286" s="11" t="s">
        <v>67</v>
      </c>
      <c r="C286" s="11" t="s">
        <v>82</v>
      </c>
      <c r="D286" s="19">
        <v>561</v>
      </c>
    </row>
    <row r="287" spans="1:4">
      <c r="A287" s="18">
        <v>41567</v>
      </c>
      <c r="B287" s="11" t="s">
        <v>76</v>
      </c>
      <c r="C287" s="11" t="s">
        <v>79</v>
      </c>
      <c r="D287" s="19">
        <v>264</v>
      </c>
    </row>
    <row r="288" spans="1:4">
      <c r="A288" s="18">
        <v>41567</v>
      </c>
      <c r="B288" s="11" t="s">
        <v>76</v>
      </c>
      <c r="C288" s="11" t="s">
        <v>91</v>
      </c>
      <c r="D288" s="19">
        <v>249</v>
      </c>
    </row>
    <row r="289" spans="1:4">
      <c r="A289" s="18">
        <v>41572</v>
      </c>
      <c r="B289" s="11" t="s">
        <v>72</v>
      </c>
      <c r="C289" s="11" t="s">
        <v>70</v>
      </c>
      <c r="D289" s="19">
        <v>259</v>
      </c>
    </row>
    <row r="290" spans="1:4">
      <c r="A290" s="18">
        <v>41573</v>
      </c>
      <c r="B290" s="11" t="s">
        <v>72</v>
      </c>
      <c r="C290" s="11" t="s">
        <v>89</v>
      </c>
      <c r="D290" s="19">
        <v>609</v>
      </c>
    </row>
    <row r="291" spans="1:4">
      <c r="A291" s="18">
        <v>41568</v>
      </c>
      <c r="B291" s="11" t="s">
        <v>72</v>
      </c>
      <c r="C291" s="11" t="s">
        <v>91</v>
      </c>
      <c r="D291" s="19">
        <v>213</v>
      </c>
    </row>
    <row r="292" spans="1:4">
      <c r="A292" s="18">
        <v>41568</v>
      </c>
      <c r="B292" s="11" t="s">
        <v>67</v>
      </c>
      <c r="C292" s="11" t="s">
        <v>91</v>
      </c>
      <c r="D292" s="19">
        <v>301</v>
      </c>
    </row>
    <row r="293" spans="1:4">
      <c r="A293" s="18">
        <v>41573</v>
      </c>
      <c r="B293" s="11" t="s">
        <v>76</v>
      </c>
      <c r="C293" s="11" t="s">
        <v>80</v>
      </c>
      <c r="D293" s="19">
        <v>359</v>
      </c>
    </row>
    <row r="294" spans="1:4">
      <c r="A294" s="18">
        <v>41573</v>
      </c>
      <c r="B294" s="11" t="s">
        <v>67</v>
      </c>
      <c r="C294" s="11" t="s">
        <v>86</v>
      </c>
      <c r="D294" s="19">
        <v>18</v>
      </c>
    </row>
    <row r="295" spans="1:4">
      <c r="A295" s="18">
        <v>41567</v>
      </c>
      <c r="B295" s="11" t="s">
        <v>76</v>
      </c>
      <c r="C295" s="11" t="s">
        <v>70</v>
      </c>
      <c r="D295" s="19">
        <v>98</v>
      </c>
    </row>
    <row r="296" spans="1:4">
      <c r="A296" s="18">
        <v>41569</v>
      </c>
      <c r="B296" s="11" t="s">
        <v>72</v>
      </c>
      <c r="C296" s="11" t="s">
        <v>91</v>
      </c>
      <c r="D296" s="19">
        <v>274</v>
      </c>
    </row>
    <row r="297" spans="1:4">
      <c r="A297" s="18">
        <v>41571</v>
      </c>
      <c r="B297" s="11" t="s">
        <v>76</v>
      </c>
      <c r="C297" s="11" t="s">
        <v>88</v>
      </c>
      <c r="D297" s="19">
        <v>466</v>
      </c>
    </row>
    <row r="298" spans="1:4">
      <c r="A298" s="18">
        <v>41567</v>
      </c>
      <c r="B298" s="11" t="s">
        <v>72</v>
      </c>
      <c r="C298" s="11" t="s">
        <v>81</v>
      </c>
      <c r="D298" s="19">
        <v>65</v>
      </c>
    </row>
    <row r="299" spans="1:4">
      <c r="A299" s="18">
        <v>41568</v>
      </c>
      <c r="B299" s="11" t="s">
        <v>72</v>
      </c>
      <c r="C299" s="11" t="s">
        <v>89</v>
      </c>
      <c r="D299" s="19">
        <v>638</v>
      </c>
    </row>
    <row r="300" spans="1:4">
      <c r="A300" s="18">
        <v>41570</v>
      </c>
      <c r="B300" s="11" t="s">
        <v>67</v>
      </c>
      <c r="C300" s="11" t="s">
        <v>81</v>
      </c>
      <c r="D300" s="19">
        <v>73</v>
      </c>
    </row>
    <row r="301" spans="1:4">
      <c r="A301" s="18">
        <v>41567</v>
      </c>
      <c r="B301" s="11" t="s">
        <v>67</v>
      </c>
      <c r="C301" s="11" t="s">
        <v>77</v>
      </c>
      <c r="D301" s="19">
        <v>89</v>
      </c>
    </row>
    <row r="302" spans="1:4">
      <c r="A302" s="18">
        <v>41569</v>
      </c>
      <c r="B302" s="11" t="s">
        <v>67</v>
      </c>
      <c r="C302" s="11" t="s">
        <v>81</v>
      </c>
      <c r="D302" s="19">
        <v>154</v>
      </c>
    </row>
    <row r="303" spans="1:4">
      <c r="A303" s="18">
        <v>41567</v>
      </c>
      <c r="B303" s="11" t="s">
        <v>67</v>
      </c>
      <c r="C303" s="11" t="s">
        <v>80</v>
      </c>
      <c r="D303" s="19">
        <v>209</v>
      </c>
    </row>
    <row r="304" spans="1:4">
      <c r="A304" s="18">
        <v>41570</v>
      </c>
      <c r="B304" s="11" t="s">
        <v>67</v>
      </c>
      <c r="C304" s="11" t="s">
        <v>81</v>
      </c>
      <c r="D304" s="19">
        <v>296</v>
      </c>
    </row>
    <row r="305" spans="1:4">
      <c r="A305" s="18">
        <v>41572</v>
      </c>
      <c r="B305" s="11" t="s">
        <v>72</v>
      </c>
      <c r="C305" s="11" t="s">
        <v>68</v>
      </c>
      <c r="D305" s="19">
        <v>564</v>
      </c>
    </row>
    <row r="306" spans="1:4">
      <c r="A306" s="18">
        <v>41572</v>
      </c>
      <c r="B306" s="11" t="s">
        <v>76</v>
      </c>
      <c r="C306" s="11" t="s">
        <v>70</v>
      </c>
      <c r="D306" s="19">
        <v>338</v>
      </c>
    </row>
    <row r="307" spans="1:4">
      <c r="A307" s="18">
        <v>41572</v>
      </c>
      <c r="B307" s="11" t="s">
        <v>72</v>
      </c>
      <c r="C307" s="11" t="s">
        <v>73</v>
      </c>
      <c r="D307" s="19">
        <v>428</v>
      </c>
    </row>
    <row r="308" spans="1:4">
      <c r="A308" s="18">
        <v>41573</v>
      </c>
      <c r="B308" s="11" t="s">
        <v>72</v>
      </c>
      <c r="C308" s="11" t="s">
        <v>78</v>
      </c>
      <c r="D308" s="19">
        <v>24</v>
      </c>
    </row>
    <row r="309" spans="1:4">
      <c r="A309" s="18">
        <v>41569</v>
      </c>
      <c r="B309" s="11" t="s">
        <v>76</v>
      </c>
      <c r="C309" s="11" t="s">
        <v>69</v>
      </c>
      <c r="D309" s="19">
        <v>353</v>
      </c>
    </row>
    <row r="310" spans="1:4">
      <c r="A310" s="18">
        <v>41573</v>
      </c>
      <c r="B310" s="11" t="s">
        <v>67</v>
      </c>
      <c r="C310" s="11" t="s">
        <v>91</v>
      </c>
      <c r="D310" s="19">
        <v>645</v>
      </c>
    </row>
    <row r="311" spans="1:4">
      <c r="A311" s="18">
        <v>41573</v>
      </c>
      <c r="B311" s="11" t="s">
        <v>76</v>
      </c>
      <c r="C311" s="11" t="s">
        <v>73</v>
      </c>
      <c r="D311" s="19">
        <v>466</v>
      </c>
    </row>
    <row r="312" spans="1:4">
      <c r="A312" s="18">
        <v>41569</v>
      </c>
      <c r="B312" s="11" t="s">
        <v>67</v>
      </c>
      <c r="C312" s="11" t="s">
        <v>69</v>
      </c>
      <c r="D312" s="19">
        <v>37</v>
      </c>
    </row>
    <row r="313" spans="1:4">
      <c r="A313" s="18">
        <v>41572</v>
      </c>
      <c r="B313" s="11" t="s">
        <v>72</v>
      </c>
      <c r="C313" s="11" t="s">
        <v>81</v>
      </c>
      <c r="D313" s="19">
        <v>367</v>
      </c>
    </row>
    <row r="314" spans="1:4">
      <c r="A314" s="18">
        <v>41569</v>
      </c>
      <c r="B314" s="11" t="s">
        <v>76</v>
      </c>
      <c r="C314" s="11" t="s">
        <v>78</v>
      </c>
      <c r="D314" s="19">
        <v>295</v>
      </c>
    </row>
    <row r="315" spans="1:4">
      <c r="A315" s="18">
        <v>41570</v>
      </c>
      <c r="B315" s="11" t="s">
        <v>76</v>
      </c>
      <c r="C315" s="11" t="s">
        <v>91</v>
      </c>
      <c r="D315" s="19">
        <v>178</v>
      </c>
    </row>
    <row r="316" spans="1:4">
      <c r="A316" s="18">
        <v>41568</v>
      </c>
      <c r="B316" s="11" t="s">
        <v>67</v>
      </c>
      <c r="C316" s="11" t="s">
        <v>77</v>
      </c>
      <c r="D316" s="19">
        <v>56</v>
      </c>
    </row>
    <row r="317" spans="1:4">
      <c r="A317" s="18">
        <v>41573</v>
      </c>
      <c r="B317" s="11" t="s">
        <v>67</v>
      </c>
      <c r="C317" s="11" t="s">
        <v>78</v>
      </c>
      <c r="D317" s="19">
        <v>227</v>
      </c>
    </row>
    <row r="318" spans="1:4">
      <c r="A318" s="18">
        <v>41571</v>
      </c>
      <c r="B318" s="11" t="s">
        <v>76</v>
      </c>
      <c r="C318" s="11" t="s">
        <v>91</v>
      </c>
      <c r="D318" s="19">
        <v>215</v>
      </c>
    </row>
    <row r="319" spans="1:4">
      <c r="A319" s="18">
        <v>41571</v>
      </c>
      <c r="B319" s="11" t="s">
        <v>67</v>
      </c>
      <c r="C319" s="11" t="s">
        <v>78</v>
      </c>
      <c r="D319" s="19">
        <v>506</v>
      </c>
    </row>
    <row r="320" spans="1:4">
      <c r="A320" s="18">
        <v>41573</v>
      </c>
      <c r="B320" s="11" t="s">
        <v>72</v>
      </c>
      <c r="C320" s="11" t="s">
        <v>86</v>
      </c>
      <c r="D320" s="19">
        <v>215</v>
      </c>
    </row>
    <row r="321" spans="1:4">
      <c r="A321" s="18">
        <v>41567</v>
      </c>
      <c r="B321" s="11" t="s">
        <v>76</v>
      </c>
      <c r="C321" s="11" t="s">
        <v>86</v>
      </c>
      <c r="D321" s="19">
        <v>237</v>
      </c>
    </row>
    <row r="322" spans="1:4">
      <c r="A322" s="18">
        <v>41569</v>
      </c>
      <c r="B322" s="11" t="s">
        <v>67</v>
      </c>
      <c r="C322" s="11" t="s">
        <v>86</v>
      </c>
      <c r="D322" s="19">
        <v>296</v>
      </c>
    </row>
    <row r="323" spans="1:4">
      <c r="A323" s="18">
        <v>41572</v>
      </c>
      <c r="B323" s="11" t="s">
        <v>67</v>
      </c>
      <c r="C323" s="11" t="s">
        <v>86</v>
      </c>
      <c r="D323" s="19">
        <v>302</v>
      </c>
    </row>
    <row r="324" spans="1:4">
      <c r="A324" s="18">
        <v>41570</v>
      </c>
      <c r="B324" s="11" t="s">
        <v>76</v>
      </c>
      <c r="C324" s="11" t="s">
        <v>90</v>
      </c>
      <c r="D324" s="19">
        <v>622</v>
      </c>
    </row>
    <row r="325" spans="1:4">
      <c r="A325" s="18">
        <v>41568</v>
      </c>
      <c r="B325" s="11" t="s">
        <v>67</v>
      </c>
      <c r="C325" s="11" t="s">
        <v>86</v>
      </c>
      <c r="D325" s="19">
        <v>312</v>
      </c>
    </row>
    <row r="326" spans="1:4">
      <c r="A326" s="18">
        <v>41571</v>
      </c>
      <c r="B326" s="11" t="s">
        <v>67</v>
      </c>
      <c r="C326" s="11" t="s">
        <v>73</v>
      </c>
      <c r="D326" s="19">
        <v>304</v>
      </c>
    </row>
    <row r="327" spans="1:4">
      <c r="A327" s="18">
        <v>41570</v>
      </c>
      <c r="B327" s="11" t="s">
        <v>76</v>
      </c>
      <c r="C327" s="11" t="s">
        <v>82</v>
      </c>
      <c r="D327" s="19">
        <v>158</v>
      </c>
    </row>
    <row r="328" spans="1:4">
      <c r="A328" s="18">
        <v>41572</v>
      </c>
      <c r="B328" s="11" t="s">
        <v>67</v>
      </c>
      <c r="C328" s="11" t="s">
        <v>85</v>
      </c>
      <c r="D328" s="19">
        <v>569</v>
      </c>
    </row>
    <row r="329" spans="1:4">
      <c r="A329" s="18">
        <v>41570</v>
      </c>
      <c r="B329" s="11" t="s">
        <v>72</v>
      </c>
      <c r="C329" s="11" t="s">
        <v>77</v>
      </c>
      <c r="D329" s="19">
        <v>545</v>
      </c>
    </row>
    <row r="330" spans="1:4">
      <c r="A330" s="18">
        <v>41573</v>
      </c>
      <c r="B330" s="11" t="s">
        <v>76</v>
      </c>
      <c r="C330" s="11" t="s">
        <v>73</v>
      </c>
      <c r="D330" s="19">
        <v>111</v>
      </c>
    </row>
    <row r="331" spans="1:4">
      <c r="A331" s="18">
        <v>41569</v>
      </c>
      <c r="B331" s="11" t="s">
        <v>67</v>
      </c>
      <c r="C331" s="11" t="s">
        <v>94</v>
      </c>
      <c r="D331" s="19">
        <v>227</v>
      </c>
    </row>
    <row r="332" spans="1:4">
      <c r="A332" s="18">
        <v>41568</v>
      </c>
      <c r="B332" s="11" t="s">
        <v>72</v>
      </c>
      <c r="C332" s="11" t="s">
        <v>73</v>
      </c>
      <c r="D332" s="19">
        <v>340</v>
      </c>
    </row>
    <row r="333" spans="1:4">
      <c r="A333" s="18">
        <v>41572</v>
      </c>
      <c r="B333" s="11" t="s">
        <v>67</v>
      </c>
      <c r="C333" s="11" t="s">
        <v>77</v>
      </c>
      <c r="D333" s="19">
        <v>123</v>
      </c>
    </row>
    <row r="334" spans="1:4">
      <c r="A334" s="18">
        <v>41567</v>
      </c>
      <c r="B334" s="11" t="s">
        <v>67</v>
      </c>
      <c r="C334" s="11" t="s">
        <v>73</v>
      </c>
      <c r="D334" s="19">
        <v>229</v>
      </c>
    </row>
    <row r="335" spans="1:4">
      <c r="A335" s="18">
        <v>41571</v>
      </c>
      <c r="B335" s="11" t="s">
        <v>72</v>
      </c>
      <c r="C335" s="11" t="s">
        <v>84</v>
      </c>
      <c r="D335" s="19">
        <v>618</v>
      </c>
    </row>
    <row r="336" spans="1:4">
      <c r="A336" s="18">
        <v>41571</v>
      </c>
      <c r="B336" s="11" t="s">
        <v>76</v>
      </c>
      <c r="C336" s="11" t="s">
        <v>91</v>
      </c>
      <c r="D336" s="19">
        <v>65</v>
      </c>
    </row>
    <row r="337" spans="1:4">
      <c r="A337" s="18">
        <v>41568</v>
      </c>
      <c r="B337" s="11" t="s">
        <v>67</v>
      </c>
      <c r="C337" s="11" t="s">
        <v>81</v>
      </c>
      <c r="D337" s="19">
        <v>19</v>
      </c>
    </row>
    <row r="338" spans="1:4">
      <c r="A338" s="18">
        <v>41573</v>
      </c>
      <c r="B338" s="11" t="s">
        <v>76</v>
      </c>
      <c r="C338" s="11" t="s">
        <v>84</v>
      </c>
      <c r="D338" s="19">
        <v>72</v>
      </c>
    </row>
    <row r="339" spans="1:4">
      <c r="A339" s="18">
        <v>41573</v>
      </c>
      <c r="B339" s="11" t="s">
        <v>67</v>
      </c>
      <c r="C339" s="11" t="s">
        <v>77</v>
      </c>
      <c r="D339" s="19">
        <v>103</v>
      </c>
    </row>
    <row r="340" spans="1:4">
      <c r="A340" s="18">
        <v>41572</v>
      </c>
      <c r="B340" s="11" t="s">
        <v>67</v>
      </c>
      <c r="C340" s="11" t="s">
        <v>81</v>
      </c>
      <c r="D340" s="19">
        <v>658</v>
      </c>
    </row>
    <row r="341" spans="1:4">
      <c r="A341" s="18">
        <v>41569</v>
      </c>
      <c r="B341" s="11" t="s">
        <v>76</v>
      </c>
      <c r="C341" s="11" t="s">
        <v>94</v>
      </c>
      <c r="D341" s="19">
        <v>523</v>
      </c>
    </row>
    <row r="342" spans="1:4">
      <c r="A342" s="18">
        <v>41568</v>
      </c>
      <c r="B342" s="11" t="s">
        <v>72</v>
      </c>
      <c r="C342" s="11" t="s">
        <v>86</v>
      </c>
      <c r="D342" s="19">
        <v>338</v>
      </c>
    </row>
    <row r="343" spans="1:4">
      <c r="A343" s="18">
        <v>41572</v>
      </c>
      <c r="B343" s="11" t="s">
        <v>72</v>
      </c>
      <c r="C343" s="11" t="s">
        <v>73</v>
      </c>
      <c r="D343" s="19">
        <v>33</v>
      </c>
    </row>
    <row r="344" spans="1:4">
      <c r="A344" s="18">
        <v>41573</v>
      </c>
      <c r="B344" s="11" t="s">
        <v>67</v>
      </c>
      <c r="C344" s="11" t="s">
        <v>69</v>
      </c>
      <c r="D344" s="19">
        <v>553</v>
      </c>
    </row>
    <row r="345" spans="1:4">
      <c r="A345" s="18">
        <v>41572</v>
      </c>
      <c r="B345" s="11" t="s">
        <v>72</v>
      </c>
      <c r="C345" s="11" t="s">
        <v>86</v>
      </c>
      <c r="D345" s="19">
        <v>346</v>
      </c>
    </row>
    <row r="346" spans="1:4">
      <c r="A346" s="18">
        <v>41569</v>
      </c>
      <c r="B346" s="11" t="s">
        <v>72</v>
      </c>
      <c r="C346" s="11" t="s">
        <v>81</v>
      </c>
      <c r="D346" s="19">
        <v>125</v>
      </c>
    </row>
    <row r="347" spans="1:4">
      <c r="A347" s="18">
        <v>41568</v>
      </c>
      <c r="B347" s="11" t="s">
        <v>67</v>
      </c>
      <c r="C347" s="11" t="s">
        <v>81</v>
      </c>
      <c r="D347" s="19">
        <v>241</v>
      </c>
    </row>
    <row r="348" spans="1:4">
      <c r="A348" s="18">
        <v>41569</v>
      </c>
      <c r="B348" s="11" t="s">
        <v>67</v>
      </c>
      <c r="C348" s="11" t="s">
        <v>78</v>
      </c>
      <c r="D348" s="19">
        <v>316</v>
      </c>
    </row>
    <row r="349" spans="1:4">
      <c r="A349" s="18">
        <v>41567</v>
      </c>
      <c r="B349" s="11" t="s">
        <v>72</v>
      </c>
      <c r="C349" s="11" t="s">
        <v>75</v>
      </c>
      <c r="D349" s="19">
        <v>392</v>
      </c>
    </row>
    <row r="350" spans="1:4">
      <c r="A350" s="18">
        <v>41573</v>
      </c>
      <c r="B350" s="11" t="s">
        <v>67</v>
      </c>
      <c r="C350" s="11" t="s">
        <v>75</v>
      </c>
      <c r="D350" s="19">
        <v>644</v>
      </c>
    </row>
    <row r="351" spans="1:4">
      <c r="A351" s="18">
        <v>41571</v>
      </c>
      <c r="B351" s="11" t="s">
        <v>72</v>
      </c>
      <c r="C351" s="11" t="s">
        <v>94</v>
      </c>
      <c r="D351" s="19">
        <v>259</v>
      </c>
    </row>
    <row r="352" spans="1:4">
      <c r="A352" s="18">
        <v>41568</v>
      </c>
      <c r="B352" s="11" t="s">
        <v>67</v>
      </c>
      <c r="C352" s="11" t="s">
        <v>94</v>
      </c>
      <c r="D352" s="19">
        <v>488</v>
      </c>
    </row>
    <row r="353" spans="1:4">
      <c r="A353" s="18">
        <v>41569</v>
      </c>
      <c r="B353" s="11" t="s">
        <v>72</v>
      </c>
      <c r="C353" s="11" t="s">
        <v>73</v>
      </c>
      <c r="D353" s="19">
        <v>299</v>
      </c>
    </row>
    <row r="354" spans="1:4">
      <c r="A354" s="18">
        <v>41568</v>
      </c>
      <c r="B354" s="11" t="s">
        <v>72</v>
      </c>
      <c r="C354" s="11" t="s">
        <v>91</v>
      </c>
      <c r="D354" s="19">
        <v>36</v>
      </c>
    </row>
    <row r="355" spans="1:4">
      <c r="A355" s="18">
        <v>41569</v>
      </c>
      <c r="B355" s="11" t="s">
        <v>76</v>
      </c>
      <c r="C355" s="11" t="s">
        <v>89</v>
      </c>
      <c r="D355" s="19">
        <v>83</v>
      </c>
    </row>
    <row r="356" spans="1:4">
      <c r="A356" s="18">
        <v>41572</v>
      </c>
      <c r="B356" s="11" t="s">
        <v>76</v>
      </c>
      <c r="C356" s="11" t="s">
        <v>74</v>
      </c>
      <c r="D356" s="19">
        <v>80</v>
      </c>
    </row>
    <row r="357" spans="1:4">
      <c r="A357" s="18">
        <v>41569</v>
      </c>
      <c r="B357" s="11" t="s">
        <v>76</v>
      </c>
      <c r="C357" s="11" t="s">
        <v>70</v>
      </c>
      <c r="D357" s="19">
        <v>349</v>
      </c>
    </row>
    <row r="358" spans="1:4">
      <c r="A358" s="18">
        <v>41569</v>
      </c>
      <c r="B358" s="11" t="s">
        <v>67</v>
      </c>
      <c r="C358" s="11" t="s">
        <v>81</v>
      </c>
      <c r="D358" s="19">
        <v>342</v>
      </c>
    </row>
    <row r="359" spans="1:4">
      <c r="A359" s="18">
        <v>41571</v>
      </c>
      <c r="B359" s="11" t="s">
        <v>67</v>
      </c>
      <c r="C359" s="11" t="s">
        <v>78</v>
      </c>
      <c r="D359" s="19">
        <v>540</v>
      </c>
    </row>
    <row r="360" spans="1:4">
      <c r="A360" s="18">
        <v>41569</v>
      </c>
      <c r="B360" s="11" t="s">
        <v>76</v>
      </c>
      <c r="C360" s="11" t="s">
        <v>90</v>
      </c>
      <c r="D360" s="19">
        <v>411</v>
      </c>
    </row>
    <row r="361" spans="1:4">
      <c r="A361" s="18">
        <v>41568</v>
      </c>
      <c r="B361" s="11" t="s">
        <v>67</v>
      </c>
      <c r="C361" s="11" t="s">
        <v>92</v>
      </c>
      <c r="D361" s="19">
        <v>632</v>
      </c>
    </row>
    <row r="362" spans="1:4">
      <c r="A362" s="18">
        <v>41572</v>
      </c>
      <c r="B362" s="11" t="s">
        <v>67</v>
      </c>
      <c r="C362" s="11" t="s">
        <v>74</v>
      </c>
      <c r="D362" s="19">
        <v>175</v>
      </c>
    </row>
    <row r="363" spans="1:4">
      <c r="A363" s="18">
        <v>41568</v>
      </c>
      <c r="B363" s="11" t="s">
        <v>76</v>
      </c>
      <c r="C363" s="11" t="s">
        <v>75</v>
      </c>
      <c r="D363" s="19">
        <v>606</v>
      </c>
    </row>
    <row r="364" spans="1:4">
      <c r="A364" s="18">
        <v>41568</v>
      </c>
      <c r="B364" s="11" t="s">
        <v>72</v>
      </c>
      <c r="C364" s="11" t="s">
        <v>89</v>
      </c>
      <c r="D364" s="19">
        <v>658</v>
      </c>
    </row>
    <row r="365" spans="1:4">
      <c r="A365" s="18">
        <v>41572</v>
      </c>
      <c r="B365" s="11" t="s">
        <v>76</v>
      </c>
      <c r="C365" s="11" t="s">
        <v>69</v>
      </c>
      <c r="D365" s="19">
        <v>268</v>
      </c>
    </row>
    <row r="366" spans="1:4">
      <c r="A366" s="18">
        <v>41567</v>
      </c>
      <c r="B366" s="11" t="s">
        <v>72</v>
      </c>
      <c r="C366" s="11" t="s">
        <v>69</v>
      </c>
      <c r="D366" s="19">
        <v>556</v>
      </c>
    </row>
    <row r="367" spans="1:4">
      <c r="A367" s="18">
        <v>41569</v>
      </c>
      <c r="B367" s="11" t="s">
        <v>72</v>
      </c>
      <c r="C367" s="11" t="s">
        <v>91</v>
      </c>
      <c r="D367" s="19">
        <v>208</v>
      </c>
    </row>
    <row r="368" spans="1:4">
      <c r="A368" s="18">
        <v>41572</v>
      </c>
      <c r="B368" s="11" t="s">
        <v>76</v>
      </c>
      <c r="C368" s="11" t="s">
        <v>80</v>
      </c>
      <c r="D368" s="19">
        <v>559</v>
      </c>
    </row>
    <row r="369" spans="1:4">
      <c r="A369" s="18">
        <v>41573</v>
      </c>
      <c r="B369" s="11" t="s">
        <v>76</v>
      </c>
      <c r="C369" s="11" t="s">
        <v>91</v>
      </c>
      <c r="D369" s="19">
        <v>530</v>
      </c>
    </row>
    <row r="370" spans="1:4">
      <c r="A370" s="18">
        <v>41572</v>
      </c>
      <c r="B370" s="11" t="s">
        <v>76</v>
      </c>
      <c r="C370" s="11" t="s">
        <v>84</v>
      </c>
      <c r="D370" s="19">
        <v>663</v>
      </c>
    </row>
    <row r="371" spans="1:4">
      <c r="A371" s="18">
        <v>41568</v>
      </c>
      <c r="B371" s="11" t="s">
        <v>72</v>
      </c>
      <c r="C371" s="11" t="s">
        <v>91</v>
      </c>
      <c r="D371" s="19">
        <v>31</v>
      </c>
    </row>
    <row r="372" spans="1:4">
      <c r="A372" s="18">
        <v>41567</v>
      </c>
      <c r="B372" s="11" t="s">
        <v>67</v>
      </c>
      <c r="C372" s="11" t="s">
        <v>77</v>
      </c>
      <c r="D372" s="19">
        <v>587</v>
      </c>
    </row>
    <row r="373" spans="1:4">
      <c r="A373" s="18">
        <v>41570</v>
      </c>
      <c r="B373" s="11" t="s">
        <v>76</v>
      </c>
      <c r="C373" s="11" t="s">
        <v>86</v>
      </c>
      <c r="D373" s="19">
        <v>280</v>
      </c>
    </row>
    <row r="374" spans="1:4">
      <c r="A374" s="18">
        <v>41567</v>
      </c>
      <c r="B374" s="11" t="s">
        <v>72</v>
      </c>
      <c r="C374" s="11" t="s">
        <v>77</v>
      </c>
      <c r="D374" s="19">
        <v>488</v>
      </c>
    </row>
    <row r="375" spans="1:4">
      <c r="A375" s="18">
        <v>41572</v>
      </c>
      <c r="B375" s="11" t="s">
        <v>76</v>
      </c>
      <c r="C375" s="11" t="s">
        <v>70</v>
      </c>
      <c r="D375" s="19">
        <v>609</v>
      </c>
    </row>
    <row r="376" spans="1:4">
      <c r="A376" s="18">
        <v>41573</v>
      </c>
      <c r="B376" s="11" t="s">
        <v>72</v>
      </c>
      <c r="C376" s="11" t="s">
        <v>78</v>
      </c>
      <c r="D376" s="19">
        <v>375</v>
      </c>
    </row>
    <row r="377" spans="1:4">
      <c r="A377" s="18">
        <v>41572</v>
      </c>
      <c r="B377" s="11" t="s">
        <v>72</v>
      </c>
      <c r="C377" s="11" t="s">
        <v>86</v>
      </c>
      <c r="D377" s="19">
        <v>474</v>
      </c>
    </row>
    <row r="378" spans="1:4">
      <c r="A378" s="18">
        <v>41570</v>
      </c>
      <c r="B378" s="11" t="s">
        <v>76</v>
      </c>
      <c r="C378" s="11" t="s">
        <v>92</v>
      </c>
      <c r="D378" s="19">
        <v>323</v>
      </c>
    </row>
    <row r="379" spans="1:4">
      <c r="A379" s="18">
        <v>41573</v>
      </c>
      <c r="B379" s="11" t="s">
        <v>76</v>
      </c>
      <c r="C379" s="11" t="s">
        <v>82</v>
      </c>
      <c r="D379" s="19">
        <v>650</v>
      </c>
    </row>
    <row r="380" spans="1:4">
      <c r="A380" s="18">
        <v>41568</v>
      </c>
      <c r="B380" s="11" t="s">
        <v>72</v>
      </c>
      <c r="C380" s="11" t="s">
        <v>78</v>
      </c>
      <c r="D380" s="19">
        <v>505</v>
      </c>
    </row>
    <row r="381" spans="1:4">
      <c r="A381" s="18">
        <v>41567</v>
      </c>
      <c r="B381" s="11" t="s">
        <v>76</v>
      </c>
      <c r="C381" s="11" t="s">
        <v>73</v>
      </c>
      <c r="D381" s="19">
        <v>114</v>
      </c>
    </row>
    <row r="382" spans="1:4">
      <c r="A382" s="18">
        <v>41567</v>
      </c>
      <c r="B382" s="11" t="s">
        <v>76</v>
      </c>
      <c r="C382" s="11" t="s">
        <v>84</v>
      </c>
      <c r="D382" s="19">
        <v>483</v>
      </c>
    </row>
    <row r="383" spans="1:4">
      <c r="A383" s="18">
        <v>41569</v>
      </c>
      <c r="B383" s="11" t="s">
        <v>67</v>
      </c>
      <c r="C383" s="11" t="s">
        <v>81</v>
      </c>
      <c r="D383" s="19">
        <v>444</v>
      </c>
    </row>
    <row r="384" spans="1:4">
      <c r="A384" s="18">
        <v>41573</v>
      </c>
      <c r="B384" s="11" t="s">
        <v>76</v>
      </c>
      <c r="C384" s="11" t="s">
        <v>81</v>
      </c>
      <c r="D384" s="19">
        <v>642</v>
      </c>
    </row>
    <row r="385" spans="1:4">
      <c r="A385" s="18">
        <v>41569</v>
      </c>
      <c r="B385" s="11" t="s">
        <v>76</v>
      </c>
      <c r="C385" s="11" t="s">
        <v>84</v>
      </c>
      <c r="D385" s="19">
        <v>241</v>
      </c>
    </row>
    <row r="386" spans="1:4">
      <c r="A386" s="18">
        <v>41571</v>
      </c>
      <c r="B386" s="11" t="s">
        <v>76</v>
      </c>
      <c r="C386" s="11" t="s">
        <v>83</v>
      </c>
      <c r="D386" s="19">
        <v>444</v>
      </c>
    </row>
    <row r="387" spans="1:4">
      <c r="A387" s="18">
        <v>41570</v>
      </c>
      <c r="B387" s="11" t="s">
        <v>72</v>
      </c>
      <c r="C387" s="11" t="s">
        <v>81</v>
      </c>
      <c r="D387" s="19">
        <v>270</v>
      </c>
    </row>
    <row r="388" spans="1:4">
      <c r="A388" s="18">
        <v>41570</v>
      </c>
      <c r="B388" s="11" t="s">
        <v>72</v>
      </c>
      <c r="C388" s="11" t="s">
        <v>69</v>
      </c>
      <c r="D388" s="19">
        <v>608</v>
      </c>
    </row>
    <row r="389" spans="1:4">
      <c r="A389" s="18">
        <v>41573</v>
      </c>
      <c r="B389" s="11" t="s">
        <v>67</v>
      </c>
      <c r="C389" s="11" t="s">
        <v>86</v>
      </c>
      <c r="D389" s="19">
        <v>498</v>
      </c>
    </row>
    <row r="390" spans="1:4">
      <c r="A390" s="18">
        <v>41568</v>
      </c>
      <c r="B390" s="11" t="s">
        <v>72</v>
      </c>
      <c r="C390" s="11" t="s">
        <v>78</v>
      </c>
      <c r="D390" s="19">
        <v>100</v>
      </c>
    </row>
    <row r="391" spans="1:4">
      <c r="A391" s="18">
        <v>41569</v>
      </c>
      <c r="B391" s="11" t="s">
        <v>72</v>
      </c>
      <c r="C391" s="11" t="s">
        <v>86</v>
      </c>
      <c r="D391" s="19">
        <v>379</v>
      </c>
    </row>
    <row r="392" spans="1:4">
      <c r="A392" s="18">
        <v>41569</v>
      </c>
      <c r="B392" s="11" t="s">
        <v>76</v>
      </c>
      <c r="C392" s="11" t="s">
        <v>69</v>
      </c>
      <c r="D392" s="19">
        <v>332</v>
      </c>
    </row>
    <row r="393" spans="1:4">
      <c r="A393" s="18">
        <v>41573</v>
      </c>
      <c r="B393" s="11" t="s">
        <v>72</v>
      </c>
      <c r="C393" s="11" t="s">
        <v>89</v>
      </c>
      <c r="D393" s="19">
        <v>13</v>
      </c>
    </row>
    <row r="394" spans="1:4">
      <c r="A394" s="18">
        <v>41573</v>
      </c>
      <c r="B394" s="11" t="s">
        <v>76</v>
      </c>
      <c r="C394" s="11" t="s">
        <v>92</v>
      </c>
      <c r="D394" s="19">
        <v>456</v>
      </c>
    </row>
    <row r="395" spans="1:4">
      <c r="A395" s="18">
        <v>41568</v>
      </c>
      <c r="B395" s="11" t="s">
        <v>76</v>
      </c>
      <c r="C395" s="11" t="s">
        <v>91</v>
      </c>
      <c r="D395" s="19">
        <v>249</v>
      </c>
    </row>
    <row r="396" spans="1:4">
      <c r="A396" s="18">
        <v>41573</v>
      </c>
      <c r="B396" s="11" t="s">
        <v>67</v>
      </c>
      <c r="C396" s="11" t="s">
        <v>89</v>
      </c>
      <c r="D396" s="19">
        <v>324</v>
      </c>
    </row>
    <row r="397" spans="1:4">
      <c r="A397" s="18">
        <v>41569</v>
      </c>
      <c r="B397" s="11" t="s">
        <v>67</v>
      </c>
      <c r="C397" s="11" t="s">
        <v>87</v>
      </c>
      <c r="D397" s="19">
        <v>423</v>
      </c>
    </row>
    <row r="398" spans="1:4">
      <c r="A398" s="18">
        <v>41567</v>
      </c>
      <c r="B398" s="11" t="s">
        <v>67</v>
      </c>
      <c r="C398" s="11" t="s">
        <v>75</v>
      </c>
      <c r="D398" s="19">
        <v>220</v>
      </c>
    </row>
    <row r="399" spans="1:4">
      <c r="A399" s="18">
        <v>41567</v>
      </c>
      <c r="B399" s="11" t="s">
        <v>76</v>
      </c>
      <c r="C399" s="11" t="s">
        <v>69</v>
      </c>
      <c r="D399" s="19">
        <v>47</v>
      </c>
    </row>
    <row r="400" spans="1:4">
      <c r="A400" s="18">
        <v>41567</v>
      </c>
      <c r="B400" s="11" t="s">
        <v>67</v>
      </c>
      <c r="C400" s="11" t="s">
        <v>86</v>
      </c>
      <c r="D400" s="19">
        <v>651</v>
      </c>
    </row>
    <row r="401" spans="1:4">
      <c r="A401" s="18">
        <v>41568</v>
      </c>
      <c r="B401" s="11" t="s">
        <v>67</v>
      </c>
      <c r="C401" s="11" t="s">
        <v>69</v>
      </c>
      <c r="D401" s="19">
        <v>89</v>
      </c>
    </row>
    <row r="402" spans="1:4">
      <c r="A402" s="18">
        <v>41570</v>
      </c>
      <c r="B402" s="11" t="s">
        <v>76</v>
      </c>
      <c r="C402" s="11" t="s">
        <v>78</v>
      </c>
      <c r="D402" s="19">
        <v>590</v>
      </c>
    </row>
    <row r="403" spans="1:4">
      <c r="A403" s="18">
        <v>41571</v>
      </c>
      <c r="B403" s="11" t="s">
        <v>72</v>
      </c>
      <c r="C403" s="11" t="s">
        <v>86</v>
      </c>
      <c r="D403" s="19">
        <v>681</v>
      </c>
    </row>
    <row r="404" spans="1:4">
      <c r="A404" s="18">
        <v>41567</v>
      </c>
      <c r="B404" s="11" t="s">
        <v>72</v>
      </c>
      <c r="C404" s="11" t="s">
        <v>77</v>
      </c>
      <c r="D404" s="19">
        <v>538</v>
      </c>
    </row>
    <row r="405" spans="1:4">
      <c r="A405" s="18">
        <v>41567</v>
      </c>
      <c r="B405" s="11" t="s">
        <v>67</v>
      </c>
      <c r="C405" s="11" t="s">
        <v>90</v>
      </c>
      <c r="D405" s="19">
        <v>562</v>
      </c>
    </row>
    <row r="406" spans="1:4">
      <c r="A406" s="18">
        <v>41571</v>
      </c>
      <c r="B406" s="11" t="s">
        <v>72</v>
      </c>
      <c r="C406" s="11" t="s">
        <v>82</v>
      </c>
      <c r="D406" s="19">
        <v>97</v>
      </c>
    </row>
    <row r="407" spans="1:4">
      <c r="A407" s="18">
        <v>41569</v>
      </c>
      <c r="B407" s="11" t="s">
        <v>76</v>
      </c>
      <c r="C407" s="11" t="s">
        <v>94</v>
      </c>
      <c r="D407" s="19">
        <v>583</v>
      </c>
    </row>
    <row r="408" spans="1:4">
      <c r="A408" s="18">
        <v>41572</v>
      </c>
      <c r="B408" s="11" t="s">
        <v>72</v>
      </c>
      <c r="C408" s="11" t="s">
        <v>78</v>
      </c>
      <c r="D408" s="19">
        <v>268</v>
      </c>
    </row>
    <row r="409" spans="1:4">
      <c r="A409" s="18">
        <v>41573</v>
      </c>
      <c r="B409" s="11" t="s">
        <v>72</v>
      </c>
      <c r="C409" s="11" t="s">
        <v>92</v>
      </c>
      <c r="D409" s="19">
        <v>443</v>
      </c>
    </row>
    <row r="410" spans="1:4">
      <c r="A410" s="18">
        <v>41573</v>
      </c>
      <c r="B410" s="11" t="s">
        <v>67</v>
      </c>
      <c r="C410" s="11" t="s">
        <v>93</v>
      </c>
      <c r="D410" s="19">
        <v>455</v>
      </c>
    </row>
    <row r="411" spans="1:4">
      <c r="A411" s="18">
        <v>41570</v>
      </c>
      <c r="B411" s="11" t="s">
        <v>76</v>
      </c>
      <c r="C411" s="11" t="s">
        <v>68</v>
      </c>
      <c r="D411" s="19">
        <v>663</v>
      </c>
    </row>
    <row r="412" spans="1:4">
      <c r="A412" s="18">
        <v>41569</v>
      </c>
      <c r="B412" s="11" t="s">
        <v>67</v>
      </c>
      <c r="C412" s="11" t="s">
        <v>89</v>
      </c>
      <c r="D412" s="19">
        <v>518</v>
      </c>
    </row>
    <row r="413" spans="1:4">
      <c r="A413" s="18">
        <v>41572</v>
      </c>
      <c r="B413" s="11" t="s">
        <v>67</v>
      </c>
      <c r="C413" s="11" t="s">
        <v>79</v>
      </c>
      <c r="D413" s="19">
        <v>621</v>
      </c>
    </row>
    <row r="414" spans="1:4">
      <c r="A414" s="18">
        <v>41568</v>
      </c>
      <c r="B414" s="11" t="s">
        <v>72</v>
      </c>
      <c r="C414" s="11" t="s">
        <v>89</v>
      </c>
      <c r="D414" s="19">
        <v>645</v>
      </c>
    </row>
    <row r="415" spans="1:4">
      <c r="A415" s="18">
        <v>41568</v>
      </c>
      <c r="B415" s="11" t="s">
        <v>76</v>
      </c>
      <c r="C415" s="11" t="s">
        <v>89</v>
      </c>
      <c r="D415" s="19">
        <v>131</v>
      </c>
    </row>
    <row r="416" spans="1:4">
      <c r="A416" s="18">
        <v>41571</v>
      </c>
      <c r="B416" s="11" t="s">
        <v>76</v>
      </c>
      <c r="C416" s="11" t="s">
        <v>69</v>
      </c>
      <c r="D416" s="19">
        <v>130</v>
      </c>
    </row>
    <row r="417" spans="1:4">
      <c r="A417" s="18">
        <v>41573</v>
      </c>
      <c r="B417" s="11" t="s">
        <v>67</v>
      </c>
      <c r="C417" s="11" t="s">
        <v>95</v>
      </c>
      <c r="D417" s="19">
        <v>415</v>
      </c>
    </row>
    <row r="418" spans="1:4">
      <c r="A418" s="18">
        <v>41570</v>
      </c>
      <c r="B418" s="11" t="s">
        <v>76</v>
      </c>
      <c r="C418" s="11" t="s">
        <v>86</v>
      </c>
      <c r="D418" s="19">
        <v>119</v>
      </c>
    </row>
    <row r="419" spans="1:4">
      <c r="A419" s="18">
        <v>41569</v>
      </c>
      <c r="B419" s="11" t="s">
        <v>76</v>
      </c>
      <c r="C419" s="11" t="s">
        <v>69</v>
      </c>
      <c r="D419" s="19">
        <v>307</v>
      </c>
    </row>
    <row r="420" spans="1:4">
      <c r="A420" s="18">
        <v>41568</v>
      </c>
      <c r="B420" s="11" t="s">
        <v>76</v>
      </c>
      <c r="C420" s="11" t="s">
        <v>84</v>
      </c>
      <c r="D420" s="19">
        <v>472</v>
      </c>
    </row>
    <row r="421" spans="1:4">
      <c r="A421" s="18">
        <v>41571</v>
      </c>
      <c r="B421" s="11" t="s">
        <v>76</v>
      </c>
      <c r="C421" s="11" t="s">
        <v>77</v>
      </c>
      <c r="D421" s="19">
        <v>136</v>
      </c>
    </row>
    <row r="422" spans="1:4">
      <c r="A422" s="18">
        <v>41568</v>
      </c>
      <c r="B422" s="11" t="s">
        <v>72</v>
      </c>
      <c r="C422" s="11" t="s">
        <v>89</v>
      </c>
      <c r="D422" s="19">
        <v>586</v>
      </c>
    </row>
    <row r="423" spans="1:4">
      <c r="A423" s="18">
        <v>41569</v>
      </c>
      <c r="B423" s="11" t="s">
        <v>67</v>
      </c>
      <c r="C423" s="11" t="s">
        <v>89</v>
      </c>
      <c r="D423" s="19">
        <v>215</v>
      </c>
    </row>
    <row r="424" spans="1:4">
      <c r="A424" s="18">
        <v>41569</v>
      </c>
      <c r="B424" s="11" t="s">
        <v>72</v>
      </c>
      <c r="C424" s="11" t="s">
        <v>78</v>
      </c>
      <c r="D424" s="19">
        <v>562</v>
      </c>
    </row>
    <row r="425" spans="1:4">
      <c r="A425" s="18">
        <v>41568</v>
      </c>
      <c r="B425" s="11" t="s">
        <v>76</v>
      </c>
      <c r="C425" s="11" t="s">
        <v>74</v>
      </c>
      <c r="D425" s="19">
        <v>662</v>
      </c>
    </row>
    <row r="426" spans="1:4">
      <c r="A426" s="18">
        <v>41570</v>
      </c>
      <c r="B426" s="11" t="s">
        <v>76</v>
      </c>
      <c r="C426" s="11" t="s">
        <v>86</v>
      </c>
      <c r="D426" s="19">
        <v>419</v>
      </c>
    </row>
    <row r="427" spans="1:4">
      <c r="A427" s="18">
        <v>41571</v>
      </c>
      <c r="B427" s="11" t="s">
        <v>67</v>
      </c>
      <c r="C427" s="11" t="s">
        <v>94</v>
      </c>
      <c r="D427" s="19">
        <v>508</v>
      </c>
    </row>
    <row r="428" spans="1:4">
      <c r="A428" s="18">
        <v>41570</v>
      </c>
      <c r="B428" s="11" t="s">
        <v>76</v>
      </c>
      <c r="C428" s="11" t="s">
        <v>89</v>
      </c>
      <c r="D428" s="19">
        <v>170</v>
      </c>
    </row>
    <row r="429" spans="1:4">
      <c r="A429" s="18">
        <v>41567</v>
      </c>
      <c r="B429" s="11" t="s">
        <v>76</v>
      </c>
      <c r="C429" s="11" t="s">
        <v>87</v>
      </c>
      <c r="D429" s="19">
        <v>586</v>
      </c>
    </row>
    <row r="430" spans="1:4">
      <c r="A430" s="18">
        <v>41571</v>
      </c>
      <c r="B430" s="11" t="s">
        <v>76</v>
      </c>
      <c r="C430" s="11" t="s">
        <v>70</v>
      </c>
      <c r="D430" s="19">
        <v>219</v>
      </c>
    </row>
    <row r="431" spans="1:4">
      <c r="A431" s="18">
        <v>41571</v>
      </c>
      <c r="B431" s="11" t="s">
        <v>76</v>
      </c>
      <c r="C431" s="11" t="s">
        <v>73</v>
      </c>
      <c r="D431" s="19">
        <v>339</v>
      </c>
    </row>
    <row r="432" spans="1:4">
      <c r="A432" s="18">
        <v>41571</v>
      </c>
      <c r="B432" s="11" t="s">
        <v>76</v>
      </c>
      <c r="C432" s="11" t="s">
        <v>82</v>
      </c>
      <c r="D432" s="19">
        <v>198</v>
      </c>
    </row>
    <row r="433" spans="1:4">
      <c r="A433" s="18">
        <v>41570</v>
      </c>
      <c r="B433" s="11" t="s">
        <v>72</v>
      </c>
      <c r="C433" s="11" t="s">
        <v>77</v>
      </c>
      <c r="D433" s="19">
        <v>674</v>
      </c>
    </row>
    <row r="434" spans="1:4">
      <c r="A434" s="18">
        <v>41568</v>
      </c>
      <c r="B434" s="11" t="s">
        <v>72</v>
      </c>
      <c r="C434" s="11" t="s">
        <v>69</v>
      </c>
      <c r="D434" s="19">
        <v>399</v>
      </c>
    </row>
    <row r="435" spans="1:4">
      <c r="A435" s="18">
        <v>41569</v>
      </c>
      <c r="B435" s="11" t="s">
        <v>72</v>
      </c>
      <c r="C435" s="11" t="s">
        <v>77</v>
      </c>
      <c r="D435" s="19">
        <v>615</v>
      </c>
    </row>
    <row r="436" spans="1:4">
      <c r="A436" s="18">
        <v>41568</v>
      </c>
      <c r="B436" s="11" t="s">
        <v>72</v>
      </c>
      <c r="C436" s="11" t="s">
        <v>86</v>
      </c>
      <c r="D436" s="19">
        <v>107</v>
      </c>
    </row>
    <row r="437" spans="1:4">
      <c r="A437" s="18">
        <v>41571</v>
      </c>
      <c r="B437" s="11" t="s">
        <v>72</v>
      </c>
      <c r="C437" s="11" t="s">
        <v>92</v>
      </c>
      <c r="D437" s="19">
        <v>199</v>
      </c>
    </row>
    <row r="438" spans="1:4">
      <c r="A438" s="18">
        <v>41572</v>
      </c>
      <c r="B438" s="11" t="s">
        <v>67</v>
      </c>
      <c r="C438" s="11" t="s">
        <v>73</v>
      </c>
      <c r="D438" s="19">
        <v>23</v>
      </c>
    </row>
    <row r="439" spans="1:4">
      <c r="A439" s="18">
        <v>41567</v>
      </c>
      <c r="B439" s="11" t="s">
        <v>76</v>
      </c>
      <c r="C439" s="11" t="s">
        <v>78</v>
      </c>
      <c r="D439" s="19">
        <v>297</v>
      </c>
    </row>
    <row r="440" spans="1:4">
      <c r="A440" s="18">
        <v>41567</v>
      </c>
      <c r="B440" s="11" t="s">
        <v>72</v>
      </c>
      <c r="C440" s="11" t="s">
        <v>73</v>
      </c>
      <c r="D440" s="19">
        <v>273</v>
      </c>
    </row>
    <row r="441" spans="1:4">
      <c r="A441" s="18">
        <v>41573</v>
      </c>
      <c r="B441" s="11" t="s">
        <v>67</v>
      </c>
      <c r="C441" s="11" t="s">
        <v>92</v>
      </c>
      <c r="D441" s="19">
        <v>281</v>
      </c>
    </row>
    <row r="442" spans="1:4">
      <c r="A442" s="18">
        <v>41569</v>
      </c>
      <c r="B442" s="11" t="s">
        <v>76</v>
      </c>
      <c r="C442" s="11" t="s">
        <v>73</v>
      </c>
      <c r="D442" s="19">
        <v>227</v>
      </c>
    </row>
    <row r="443" spans="1:4">
      <c r="A443" s="18">
        <v>41573</v>
      </c>
      <c r="B443" s="11" t="s">
        <v>72</v>
      </c>
      <c r="C443" s="11" t="s">
        <v>70</v>
      </c>
      <c r="D443" s="19">
        <v>156</v>
      </c>
    </row>
    <row r="444" spans="1:4">
      <c r="A444" s="18">
        <v>41572</v>
      </c>
      <c r="B444" s="11" t="s">
        <v>76</v>
      </c>
      <c r="C444" s="11" t="s">
        <v>73</v>
      </c>
      <c r="D444" s="19">
        <v>534</v>
      </c>
    </row>
    <row r="445" spans="1:4">
      <c r="A445" s="18">
        <v>41569</v>
      </c>
      <c r="B445" s="11" t="s">
        <v>76</v>
      </c>
      <c r="C445" s="11" t="s">
        <v>69</v>
      </c>
      <c r="D445" s="19">
        <v>459</v>
      </c>
    </row>
    <row r="446" spans="1:4">
      <c r="A446" s="18">
        <v>41568</v>
      </c>
      <c r="B446" s="11" t="s">
        <v>76</v>
      </c>
      <c r="C446" s="11" t="s">
        <v>70</v>
      </c>
      <c r="D446" s="19">
        <v>131</v>
      </c>
    </row>
    <row r="447" spans="1:4">
      <c r="A447" s="18">
        <v>41567</v>
      </c>
      <c r="B447" s="11" t="s">
        <v>67</v>
      </c>
      <c r="C447" s="11" t="s">
        <v>70</v>
      </c>
      <c r="D447" s="19">
        <v>339</v>
      </c>
    </row>
    <row r="448" spans="1:4">
      <c r="A448" s="18">
        <v>41568</v>
      </c>
      <c r="B448" s="11" t="s">
        <v>72</v>
      </c>
      <c r="C448" s="11" t="s">
        <v>74</v>
      </c>
      <c r="D448" s="19">
        <v>634</v>
      </c>
    </row>
    <row r="449" spans="1:4">
      <c r="A449" s="18">
        <v>41568</v>
      </c>
      <c r="B449" s="11" t="s">
        <v>72</v>
      </c>
      <c r="C449" s="11" t="s">
        <v>77</v>
      </c>
      <c r="D449" s="19">
        <v>450</v>
      </c>
    </row>
    <row r="450" spans="1:4">
      <c r="A450" s="18">
        <v>41572</v>
      </c>
      <c r="B450" s="11" t="s">
        <v>67</v>
      </c>
      <c r="C450" s="11" t="s">
        <v>85</v>
      </c>
      <c r="D450" s="19">
        <v>65</v>
      </c>
    </row>
    <row r="451" spans="1:4">
      <c r="A451" s="18">
        <v>41573</v>
      </c>
      <c r="B451" s="11" t="s">
        <v>76</v>
      </c>
      <c r="C451" s="11" t="s">
        <v>91</v>
      </c>
      <c r="D451" s="19">
        <v>530</v>
      </c>
    </row>
    <row r="452" spans="1:4">
      <c r="A452" s="18">
        <v>41569</v>
      </c>
      <c r="B452" s="11" t="s">
        <v>76</v>
      </c>
      <c r="C452" s="11" t="s">
        <v>77</v>
      </c>
      <c r="D452" s="19">
        <v>74</v>
      </c>
    </row>
    <row r="453" spans="1:4">
      <c r="A453" s="18">
        <v>41573</v>
      </c>
      <c r="B453" s="11" t="s">
        <v>76</v>
      </c>
      <c r="C453" s="11" t="s">
        <v>80</v>
      </c>
      <c r="D453" s="19">
        <v>93</v>
      </c>
    </row>
    <row r="454" spans="1:4">
      <c r="A454" s="18">
        <v>41568</v>
      </c>
      <c r="B454" s="11" t="s">
        <v>72</v>
      </c>
      <c r="C454" s="11" t="s">
        <v>90</v>
      </c>
      <c r="D454" s="19">
        <v>337</v>
      </c>
    </row>
    <row r="455" spans="1:4">
      <c r="A455" s="18">
        <v>41567</v>
      </c>
      <c r="B455" s="11" t="s">
        <v>72</v>
      </c>
      <c r="C455" s="11" t="s">
        <v>89</v>
      </c>
      <c r="D455" s="19">
        <v>583</v>
      </c>
    </row>
    <row r="456" spans="1:4">
      <c r="A456" s="18">
        <v>41570</v>
      </c>
      <c r="B456" s="11" t="s">
        <v>67</v>
      </c>
      <c r="C456" s="11" t="s">
        <v>70</v>
      </c>
      <c r="D456" s="19">
        <v>374</v>
      </c>
    </row>
    <row r="457" spans="1:4">
      <c r="A457" s="18">
        <v>41569</v>
      </c>
      <c r="B457" s="11" t="s">
        <v>72</v>
      </c>
      <c r="C457" s="11" t="s">
        <v>69</v>
      </c>
      <c r="D457" s="19">
        <v>243</v>
      </c>
    </row>
    <row r="458" spans="1:4">
      <c r="A458" s="18">
        <v>41568</v>
      </c>
      <c r="B458" s="11" t="s">
        <v>67</v>
      </c>
      <c r="C458" s="11" t="s">
        <v>75</v>
      </c>
      <c r="D458" s="19">
        <v>225</v>
      </c>
    </row>
    <row r="459" spans="1:4">
      <c r="A459" s="18">
        <v>41573</v>
      </c>
      <c r="B459" s="11" t="s">
        <v>76</v>
      </c>
      <c r="C459" s="11" t="s">
        <v>86</v>
      </c>
      <c r="D459" s="19">
        <v>160</v>
      </c>
    </row>
    <row r="460" spans="1:4">
      <c r="A460" s="18">
        <v>41568</v>
      </c>
      <c r="B460" s="11" t="s">
        <v>67</v>
      </c>
      <c r="C460" s="11" t="s">
        <v>91</v>
      </c>
      <c r="D460" s="19">
        <v>502</v>
      </c>
    </row>
    <row r="461" spans="1:4">
      <c r="A461" s="18">
        <v>41572</v>
      </c>
      <c r="B461" s="11" t="s">
        <v>72</v>
      </c>
      <c r="C461" s="11" t="s">
        <v>73</v>
      </c>
      <c r="D461" s="19">
        <v>221</v>
      </c>
    </row>
    <row r="462" spans="1:4">
      <c r="A462" s="18">
        <v>41568</v>
      </c>
      <c r="B462" s="11" t="s">
        <v>76</v>
      </c>
      <c r="C462" s="11" t="s">
        <v>95</v>
      </c>
      <c r="D462" s="19">
        <v>516</v>
      </c>
    </row>
    <row r="463" spans="1:4">
      <c r="A463" s="18">
        <v>41573</v>
      </c>
      <c r="B463" s="11" t="s">
        <v>67</v>
      </c>
      <c r="C463" s="11" t="s">
        <v>86</v>
      </c>
      <c r="D463" s="19">
        <v>678</v>
      </c>
    </row>
    <row r="464" spans="1:4">
      <c r="A464" s="18">
        <v>41569</v>
      </c>
      <c r="B464" s="11" t="s">
        <v>72</v>
      </c>
      <c r="C464" s="11" t="s">
        <v>81</v>
      </c>
      <c r="D464" s="19">
        <v>637</v>
      </c>
    </row>
    <row r="465" spans="1:4">
      <c r="A465" s="18">
        <v>41568</v>
      </c>
      <c r="B465" s="11" t="s">
        <v>72</v>
      </c>
      <c r="C465" s="11" t="s">
        <v>86</v>
      </c>
      <c r="D465" s="19">
        <v>525</v>
      </c>
    </row>
    <row r="466" spans="1:4">
      <c r="A466" s="18">
        <v>41572</v>
      </c>
      <c r="B466" s="11" t="s">
        <v>76</v>
      </c>
      <c r="C466" s="11" t="s">
        <v>81</v>
      </c>
      <c r="D466" s="19">
        <v>540</v>
      </c>
    </row>
    <row r="467" spans="1:4">
      <c r="A467" s="18">
        <v>41570</v>
      </c>
      <c r="B467" s="11" t="s">
        <v>67</v>
      </c>
      <c r="C467" s="11" t="s">
        <v>69</v>
      </c>
      <c r="D467" s="19">
        <v>245</v>
      </c>
    </row>
    <row r="468" spans="1:4">
      <c r="A468" s="18">
        <v>41567</v>
      </c>
      <c r="B468" s="11" t="s">
        <v>72</v>
      </c>
      <c r="C468" s="11" t="s">
        <v>81</v>
      </c>
      <c r="D468" s="19">
        <v>290</v>
      </c>
    </row>
    <row r="469" spans="1:4">
      <c r="A469" s="18">
        <v>41568</v>
      </c>
      <c r="B469" s="11" t="s">
        <v>76</v>
      </c>
      <c r="C469" s="11" t="s">
        <v>73</v>
      </c>
      <c r="D469" s="19">
        <v>376</v>
      </c>
    </row>
    <row r="470" spans="1:4">
      <c r="A470" s="18">
        <v>41569</v>
      </c>
      <c r="B470" s="11" t="s">
        <v>76</v>
      </c>
      <c r="C470" s="11" t="s">
        <v>69</v>
      </c>
      <c r="D470" s="19">
        <v>226</v>
      </c>
    </row>
    <row r="471" spans="1:4">
      <c r="A471" s="18">
        <v>41573</v>
      </c>
      <c r="B471" s="11" t="s">
        <v>72</v>
      </c>
      <c r="C471" s="11" t="s">
        <v>70</v>
      </c>
      <c r="D471" s="19">
        <v>38</v>
      </c>
    </row>
    <row r="472" spans="1:4">
      <c r="A472" s="18">
        <v>41570</v>
      </c>
      <c r="B472" s="11" t="s">
        <v>72</v>
      </c>
      <c r="C472" s="11" t="s">
        <v>78</v>
      </c>
      <c r="D472" s="19">
        <v>283</v>
      </c>
    </row>
    <row r="473" spans="1:4">
      <c r="A473" s="18">
        <v>41568</v>
      </c>
      <c r="B473" s="11" t="s">
        <v>67</v>
      </c>
      <c r="C473" s="11" t="s">
        <v>77</v>
      </c>
      <c r="D473" s="19">
        <v>480</v>
      </c>
    </row>
    <row r="474" spans="1:4">
      <c r="A474" s="18">
        <v>41568</v>
      </c>
      <c r="B474" s="11" t="s">
        <v>67</v>
      </c>
      <c r="C474" s="11" t="s">
        <v>88</v>
      </c>
      <c r="D474" s="19">
        <v>482</v>
      </c>
    </row>
    <row r="475" spans="1:4">
      <c r="A475" s="18">
        <v>41573</v>
      </c>
      <c r="B475" s="11" t="s">
        <v>76</v>
      </c>
      <c r="C475" s="11" t="s">
        <v>69</v>
      </c>
      <c r="D475" s="19">
        <v>37</v>
      </c>
    </row>
    <row r="476" spans="1:4">
      <c r="A476" s="18">
        <v>41570</v>
      </c>
      <c r="B476" s="11" t="s">
        <v>76</v>
      </c>
      <c r="C476" s="11" t="s">
        <v>91</v>
      </c>
      <c r="D476" s="19">
        <v>279</v>
      </c>
    </row>
    <row r="477" spans="1:4">
      <c r="A477" s="18">
        <v>41570</v>
      </c>
      <c r="B477" s="11" t="s">
        <v>67</v>
      </c>
      <c r="C477" s="11" t="s">
        <v>89</v>
      </c>
      <c r="D477" s="19">
        <v>152</v>
      </c>
    </row>
    <row r="478" spans="1:4">
      <c r="A478" s="18">
        <v>41567</v>
      </c>
      <c r="B478" s="11" t="s">
        <v>72</v>
      </c>
      <c r="C478" s="11" t="s">
        <v>74</v>
      </c>
      <c r="D478" s="19">
        <v>419</v>
      </c>
    </row>
    <row r="479" spans="1:4">
      <c r="A479" s="18">
        <v>41570</v>
      </c>
      <c r="B479" s="11" t="s">
        <v>67</v>
      </c>
      <c r="C479" s="11" t="s">
        <v>84</v>
      </c>
      <c r="D479" s="19">
        <v>652</v>
      </c>
    </row>
    <row r="480" spans="1:4">
      <c r="A480" s="18">
        <v>41568</v>
      </c>
      <c r="B480" s="11" t="s">
        <v>76</v>
      </c>
      <c r="C480" s="11" t="s">
        <v>73</v>
      </c>
      <c r="D480" s="19">
        <v>151</v>
      </c>
    </row>
    <row r="481" spans="1:4">
      <c r="A481" s="18">
        <v>41567</v>
      </c>
      <c r="B481" s="11" t="s">
        <v>72</v>
      </c>
      <c r="C481" s="11" t="s">
        <v>77</v>
      </c>
      <c r="D481" s="19">
        <v>99</v>
      </c>
    </row>
    <row r="482" spans="1:4">
      <c r="A482" s="18">
        <v>41572</v>
      </c>
      <c r="B482" s="11" t="s">
        <v>72</v>
      </c>
      <c r="C482" s="11" t="s">
        <v>81</v>
      </c>
      <c r="D482" s="19">
        <v>432</v>
      </c>
    </row>
    <row r="483" spans="1:4">
      <c r="A483" s="18">
        <v>41568</v>
      </c>
      <c r="B483" s="11" t="s">
        <v>72</v>
      </c>
      <c r="C483" s="11" t="s">
        <v>77</v>
      </c>
      <c r="D483" s="19">
        <v>174</v>
      </c>
    </row>
    <row r="484" spans="1:4">
      <c r="A484" s="18">
        <v>41570</v>
      </c>
      <c r="B484" s="11" t="s">
        <v>72</v>
      </c>
      <c r="C484" s="11" t="s">
        <v>90</v>
      </c>
      <c r="D484" s="19">
        <v>209</v>
      </c>
    </row>
    <row r="485" spans="1:4">
      <c r="A485" s="18">
        <v>41570</v>
      </c>
      <c r="B485" s="11" t="s">
        <v>72</v>
      </c>
      <c r="C485" s="11" t="s">
        <v>81</v>
      </c>
      <c r="D485" s="19">
        <v>261</v>
      </c>
    </row>
    <row r="486" spans="1:4">
      <c r="A486" s="18">
        <v>41573</v>
      </c>
      <c r="B486" s="11" t="s">
        <v>76</v>
      </c>
      <c r="C486" s="11" t="s">
        <v>81</v>
      </c>
      <c r="D486" s="19">
        <v>633</v>
      </c>
    </row>
    <row r="487" spans="1:4">
      <c r="A487" s="18">
        <v>41573</v>
      </c>
      <c r="B487" s="11" t="s">
        <v>67</v>
      </c>
      <c r="C487" s="11" t="s">
        <v>91</v>
      </c>
      <c r="D487" s="19">
        <v>308</v>
      </c>
    </row>
    <row r="488" spans="1:4">
      <c r="A488" s="18">
        <v>41573</v>
      </c>
      <c r="B488" s="11" t="s">
        <v>67</v>
      </c>
      <c r="C488" s="11" t="s">
        <v>81</v>
      </c>
      <c r="D488" s="19">
        <v>319</v>
      </c>
    </row>
    <row r="489" spans="1:4">
      <c r="A489" s="18">
        <v>41567</v>
      </c>
      <c r="B489" s="11" t="s">
        <v>67</v>
      </c>
      <c r="C489" s="11" t="s">
        <v>74</v>
      </c>
      <c r="D489" s="19">
        <v>400</v>
      </c>
    </row>
    <row r="490" spans="1:4">
      <c r="A490" s="18">
        <v>41571</v>
      </c>
      <c r="B490" s="11" t="s">
        <v>67</v>
      </c>
      <c r="C490" s="11" t="s">
        <v>94</v>
      </c>
      <c r="D490" s="19">
        <v>20</v>
      </c>
    </row>
    <row r="491" spans="1:4">
      <c r="A491" s="18">
        <v>41573</v>
      </c>
      <c r="B491" s="11" t="s">
        <v>72</v>
      </c>
      <c r="C491" s="11" t="s">
        <v>70</v>
      </c>
      <c r="D491" s="19">
        <v>151</v>
      </c>
    </row>
    <row r="492" spans="1:4">
      <c r="A492" s="18">
        <v>41568</v>
      </c>
      <c r="B492" s="11" t="s">
        <v>76</v>
      </c>
      <c r="C492" s="11" t="s">
        <v>94</v>
      </c>
      <c r="D492" s="19">
        <v>345</v>
      </c>
    </row>
    <row r="493" spans="1:4">
      <c r="A493" s="18">
        <v>41571</v>
      </c>
      <c r="B493" s="11" t="s">
        <v>76</v>
      </c>
      <c r="C493" s="11" t="s">
        <v>91</v>
      </c>
      <c r="D493" s="19">
        <v>78</v>
      </c>
    </row>
    <row r="494" spans="1:4">
      <c r="A494" s="18">
        <v>41570</v>
      </c>
      <c r="B494" s="11" t="s">
        <v>67</v>
      </c>
      <c r="C494" s="11" t="s">
        <v>77</v>
      </c>
      <c r="D494" s="19">
        <v>81</v>
      </c>
    </row>
    <row r="495" spans="1:4">
      <c r="A495" s="18">
        <v>41570</v>
      </c>
      <c r="B495" s="11" t="s">
        <v>67</v>
      </c>
      <c r="C495" s="11" t="s">
        <v>78</v>
      </c>
      <c r="D495" s="19">
        <v>563</v>
      </c>
    </row>
    <row r="496" spans="1:4">
      <c r="A496" s="18">
        <v>41567</v>
      </c>
      <c r="B496" s="11" t="s">
        <v>76</v>
      </c>
      <c r="C496" s="11" t="s">
        <v>78</v>
      </c>
      <c r="D496" s="19">
        <v>344</v>
      </c>
    </row>
    <row r="497" spans="1:4">
      <c r="A497" s="18">
        <v>41570</v>
      </c>
      <c r="B497" s="11" t="s">
        <v>67</v>
      </c>
      <c r="C497" s="11" t="s">
        <v>81</v>
      </c>
      <c r="D497" s="19">
        <v>103</v>
      </c>
    </row>
    <row r="498" spans="1:4">
      <c r="A498" s="18">
        <v>41567</v>
      </c>
      <c r="B498" s="11" t="s">
        <v>76</v>
      </c>
      <c r="C498" s="11" t="s">
        <v>91</v>
      </c>
      <c r="D498" s="19">
        <v>378</v>
      </c>
    </row>
    <row r="499" spans="1:4">
      <c r="A499" s="18">
        <v>41573</v>
      </c>
      <c r="B499" s="11" t="s">
        <v>67</v>
      </c>
      <c r="C499" s="11" t="s">
        <v>81</v>
      </c>
      <c r="D499" s="19">
        <v>546</v>
      </c>
    </row>
    <row r="500" spans="1:4">
      <c r="A500" s="18">
        <v>41570</v>
      </c>
      <c r="B500" s="11" t="s">
        <v>67</v>
      </c>
      <c r="C500" s="11" t="s">
        <v>70</v>
      </c>
      <c r="D500" s="19">
        <v>649</v>
      </c>
    </row>
    <row r="501" spans="1:4">
      <c r="A501" s="18">
        <v>41568</v>
      </c>
      <c r="B501" s="11" t="s">
        <v>72</v>
      </c>
      <c r="C501" s="11" t="s">
        <v>78</v>
      </c>
      <c r="D501" s="19">
        <v>387</v>
      </c>
    </row>
    <row r="502" spans="1:4">
      <c r="A502" s="18">
        <v>41567</v>
      </c>
      <c r="B502" s="11" t="s">
        <v>67</v>
      </c>
      <c r="C502" s="11" t="s">
        <v>69</v>
      </c>
      <c r="D502" s="19">
        <v>468</v>
      </c>
    </row>
    <row r="503" spans="1:4">
      <c r="A503" s="18">
        <v>41569</v>
      </c>
      <c r="B503" s="11" t="s">
        <v>76</v>
      </c>
      <c r="C503" s="11" t="s">
        <v>91</v>
      </c>
      <c r="D503" s="19">
        <v>36</v>
      </c>
    </row>
    <row r="504" spans="1:4">
      <c r="A504" s="18">
        <v>41570</v>
      </c>
      <c r="B504" s="11" t="s">
        <v>76</v>
      </c>
      <c r="C504" s="11" t="s">
        <v>92</v>
      </c>
      <c r="D504" s="19">
        <v>576</v>
      </c>
    </row>
    <row r="505" spans="1:4">
      <c r="A505" s="18">
        <v>41571</v>
      </c>
      <c r="B505" s="11" t="s">
        <v>72</v>
      </c>
      <c r="C505" s="11" t="s">
        <v>70</v>
      </c>
      <c r="D505" s="19">
        <v>304</v>
      </c>
    </row>
    <row r="506" spans="1:4">
      <c r="A506" s="18">
        <v>41570</v>
      </c>
      <c r="B506" s="11" t="s">
        <v>72</v>
      </c>
      <c r="C506" s="11" t="s">
        <v>94</v>
      </c>
      <c r="D506" s="19">
        <v>648</v>
      </c>
    </row>
    <row r="507" spans="1:4">
      <c r="A507" s="18">
        <v>41568</v>
      </c>
      <c r="B507" s="11" t="s">
        <v>76</v>
      </c>
      <c r="C507" s="11" t="s">
        <v>92</v>
      </c>
      <c r="D507" s="19">
        <v>624</v>
      </c>
    </row>
    <row r="508" spans="1:4">
      <c r="A508" s="18">
        <v>41570</v>
      </c>
      <c r="B508" s="11" t="s">
        <v>76</v>
      </c>
      <c r="C508" s="11" t="s">
        <v>78</v>
      </c>
      <c r="D508" s="19">
        <v>199</v>
      </c>
    </row>
    <row r="509" spans="1:4">
      <c r="A509" s="18">
        <v>41569</v>
      </c>
      <c r="B509" s="11" t="s">
        <v>67</v>
      </c>
      <c r="C509" s="11" t="s">
        <v>89</v>
      </c>
      <c r="D509" s="19">
        <v>21</v>
      </c>
    </row>
    <row r="510" spans="1:4">
      <c r="A510" s="18">
        <v>41570</v>
      </c>
      <c r="B510" s="11" t="s">
        <v>72</v>
      </c>
      <c r="C510" s="11" t="s">
        <v>93</v>
      </c>
      <c r="D510" s="19">
        <v>173</v>
      </c>
    </row>
    <row r="511" spans="1:4">
      <c r="A511" s="18">
        <v>41570</v>
      </c>
      <c r="B511" s="11" t="s">
        <v>72</v>
      </c>
      <c r="C511" s="11" t="s">
        <v>77</v>
      </c>
      <c r="D511" s="19">
        <v>149</v>
      </c>
    </row>
    <row r="512" spans="1:4">
      <c r="A512" s="18">
        <v>41571</v>
      </c>
      <c r="B512" s="11" t="s">
        <v>67</v>
      </c>
      <c r="C512" s="11" t="s">
        <v>70</v>
      </c>
      <c r="D512" s="19">
        <v>294</v>
      </c>
    </row>
    <row r="513" spans="1:4">
      <c r="A513" s="18">
        <v>41567</v>
      </c>
      <c r="B513" s="11" t="s">
        <v>76</v>
      </c>
      <c r="C513" s="11" t="s">
        <v>73</v>
      </c>
      <c r="D513" s="19">
        <v>225</v>
      </c>
    </row>
    <row r="514" spans="1:4">
      <c r="A514" s="18">
        <v>41569</v>
      </c>
      <c r="B514" s="11" t="s">
        <v>76</v>
      </c>
      <c r="C514" s="11" t="s">
        <v>87</v>
      </c>
      <c r="D514" s="19">
        <v>276</v>
      </c>
    </row>
    <row r="515" spans="1:4">
      <c r="A515" s="18">
        <v>41569</v>
      </c>
      <c r="B515" s="11" t="s">
        <v>72</v>
      </c>
      <c r="C515" s="11" t="s">
        <v>86</v>
      </c>
      <c r="D515" s="19">
        <v>666</v>
      </c>
    </row>
    <row r="516" spans="1:4">
      <c r="A516" s="18">
        <v>41570</v>
      </c>
      <c r="B516" s="11" t="s">
        <v>67</v>
      </c>
      <c r="C516" s="11" t="s">
        <v>68</v>
      </c>
      <c r="D516" s="19">
        <v>616</v>
      </c>
    </row>
    <row r="517" spans="1:4">
      <c r="A517" s="18">
        <v>41568</v>
      </c>
      <c r="B517" s="11" t="s">
        <v>72</v>
      </c>
      <c r="C517" s="11" t="s">
        <v>70</v>
      </c>
      <c r="D517" s="19">
        <v>307</v>
      </c>
    </row>
    <row r="518" spans="1:4">
      <c r="A518" s="18">
        <v>41570</v>
      </c>
      <c r="B518" s="11" t="s">
        <v>76</v>
      </c>
      <c r="C518" s="11" t="s">
        <v>77</v>
      </c>
      <c r="D518" s="19">
        <v>140</v>
      </c>
    </row>
    <row r="519" spans="1:4">
      <c r="A519" s="18">
        <v>41571</v>
      </c>
      <c r="B519" s="11" t="s">
        <v>67</v>
      </c>
      <c r="C519" s="11" t="s">
        <v>70</v>
      </c>
      <c r="D519" s="19">
        <v>632</v>
      </c>
    </row>
    <row r="520" spans="1:4">
      <c r="A520" s="18">
        <v>41572</v>
      </c>
      <c r="B520" s="11" t="s">
        <v>67</v>
      </c>
      <c r="C520" s="11" t="s">
        <v>81</v>
      </c>
      <c r="D520" s="19">
        <v>461</v>
      </c>
    </row>
    <row r="521" spans="1:4">
      <c r="A521" s="18">
        <v>41568</v>
      </c>
      <c r="B521" s="11" t="s">
        <v>67</v>
      </c>
      <c r="C521" s="11" t="s">
        <v>91</v>
      </c>
      <c r="D521" s="19">
        <v>656</v>
      </c>
    </row>
    <row r="522" spans="1:4">
      <c r="A522" s="18">
        <v>41569</v>
      </c>
      <c r="B522" s="11" t="s">
        <v>67</v>
      </c>
      <c r="C522" s="11" t="s">
        <v>94</v>
      </c>
      <c r="D522" s="19">
        <v>158</v>
      </c>
    </row>
    <row r="523" spans="1:4">
      <c r="A523" s="18">
        <v>41570</v>
      </c>
      <c r="B523" s="11" t="s">
        <v>72</v>
      </c>
      <c r="C523" s="11" t="s">
        <v>89</v>
      </c>
      <c r="D523" s="19">
        <v>663</v>
      </c>
    </row>
    <row r="524" spans="1:4">
      <c r="A524" s="18">
        <v>41571</v>
      </c>
      <c r="B524" s="11" t="s">
        <v>76</v>
      </c>
      <c r="C524" s="11" t="s">
        <v>69</v>
      </c>
      <c r="D524" s="19">
        <v>555</v>
      </c>
    </row>
    <row r="525" spans="1:4">
      <c r="A525" s="18">
        <v>41570</v>
      </c>
      <c r="B525" s="11" t="s">
        <v>67</v>
      </c>
      <c r="C525" s="11" t="s">
        <v>83</v>
      </c>
      <c r="D525" s="19">
        <v>489</v>
      </c>
    </row>
    <row r="526" spans="1:4">
      <c r="A526" s="18">
        <v>41569</v>
      </c>
      <c r="B526" s="11" t="s">
        <v>67</v>
      </c>
      <c r="C526" s="11" t="s">
        <v>69</v>
      </c>
      <c r="D526" s="19">
        <v>212</v>
      </c>
    </row>
    <row r="527" spans="1:4">
      <c r="A527" s="18">
        <v>41567</v>
      </c>
      <c r="B527" s="11" t="s">
        <v>76</v>
      </c>
      <c r="C527" s="11" t="s">
        <v>68</v>
      </c>
      <c r="D527" s="19">
        <v>411</v>
      </c>
    </row>
    <row r="528" spans="1:4">
      <c r="A528" s="18">
        <v>41570</v>
      </c>
      <c r="B528" s="11" t="s">
        <v>72</v>
      </c>
      <c r="C528" s="11" t="s">
        <v>70</v>
      </c>
      <c r="D528" s="19">
        <v>343</v>
      </c>
    </row>
    <row r="529" spans="1:4">
      <c r="A529" s="18">
        <v>41569</v>
      </c>
      <c r="B529" s="11" t="s">
        <v>67</v>
      </c>
      <c r="C529" s="11" t="s">
        <v>89</v>
      </c>
      <c r="D529" s="19">
        <v>629</v>
      </c>
    </row>
    <row r="530" spans="1:4">
      <c r="A530" s="18">
        <v>41568</v>
      </c>
      <c r="B530" s="11" t="s">
        <v>72</v>
      </c>
      <c r="C530" s="11" t="s">
        <v>95</v>
      </c>
      <c r="D530" s="19">
        <v>247</v>
      </c>
    </row>
    <row r="531" spans="1:4">
      <c r="A531" s="18">
        <v>41572</v>
      </c>
      <c r="B531" s="11" t="s">
        <v>76</v>
      </c>
      <c r="C531" s="11" t="s">
        <v>86</v>
      </c>
      <c r="D531" s="19">
        <v>180</v>
      </c>
    </row>
    <row r="532" spans="1:4">
      <c r="A532" s="18">
        <v>41572</v>
      </c>
      <c r="B532" s="11" t="s">
        <v>76</v>
      </c>
      <c r="C532" s="11" t="s">
        <v>84</v>
      </c>
      <c r="D532" s="19">
        <v>374</v>
      </c>
    </row>
    <row r="533" spans="1:4">
      <c r="A533" s="18">
        <v>41569</v>
      </c>
      <c r="B533" s="11" t="s">
        <v>67</v>
      </c>
      <c r="C533" s="11" t="s">
        <v>95</v>
      </c>
      <c r="D533" s="19">
        <v>672</v>
      </c>
    </row>
    <row r="534" spans="1:4">
      <c r="A534" s="18">
        <v>41572</v>
      </c>
      <c r="B534" s="11" t="s">
        <v>76</v>
      </c>
      <c r="C534" s="11" t="s">
        <v>78</v>
      </c>
      <c r="D534" s="19">
        <v>484</v>
      </c>
    </row>
    <row r="535" spans="1:4">
      <c r="A535" s="18">
        <v>41573</v>
      </c>
      <c r="B535" s="11" t="s">
        <v>76</v>
      </c>
      <c r="C535" s="11" t="s">
        <v>69</v>
      </c>
      <c r="D535" s="19">
        <v>77</v>
      </c>
    </row>
    <row r="536" spans="1:4">
      <c r="A536" s="18">
        <v>41573</v>
      </c>
      <c r="B536" s="11" t="s">
        <v>67</v>
      </c>
      <c r="C536" s="11" t="s">
        <v>88</v>
      </c>
      <c r="D536" s="19">
        <v>315</v>
      </c>
    </row>
    <row r="537" spans="1:4">
      <c r="A537" s="18">
        <v>41570</v>
      </c>
      <c r="B537" s="11" t="s">
        <v>76</v>
      </c>
      <c r="C537" s="11" t="s">
        <v>73</v>
      </c>
      <c r="D537" s="19">
        <v>462</v>
      </c>
    </row>
    <row r="538" spans="1:4">
      <c r="A538" s="18">
        <v>41569</v>
      </c>
      <c r="B538" s="11" t="s">
        <v>76</v>
      </c>
      <c r="C538" s="11" t="s">
        <v>86</v>
      </c>
      <c r="D538" s="19">
        <v>470</v>
      </c>
    </row>
    <row r="539" spans="1:4">
      <c r="A539" s="18">
        <v>41567</v>
      </c>
      <c r="B539" s="11" t="s">
        <v>67</v>
      </c>
      <c r="C539" s="11" t="s">
        <v>78</v>
      </c>
      <c r="D539" s="19">
        <v>102</v>
      </c>
    </row>
    <row r="540" spans="1:4">
      <c r="A540" s="18">
        <v>41567</v>
      </c>
      <c r="B540" s="11" t="s">
        <v>67</v>
      </c>
      <c r="C540" s="11" t="s">
        <v>92</v>
      </c>
      <c r="D540" s="19">
        <v>161</v>
      </c>
    </row>
    <row r="541" spans="1:4">
      <c r="A541" s="18">
        <v>41568</v>
      </c>
      <c r="B541" s="11" t="s">
        <v>72</v>
      </c>
      <c r="C541" s="11" t="s">
        <v>84</v>
      </c>
      <c r="D541" s="19">
        <v>651</v>
      </c>
    </row>
    <row r="542" spans="1:4">
      <c r="A542" s="18">
        <v>41568</v>
      </c>
      <c r="B542" s="11" t="s">
        <v>72</v>
      </c>
      <c r="C542" s="11" t="s">
        <v>91</v>
      </c>
      <c r="D542" s="19">
        <v>28</v>
      </c>
    </row>
    <row r="543" spans="1:4">
      <c r="A543" s="18">
        <v>41573</v>
      </c>
      <c r="B543" s="11" t="s">
        <v>72</v>
      </c>
      <c r="C543" s="11" t="s">
        <v>73</v>
      </c>
      <c r="D543" s="19">
        <v>222</v>
      </c>
    </row>
    <row r="544" spans="1:4">
      <c r="A544" s="18">
        <v>41572</v>
      </c>
      <c r="B544" s="11" t="s">
        <v>67</v>
      </c>
      <c r="C544" s="11" t="s">
        <v>86</v>
      </c>
      <c r="D544" s="19">
        <v>399</v>
      </c>
    </row>
    <row r="545" spans="1:4">
      <c r="A545" s="18">
        <v>41569</v>
      </c>
      <c r="B545" s="11" t="s">
        <v>72</v>
      </c>
      <c r="C545" s="11" t="s">
        <v>85</v>
      </c>
      <c r="D545" s="19">
        <v>570</v>
      </c>
    </row>
    <row r="546" spans="1:4">
      <c r="A546" s="18">
        <v>41572</v>
      </c>
      <c r="B546" s="11" t="s">
        <v>67</v>
      </c>
      <c r="C546" s="11" t="s">
        <v>88</v>
      </c>
      <c r="D546" s="19">
        <v>119</v>
      </c>
    </row>
    <row r="547" spans="1:4">
      <c r="A547" s="18">
        <v>41571</v>
      </c>
      <c r="B547" s="11" t="s">
        <v>72</v>
      </c>
      <c r="C547" s="11" t="s">
        <v>91</v>
      </c>
      <c r="D547" s="19">
        <v>219</v>
      </c>
    </row>
    <row r="548" spans="1:4">
      <c r="A548" s="18">
        <v>41571</v>
      </c>
      <c r="B548" s="11" t="s">
        <v>67</v>
      </c>
      <c r="C548" s="11" t="s">
        <v>70</v>
      </c>
      <c r="D548" s="19">
        <v>466</v>
      </c>
    </row>
    <row r="549" spans="1:4">
      <c r="A549" s="18">
        <v>41569</v>
      </c>
      <c r="B549" s="11" t="s">
        <v>76</v>
      </c>
      <c r="C549" s="11" t="s">
        <v>69</v>
      </c>
      <c r="D549" s="19">
        <v>225</v>
      </c>
    </row>
    <row r="550" spans="1:4">
      <c r="A550" s="18">
        <v>41568</v>
      </c>
      <c r="B550" s="11" t="s">
        <v>67</v>
      </c>
      <c r="C550" s="11" t="s">
        <v>95</v>
      </c>
      <c r="D550" s="19">
        <v>293</v>
      </c>
    </row>
    <row r="551" spans="1:4">
      <c r="A551" s="18">
        <v>41570</v>
      </c>
      <c r="B551" s="11" t="s">
        <v>76</v>
      </c>
      <c r="C551" s="11" t="s">
        <v>89</v>
      </c>
      <c r="D551" s="19">
        <v>217</v>
      </c>
    </row>
    <row r="552" spans="1:4">
      <c r="A552" s="18">
        <v>41572</v>
      </c>
      <c r="B552" s="11" t="s">
        <v>72</v>
      </c>
      <c r="C552" s="11" t="s">
        <v>70</v>
      </c>
      <c r="D552" s="19">
        <v>547</v>
      </c>
    </row>
    <row r="553" spans="1:4">
      <c r="A553" s="18">
        <v>41572</v>
      </c>
      <c r="B553" s="11" t="s">
        <v>72</v>
      </c>
      <c r="C553" s="11" t="s">
        <v>81</v>
      </c>
      <c r="D553" s="19">
        <v>449</v>
      </c>
    </row>
    <row r="554" spans="1:4">
      <c r="A554" s="18">
        <v>41573</v>
      </c>
      <c r="B554" s="11" t="s">
        <v>67</v>
      </c>
      <c r="C554" s="11" t="s">
        <v>77</v>
      </c>
      <c r="D554" s="19">
        <v>185</v>
      </c>
    </row>
    <row r="555" spans="1:4">
      <c r="A555" s="18">
        <v>41573</v>
      </c>
      <c r="B555" s="11" t="s">
        <v>72</v>
      </c>
      <c r="C555" s="11" t="s">
        <v>81</v>
      </c>
      <c r="D555" s="19">
        <v>579</v>
      </c>
    </row>
    <row r="556" spans="1:4">
      <c r="A556" s="18">
        <v>41568</v>
      </c>
      <c r="B556" s="11" t="s">
        <v>72</v>
      </c>
      <c r="C556" s="11" t="s">
        <v>70</v>
      </c>
      <c r="D556" s="19">
        <v>675</v>
      </c>
    </row>
    <row r="557" spans="1:4">
      <c r="A557" s="18">
        <v>41570</v>
      </c>
      <c r="B557" s="11" t="s">
        <v>76</v>
      </c>
      <c r="C557" s="11" t="s">
        <v>70</v>
      </c>
      <c r="D557" s="19">
        <v>239</v>
      </c>
    </row>
    <row r="558" spans="1:4">
      <c r="A558" s="18">
        <v>41569</v>
      </c>
      <c r="B558" s="11" t="s">
        <v>72</v>
      </c>
      <c r="C558" s="11" t="s">
        <v>78</v>
      </c>
      <c r="D558" s="19">
        <v>152</v>
      </c>
    </row>
    <row r="559" spans="1:4">
      <c r="A559" s="18">
        <v>41571</v>
      </c>
      <c r="B559" s="11" t="s">
        <v>72</v>
      </c>
      <c r="C559" s="11" t="s">
        <v>70</v>
      </c>
      <c r="D559" s="19">
        <v>210</v>
      </c>
    </row>
    <row r="560" spans="1:4">
      <c r="A560" s="18">
        <v>41572</v>
      </c>
      <c r="B560" s="11" t="s">
        <v>76</v>
      </c>
      <c r="C560" s="11" t="s">
        <v>85</v>
      </c>
      <c r="D560" s="19">
        <v>573</v>
      </c>
    </row>
    <row r="561" spans="1:4">
      <c r="A561" s="18">
        <v>41573</v>
      </c>
      <c r="B561" s="11" t="s">
        <v>67</v>
      </c>
      <c r="C561" s="11" t="s">
        <v>70</v>
      </c>
      <c r="D561" s="19">
        <v>19</v>
      </c>
    </row>
    <row r="562" spans="1:4">
      <c r="A562" s="18">
        <v>41568</v>
      </c>
      <c r="B562" s="11" t="s">
        <v>76</v>
      </c>
      <c r="C562" s="11" t="s">
        <v>75</v>
      </c>
      <c r="D562" s="19">
        <v>478</v>
      </c>
    </row>
    <row r="563" spans="1:4">
      <c r="A563" s="18">
        <v>41568</v>
      </c>
      <c r="B563" s="11" t="s">
        <v>72</v>
      </c>
      <c r="C563" s="11" t="s">
        <v>73</v>
      </c>
      <c r="D563" s="19">
        <v>565</v>
      </c>
    </row>
    <row r="564" spans="1:4">
      <c r="A564" s="18">
        <v>41571</v>
      </c>
      <c r="B564" s="11" t="s">
        <v>76</v>
      </c>
      <c r="C564" s="11" t="s">
        <v>89</v>
      </c>
      <c r="D564" s="19">
        <v>169</v>
      </c>
    </row>
    <row r="565" spans="1:4">
      <c r="A565" s="18">
        <v>41571</v>
      </c>
      <c r="B565" s="11" t="s">
        <v>72</v>
      </c>
      <c r="C565" s="11" t="s">
        <v>69</v>
      </c>
      <c r="D565" s="19">
        <v>329</v>
      </c>
    </row>
    <row r="566" spans="1:4">
      <c r="A566" s="18">
        <v>41571</v>
      </c>
      <c r="B566" s="11" t="s">
        <v>76</v>
      </c>
      <c r="C566" s="11" t="s">
        <v>81</v>
      </c>
      <c r="D566" s="19">
        <v>115</v>
      </c>
    </row>
    <row r="567" spans="1:4">
      <c r="A567" s="18">
        <v>41567</v>
      </c>
      <c r="B567" s="11" t="s">
        <v>72</v>
      </c>
      <c r="C567" s="11" t="s">
        <v>91</v>
      </c>
      <c r="D567" s="19">
        <v>524</v>
      </c>
    </row>
    <row r="568" spans="1:4">
      <c r="A568" s="18">
        <v>41573</v>
      </c>
      <c r="B568" s="11" t="s">
        <v>76</v>
      </c>
      <c r="C568" s="11" t="s">
        <v>91</v>
      </c>
      <c r="D568" s="19">
        <v>550</v>
      </c>
    </row>
    <row r="569" spans="1:4">
      <c r="A569" s="18">
        <v>41569</v>
      </c>
      <c r="B569" s="11" t="s">
        <v>76</v>
      </c>
      <c r="C569" s="11" t="s">
        <v>86</v>
      </c>
      <c r="D569" s="19">
        <v>514</v>
      </c>
    </row>
    <row r="570" spans="1:4">
      <c r="A570" s="18">
        <v>41567</v>
      </c>
      <c r="B570" s="11" t="s">
        <v>76</v>
      </c>
      <c r="C570" s="11" t="s">
        <v>70</v>
      </c>
      <c r="D570" s="19">
        <v>223</v>
      </c>
    </row>
    <row r="571" spans="1:4">
      <c r="A571" s="18">
        <v>41572</v>
      </c>
      <c r="B571" s="11" t="s">
        <v>76</v>
      </c>
      <c r="C571" s="11" t="s">
        <v>78</v>
      </c>
      <c r="D571" s="19">
        <v>667</v>
      </c>
    </row>
    <row r="572" spans="1:4">
      <c r="A572" s="18">
        <v>41567</v>
      </c>
      <c r="B572" s="11" t="s">
        <v>76</v>
      </c>
      <c r="C572" s="11" t="s">
        <v>73</v>
      </c>
      <c r="D572" s="19">
        <v>314</v>
      </c>
    </row>
    <row r="573" spans="1:4">
      <c r="A573" s="18">
        <v>41573</v>
      </c>
      <c r="B573" s="11" t="s">
        <v>72</v>
      </c>
      <c r="C573" s="11" t="s">
        <v>75</v>
      </c>
      <c r="D573" s="19">
        <v>228</v>
      </c>
    </row>
    <row r="574" spans="1:4">
      <c r="A574" s="18">
        <v>41569</v>
      </c>
      <c r="B574" s="11" t="s">
        <v>72</v>
      </c>
      <c r="C574" s="11" t="s">
        <v>68</v>
      </c>
      <c r="D574" s="19">
        <v>193</v>
      </c>
    </row>
    <row r="575" spans="1:4">
      <c r="A575" s="18">
        <v>41573</v>
      </c>
      <c r="B575" s="11" t="s">
        <v>67</v>
      </c>
      <c r="C575" s="11" t="s">
        <v>81</v>
      </c>
      <c r="D575" s="19">
        <v>509</v>
      </c>
    </row>
    <row r="576" spans="1:4">
      <c r="A576" s="18">
        <v>41568</v>
      </c>
      <c r="B576" s="11" t="s">
        <v>72</v>
      </c>
      <c r="C576" s="11" t="s">
        <v>79</v>
      </c>
      <c r="D576" s="19">
        <v>529</v>
      </c>
    </row>
    <row r="577" spans="1:4">
      <c r="A577" s="18">
        <v>41573</v>
      </c>
      <c r="B577" s="11" t="s">
        <v>72</v>
      </c>
      <c r="C577" s="11" t="s">
        <v>75</v>
      </c>
      <c r="D577" s="19">
        <v>416</v>
      </c>
    </row>
    <row r="578" spans="1:4">
      <c r="A578" s="18">
        <v>41569</v>
      </c>
      <c r="B578" s="11" t="s">
        <v>67</v>
      </c>
      <c r="C578" s="11" t="s">
        <v>88</v>
      </c>
      <c r="D578" s="19">
        <v>532</v>
      </c>
    </row>
    <row r="579" spans="1:4">
      <c r="A579" s="18">
        <v>41569</v>
      </c>
      <c r="B579" s="11" t="s">
        <v>67</v>
      </c>
      <c r="C579" s="11" t="s">
        <v>73</v>
      </c>
      <c r="D579" s="19">
        <v>639</v>
      </c>
    </row>
    <row r="580" spans="1:4">
      <c r="A580" s="18">
        <v>41569</v>
      </c>
      <c r="B580" s="11" t="s">
        <v>76</v>
      </c>
      <c r="C580" s="11" t="s">
        <v>74</v>
      </c>
      <c r="D580" s="19">
        <v>115</v>
      </c>
    </row>
    <row r="581" spans="1:4">
      <c r="A581" s="18">
        <v>41567</v>
      </c>
      <c r="B581" s="11" t="s">
        <v>67</v>
      </c>
      <c r="C581" s="11" t="s">
        <v>70</v>
      </c>
      <c r="D581" s="19">
        <v>145</v>
      </c>
    </row>
    <row r="582" spans="1:4">
      <c r="A582" s="18">
        <v>41573</v>
      </c>
      <c r="B582" s="11" t="s">
        <v>72</v>
      </c>
      <c r="C582" s="11" t="s">
        <v>74</v>
      </c>
      <c r="D582" s="19">
        <v>349</v>
      </c>
    </row>
    <row r="583" spans="1:4">
      <c r="A583" s="18">
        <v>41571</v>
      </c>
      <c r="B583" s="11" t="s">
        <v>72</v>
      </c>
      <c r="C583" s="11" t="s">
        <v>89</v>
      </c>
      <c r="D583" s="19">
        <v>98</v>
      </c>
    </row>
    <row r="584" spans="1:4">
      <c r="A584" s="18">
        <v>41571</v>
      </c>
      <c r="B584" s="11" t="s">
        <v>76</v>
      </c>
      <c r="C584" s="11" t="s">
        <v>68</v>
      </c>
      <c r="D584" s="19">
        <v>342</v>
      </c>
    </row>
    <row r="585" spans="1:4">
      <c r="A585" s="18">
        <v>41567</v>
      </c>
      <c r="B585" s="11" t="s">
        <v>76</v>
      </c>
      <c r="C585" s="11" t="s">
        <v>70</v>
      </c>
      <c r="D585" s="19">
        <v>234</v>
      </c>
    </row>
  </sheetData>
  <pageMargins left="0.7" right="0.7" top="0.75" bottom="0.75" header="0.3" footer="0.3"/>
  <headerFooter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M585"/>
  <sheetViews>
    <sheetView workbookViewId="0">
      <selection activeCell="I29" sqref="I29"/>
    </sheetView>
  </sheetViews>
  <sheetFormatPr defaultColWidth="9" defaultRowHeight="15"/>
  <cols>
    <col min="1" max="4" width="17.2857142857143" customWidth="1"/>
    <col min="5" max="5" width="9.14285714285714"/>
    <col min="6" max="6" width="18.1428571428571" customWidth="1"/>
    <col min="7" max="7" width="12.1428571428571" customWidth="1"/>
    <col min="8" max="16384" width="9.14285714285714"/>
  </cols>
  <sheetData>
    <row r="1" spans="1:13">
      <c r="A1" s="5" t="s">
        <v>63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14"/>
    </row>
    <row r="3" spans="1:7">
      <c r="A3" s="7" t="s">
        <v>31</v>
      </c>
      <c r="B3" s="8" t="s">
        <v>64</v>
      </c>
      <c r="C3" s="8" t="s">
        <v>65</v>
      </c>
      <c r="D3" s="9" t="s">
        <v>66</v>
      </c>
      <c r="F3" t="s">
        <v>65</v>
      </c>
      <c r="G3" t="s">
        <v>71</v>
      </c>
    </row>
    <row r="4" spans="1:7">
      <c r="A4" s="10">
        <v>41568</v>
      </c>
      <c r="B4" s="11" t="s">
        <v>67</v>
      </c>
      <c r="C4" s="11" t="s">
        <v>68</v>
      </c>
      <c r="D4" s="12">
        <v>519</v>
      </c>
      <c r="F4" t="s">
        <v>74</v>
      </c>
      <c r="G4" s="13">
        <v>4047</v>
      </c>
    </row>
    <row r="5" spans="1:7">
      <c r="A5" s="10">
        <v>41572</v>
      </c>
      <c r="B5" s="11" t="s">
        <v>67</v>
      </c>
      <c r="C5" s="11" t="s">
        <v>69</v>
      </c>
      <c r="D5" s="12">
        <v>651</v>
      </c>
      <c r="F5" t="s">
        <v>75</v>
      </c>
      <c r="G5" s="13">
        <v>4860</v>
      </c>
    </row>
    <row r="6" spans="1:7">
      <c r="A6" s="10">
        <v>41573</v>
      </c>
      <c r="B6" s="11" t="s">
        <v>67</v>
      </c>
      <c r="C6" s="11" t="s">
        <v>70</v>
      </c>
      <c r="D6" s="12">
        <v>618</v>
      </c>
      <c r="F6" t="s">
        <v>73</v>
      </c>
      <c r="G6" s="13">
        <v>14779</v>
      </c>
    </row>
    <row r="7" spans="1:7">
      <c r="A7" s="10">
        <v>41570</v>
      </c>
      <c r="B7" s="11" t="s">
        <v>72</v>
      </c>
      <c r="C7" s="11" t="s">
        <v>73</v>
      </c>
      <c r="D7" s="12">
        <v>335</v>
      </c>
      <c r="F7" t="s">
        <v>70</v>
      </c>
      <c r="G7" s="13">
        <v>13915</v>
      </c>
    </row>
    <row r="8" spans="1:7">
      <c r="A8" s="10">
        <v>41567</v>
      </c>
      <c r="B8" s="11" t="s">
        <v>72</v>
      </c>
      <c r="C8" s="11" t="s">
        <v>73</v>
      </c>
      <c r="D8" s="12">
        <v>640</v>
      </c>
      <c r="F8" t="s">
        <v>79</v>
      </c>
      <c r="G8" s="13">
        <v>4368</v>
      </c>
    </row>
    <row r="9" spans="1:7">
      <c r="A9" s="10">
        <v>41570</v>
      </c>
      <c r="B9" s="11" t="s">
        <v>76</v>
      </c>
      <c r="C9" s="11" t="s">
        <v>77</v>
      </c>
      <c r="D9" s="12">
        <v>586</v>
      </c>
      <c r="F9" t="s">
        <v>80</v>
      </c>
      <c r="G9" s="13">
        <v>2939</v>
      </c>
    </row>
    <row r="10" spans="1:7">
      <c r="A10" s="10">
        <v>41568</v>
      </c>
      <c r="B10" s="11" t="s">
        <v>67</v>
      </c>
      <c r="C10" s="11" t="s">
        <v>78</v>
      </c>
      <c r="D10" s="12">
        <v>301</v>
      </c>
      <c r="F10" t="s">
        <v>69</v>
      </c>
      <c r="G10" s="13">
        <v>15181</v>
      </c>
    </row>
    <row r="11" spans="1:7">
      <c r="A11" s="10">
        <v>41572</v>
      </c>
      <c r="B11" s="11" t="s">
        <v>76</v>
      </c>
      <c r="C11" s="11" t="s">
        <v>69</v>
      </c>
      <c r="D11" s="12">
        <v>359</v>
      </c>
      <c r="F11" t="s">
        <v>82</v>
      </c>
      <c r="G11" s="13">
        <v>4662</v>
      </c>
    </row>
    <row r="12" spans="1:7">
      <c r="A12" s="10">
        <v>41567</v>
      </c>
      <c r="B12" s="11" t="s">
        <v>67</v>
      </c>
      <c r="C12" s="11" t="s">
        <v>77</v>
      </c>
      <c r="D12" s="12">
        <v>658</v>
      </c>
      <c r="F12" t="s">
        <v>83</v>
      </c>
      <c r="G12" s="13">
        <v>2485</v>
      </c>
    </row>
    <row r="13" spans="1:7">
      <c r="A13" s="10">
        <v>41568</v>
      </c>
      <c r="B13" s="11" t="s">
        <v>76</v>
      </c>
      <c r="C13" s="11" t="s">
        <v>69</v>
      </c>
      <c r="D13" s="12">
        <v>213</v>
      </c>
      <c r="F13" t="s">
        <v>84</v>
      </c>
      <c r="G13" s="13">
        <v>6436</v>
      </c>
    </row>
    <row r="14" spans="1:7">
      <c r="A14" s="10">
        <v>41572</v>
      </c>
      <c r="B14" s="11" t="s">
        <v>76</v>
      </c>
      <c r="C14" s="11" t="s">
        <v>81</v>
      </c>
      <c r="D14" s="12">
        <v>500</v>
      </c>
      <c r="F14" t="s">
        <v>85</v>
      </c>
      <c r="G14" s="13">
        <v>3204</v>
      </c>
    </row>
    <row r="15" spans="1:7">
      <c r="A15" s="10">
        <v>41569</v>
      </c>
      <c r="B15" s="11" t="s">
        <v>72</v>
      </c>
      <c r="C15" s="11" t="s">
        <v>77</v>
      </c>
      <c r="D15" s="12">
        <v>604</v>
      </c>
      <c r="F15" t="s">
        <v>68</v>
      </c>
      <c r="G15" s="13">
        <v>6027</v>
      </c>
    </row>
    <row r="16" spans="1:7">
      <c r="A16" s="10">
        <v>41570</v>
      </c>
      <c r="B16" s="11" t="s">
        <v>67</v>
      </c>
      <c r="C16" s="11" t="s">
        <v>75</v>
      </c>
      <c r="D16" s="12">
        <v>340</v>
      </c>
      <c r="F16" t="s">
        <v>87</v>
      </c>
      <c r="G16" s="13">
        <v>2287</v>
      </c>
    </row>
    <row r="17" spans="1:7">
      <c r="A17" s="10">
        <v>41568</v>
      </c>
      <c r="B17" s="11" t="s">
        <v>72</v>
      </c>
      <c r="C17" s="11" t="s">
        <v>81</v>
      </c>
      <c r="D17" s="12">
        <v>117</v>
      </c>
      <c r="F17" t="s">
        <v>89</v>
      </c>
      <c r="G17" s="13">
        <v>16838</v>
      </c>
    </row>
    <row r="18" spans="1:7">
      <c r="A18" s="10">
        <v>41572</v>
      </c>
      <c r="B18" s="11" t="s">
        <v>76</v>
      </c>
      <c r="C18" s="11" t="s">
        <v>86</v>
      </c>
      <c r="D18" s="12">
        <v>234</v>
      </c>
      <c r="F18" t="s">
        <v>77</v>
      </c>
      <c r="G18" s="13">
        <v>15449</v>
      </c>
    </row>
    <row r="19" spans="1:7">
      <c r="A19" s="10">
        <v>41567</v>
      </c>
      <c r="B19" s="11" t="s">
        <v>67</v>
      </c>
      <c r="C19" s="11" t="s">
        <v>86</v>
      </c>
      <c r="D19" s="12">
        <v>225</v>
      </c>
      <c r="F19" t="s">
        <v>90</v>
      </c>
      <c r="G19" s="13">
        <v>4284</v>
      </c>
    </row>
    <row r="20" spans="1:7">
      <c r="A20" s="10">
        <v>41572</v>
      </c>
      <c r="B20" s="11" t="s">
        <v>76</v>
      </c>
      <c r="C20" s="11" t="s">
        <v>88</v>
      </c>
      <c r="D20" s="12">
        <v>302</v>
      </c>
      <c r="F20" t="s">
        <v>81</v>
      </c>
      <c r="G20" s="13">
        <v>17520</v>
      </c>
    </row>
    <row r="21" spans="1:7">
      <c r="A21" s="10">
        <v>41571</v>
      </c>
      <c r="B21" s="11" t="s">
        <v>72</v>
      </c>
      <c r="C21" s="11" t="s">
        <v>83</v>
      </c>
      <c r="D21" s="12">
        <v>223</v>
      </c>
      <c r="F21" t="s">
        <v>86</v>
      </c>
      <c r="G21" s="13">
        <v>15973</v>
      </c>
    </row>
    <row r="22" spans="1:7">
      <c r="A22" s="10">
        <v>41569</v>
      </c>
      <c r="B22" s="11" t="s">
        <v>67</v>
      </c>
      <c r="C22" s="11" t="s">
        <v>77</v>
      </c>
      <c r="D22" s="12">
        <v>401</v>
      </c>
      <c r="F22" t="s">
        <v>78</v>
      </c>
      <c r="G22" s="13">
        <v>14079</v>
      </c>
    </row>
    <row r="23" spans="1:7">
      <c r="A23" s="10">
        <v>41571</v>
      </c>
      <c r="B23" s="11" t="s">
        <v>67</v>
      </c>
      <c r="C23" s="11" t="s">
        <v>70</v>
      </c>
      <c r="D23" s="12">
        <v>405</v>
      </c>
      <c r="F23" t="s">
        <v>91</v>
      </c>
      <c r="G23" s="13">
        <v>12691</v>
      </c>
    </row>
    <row r="24" spans="1:7">
      <c r="A24" s="10">
        <v>41568</v>
      </c>
      <c r="B24" s="11" t="s">
        <v>72</v>
      </c>
      <c r="C24" s="11" t="s">
        <v>78</v>
      </c>
      <c r="D24" s="12">
        <v>493</v>
      </c>
      <c r="F24" t="s">
        <v>92</v>
      </c>
      <c r="G24" s="13">
        <v>5527</v>
      </c>
    </row>
    <row r="25" spans="1:7">
      <c r="A25" s="10">
        <v>41568</v>
      </c>
      <c r="B25" s="11" t="s">
        <v>76</v>
      </c>
      <c r="C25" s="11" t="s">
        <v>81</v>
      </c>
      <c r="D25" s="12">
        <v>214</v>
      </c>
      <c r="F25" t="s">
        <v>93</v>
      </c>
      <c r="G25" s="13">
        <v>1941</v>
      </c>
    </row>
    <row r="26" spans="1:7">
      <c r="A26" s="10">
        <v>41569</v>
      </c>
      <c r="B26" s="11" t="s">
        <v>76</v>
      </c>
      <c r="C26" s="11" t="s">
        <v>73</v>
      </c>
      <c r="D26" s="12">
        <v>366</v>
      </c>
      <c r="F26" t="s">
        <v>94</v>
      </c>
      <c r="G26" s="13">
        <v>6024</v>
      </c>
    </row>
    <row r="27" spans="1:7">
      <c r="A27" s="10">
        <v>41569</v>
      </c>
      <c r="B27" s="11" t="s">
        <v>72</v>
      </c>
      <c r="C27" s="11" t="s">
        <v>69</v>
      </c>
      <c r="D27" s="12">
        <v>191</v>
      </c>
      <c r="F27" t="s">
        <v>88</v>
      </c>
      <c r="G27" s="13">
        <v>4485</v>
      </c>
    </row>
    <row r="28" spans="1:7">
      <c r="A28" s="10">
        <v>41572</v>
      </c>
      <c r="B28" s="11" t="s">
        <v>67</v>
      </c>
      <c r="C28" s="11" t="s">
        <v>86</v>
      </c>
      <c r="D28" s="12">
        <v>628</v>
      </c>
      <c r="F28" t="s">
        <v>95</v>
      </c>
      <c r="G28" s="13">
        <v>3017</v>
      </c>
    </row>
    <row r="29" spans="1:7">
      <c r="A29" s="10">
        <v>41573</v>
      </c>
      <c r="B29" s="11" t="s">
        <v>67</v>
      </c>
      <c r="C29" s="11" t="s">
        <v>73</v>
      </c>
      <c r="D29" s="12">
        <v>144</v>
      </c>
      <c r="F29" t="s">
        <v>39</v>
      </c>
      <c r="G29" s="13">
        <v>203018</v>
      </c>
    </row>
    <row r="30" spans="1:4">
      <c r="A30" s="10">
        <v>41573</v>
      </c>
      <c r="B30" s="11" t="s">
        <v>76</v>
      </c>
      <c r="C30" s="11" t="s">
        <v>86</v>
      </c>
      <c r="D30" s="12">
        <v>335</v>
      </c>
    </row>
    <row r="31" spans="1:4">
      <c r="A31" s="10">
        <v>41569</v>
      </c>
      <c r="B31" s="11" t="s">
        <v>76</v>
      </c>
      <c r="C31" s="11" t="s">
        <v>78</v>
      </c>
      <c r="D31" s="12">
        <v>571</v>
      </c>
    </row>
    <row r="32" spans="1:4">
      <c r="A32" s="10">
        <v>41572</v>
      </c>
      <c r="B32" s="11" t="s">
        <v>76</v>
      </c>
      <c r="C32" s="11" t="s">
        <v>73</v>
      </c>
      <c r="D32" s="12">
        <v>136</v>
      </c>
    </row>
    <row r="33" spans="1:4">
      <c r="A33" s="10">
        <v>41572</v>
      </c>
      <c r="B33" s="11" t="s">
        <v>72</v>
      </c>
      <c r="C33" s="11" t="s">
        <v>81</v>
      </c>
      <c r="D33" s="12">
        <v>201</v>
      </c>
    </row>
    <row r="34" spans="1:4">
      <c r="A34" s="10">
        <v>41570</v>
      </c>
      <c r="B34" s="11" t="s">
        <v>72</v>
      </c>
      <c r="C34" s="11" t="s">
        <v>79</v>
      </c>
      <c r="D34" s="12">
        <v>339</v>
      </c>
    </row>
    <row r="35" spans="1:4">
      <c r="A35" s="10">
        <v>41572</v>
      </c>
      <c r="B35" s="11" t="s">
        <v>72</v>
      </c>
      <c r="C35" s="11" t="s">
        <v>77</v>
      </c>
      <c r="D35" s="12">
        <v>203</v>
      </c>
    </row>
    <row r="36" spans="1:4">
      <c r="A36" s="10">
        <v>41568</v>
      </c>
      <c r="B36" s="11" t="s">
        <v>67</v>
      </c>
      <c r="C36" s="11" t="s">
        <v>75</v>
      </c>
      <c r="D36" s="12">
        <v>526</v>
      </c>
    </row>
    <row r="37" spans="1:4">
      <c r="A37" s="10">
        <v>41572</v>
      </c>
      <c r="B37" s="11" t="s">
        <v>67</v>
      </c>
      <c r="C37" s="11" t="s">
        <v>78</v>
      </c>
      <c r="D37" s="12">
        <v>86</v>
      </c>
    </row>
    <row r="38" spans="1:4">
      <c r="A38" s="10">
        <v>41571</v>
      </c>
      <c r="B38" s="11" t="s">
        <v>76</v>
      </c>
      <c r="C38" s="11" t="s">
        <v>91</v>
      </c>
      <c r="D38" s="12">
        <v>388</v>
      </c>
    </row>
    <row r="39" spans="1:4">
      <c r="A39" s="10">
        <v>41572</v>
      </c>
      <c r="B39" s="11" t="s">
        <v>72</v>
      </c>
      <c r="C39" s="11" t="s">
        <v>89</v>
      </c>
      <c r="D39" s="12">
        <v>119</v>
      </c>
    </row>
    <row r="40" spans="1:4">
      <c r="A40" s="10">
        <v>41568</v>
      </c>
      <c r="B40" s="11" t="s">
        <v>67</v>
      </c>
      <c r="C40" s="11" t="s">
        <v>89</v>
      </c>
      <c r="D40" s="12">
        <v>296</v>
      </c>
    </row>
    <row r="41" spans="1:4">
      <c r="A41" s="10">
        <v>41568</v>
      </c>
      <c r="B41" s="11" t="s">
        <v>72</v>
      </c>
      <c r="C41" s="11" t="s">
        <v>70</v>
      </c>
      <c r="D41" s="12">
        <v>295</v>
      </c>
    </row>
    <row r="42" spans="1:4">
      <c r="A42" s="10">
        <v>41568</v>
      </c>
      <c r="B42" s="11" t="s">
        <v>72</v>
      </c>
      <c r="C42" s="11" t="s">
        <v>79</v>
      </c>
      <c r="D42" s="12">
        <v>120</v>
      </c>
    </row>
    <row r="43" spans="1:4">
      <c r="A43" s="10">
        <v>41568</v>
      </c>
      <c r="B43" s="11" t="s">
        <v>67</v>
      </c>
      <c r="C43" s="11" t="s">
        <v>69</v>
      </c>
      <c r="D43" s="12">
        <v>647</v>
      </c>
    </row>
    <row r="44" spans="1:4">
      <c r="A44" s="10">
        <v>41569</v>
      </c>
      <c r="B44" s="11" t="s">
        <v>72</v>
      </c>
      <c r="C44" s="11" t="s">
        <v>95</v>
      </c>
      <c r="D44" s="12">
        <v>159</v>
      </c>
    </row>
    <row r="45" spans="1:4">
      <c r="A45" s="10">
        <v>41570</v>
      </c>
      <c r="B45" s="11" t="s">
        <v>72</v>
      </c>
      <c r="C45" s="11" t="s">
        <v>75</v>
      </c>
      <c r="D45" s="12">
        <v>217</v>
      </c>
    </row>
    <row r="46" spans="1:4">
      <c r="A46" s="10">
        <v>41571</v>
      </c>
      <c r="B46" s="11" t="s">
        <v>76</v>
      </c>
      <c r="C46" s="11" t="s">
        <v>77</v>
      </c>
      <c r="D46" s="12">
        <v>362</v>
      </c>
    </row>
    <row r="47" spans="1:4">
      <c r="A47" s="10">
        <v>41573</v>
      </c>
      <c r="B47" s="11" t="s">
        <v>76</v>
      </c>
      <c r="C47" s="11" t="s">
        <v>88</v>
      </c>
      <c r="D47" s="12">
        <v>599</v>
      </c>
    </row>
    <row r="48" spans="1:4">
      <c r="A48" s="10">
        <v>41572</v>
      </c>
      <c r="B48" s="11" t="s">
        <v>67</v>
      </c>
      <c r="C48" s="11" t="s">
        <v>68</v>
      </c>
      <c r="D48" s="12">
        <v>546</v>
      </c>
    </row>
    <row r="49" spans="1:4">
      <c r="A49" s="10">
        <v>41572</v>
      </c>
      <c r="B49" s="11" t="s">
        <v>72</v>
      </c>
      <c r="C49" s="11" t="s">
        <v>81</v>
      </c>
      <c r="D49" s="12">
        <v>254</v>
      </c>
    </row>
    <row r="50" spans="1:4">
      <c r="A50" s="10">
        <v>41567</v>
      </c>
      <c r="B50" s="11" t="s">
        <v>67</v>
      </c>
      <c r="C50" s="11" t="s">
        <v>69</v>
      </c>
      <c r="D50" s="12">
        <v>101</v>
      </c>
    </row>
    <row r="51" spans="1:4">
      <c r="A51" s="10">
        <v>41573</v>
      </c>
      <c r="B51" s="11" t="s">
        <v>76</v>
      </c>
      <c r="C51" s="11" t="s">
        <v>81</v>
      </c>
      <c r="D51" s="12">
        <v>150</v>
      </c>
    </row>
    <row r="52" spans="1:4">
      <c r="A52" s="10">
        <v>41572</v>
      </c>
      <c r="B52" s="11" t="s">
        <v>76</v>
      </c>
      <c r="C52" s="11" t="s">
        <v>78</v>
      </c>
      <c r="D52" s="12">
        <v>204</v>
      </c>
    </row>
    <row r="53" spans="1:4">
      <c r="A53" s="10">
        <v>41571</v>
      </c>
      <c r="B53" s="11" t="s">
        <v>76</v>
      </c>
      <c r="C53" s="11" t="s">
        <v>79</v>
      </c>
      <c r="D53" s="12">
        <v>106</v>
      </c>
    </row>
    <row r="54" spans="1:4">
      <c r="A54" s="10">
        <v>41568</v>
      </c>
      <c r="B54" s="11" t="s">
        <v>67</v>
      </c>
      <c r="C54" s="11" t="s">
        <v>78</v>
      </c>
      <c r="D54" s="12">
        <v>333</v>
      </c>
    </row>
    <row r="55" spans="1:4">
      <c r="A55" s="10">
        <v>41571</v>
      </c>
      <c r="B55" s="11" t="s">
        <v>72</v>
      </c>
      <c r="C55" s="11" t="s">
        <v>78</v>
      </c>
      <c r="D55" s="12">
        <v>67</v>
      </c>
    </row>
    <row r="56" spans="1:4">
      <c r="A56" s="10">
        <v>41567</v>
      </c>
      <c r="B56" s="11" t="s">
        <v>72</v>
      </c>
      <c r="C56" s="11" t="s">
        <v>88</v>
      </c>
      <c r="D56" s="12">
        <v>51</v>
      </c>
    </row>
    <row r="57" spans="1:4">
      <c r="A57" s="10">
        <v>41568</v>
      </c>
      <c r="B57" s="11" t="s">
        <v>76</v>
      </c>
      <c r="C57" s="11" t="s">
        <v>81</v>
      </c>
      <c r="D57" s="12">
        <v>279</v>
      </c>
    </row>
    <row r="58" spans="1:4">
      <c r="A58" s="10">
        <v>41571</v>
      </c>
      <c r="B58" s="11" t="s">
        <v>76</v>
      </c>
      <c r="C58" s="11" t="s">
        <v>94</v>
      </c>
      <c r="D58" s="12">
        <v>123</v>
      </c>
    </row>
    <row r="59" spans="1:4">
      <c r="A59" s="10">
        <v>41568</v>
      </c>
      <c r="B59" s="11" t="s">
        <v>67</v>
      </c>
      <c r="C59" s="11" t="s">
        <v>73</v>
      </c>
      <c r="D59" s="12">
        <v>519</v>
      </c>
    </row>
    <row r="60" spans="1:4">
      <c r="A60" s="10">
        <v>41569</v>
      </c>
      <c r="B60" s="11" t="s">
        <v>72</v>
      </c>
      <c r="C60" s="11" t="s">
        <v>86</v>
      </c>
      <c r="D60" s="12">
        <v>501</v>
      </c>
    </row>
    <row r="61" spans="1:4">
      <c r="A61" s="10">
        <v>41573</v>
      </c>
      <c r="B61" s="11" t="s">
        <v>67</v>
      </c>
      <c r="C61" s="11" t="s">
        <v>89</v>
      </c>
      <c r="D61" s="12">
        <v>235</v>
      </c>
    </row>
    <row r="62" spans="1:4">
      <c r="A62" s="10">
        <v>41570</v>
      </c>
      <c r="B62" s="11" t="s">
        <v>76</v>
      </c>
      <c r="C62" s="11" t="s">
        <v>70</v>
      </c>
      <c r="D62" s="12">
        <v>35</v>
      </c>
    </row>
    <row r="63" spans="1:4">
      <c r="A63" s="10">
        <v>41570</v>
      </c>
      <c r="B63" s="11" t="s">
        <v>67</v>
      </c>
      <c r="C63" s="11" t="s">
        <v>73</v>
      </c>
      <c r="D63" s="12">
        <v>319</v>
      </c>
    </row>
    <row r="64" spans="1:4">
      <c r="A64" s="10">
        <v>41571</v>
      </c>
      <c r="B64" s="11" t="s">
        <v>72</v>
      </c>
      <c r="C64" s="11" t="s">
        <v>70</v>
      </c>
      <c r="D64" s="12">
        <v>551</v>
      </c>
    </row>
    <row r="65" spans="1:4">
      <c r="A65" s="10">
        <v>41573</v>
      </c>
      <c r="B65" s="11" t="s">
        <v>76</v>
      </c>
      <c r="C65" s="11" t="s">
        <v>91</v>
      </c>
      <c r="D65" s="12">
        <v>188</v>
      </c>
    </row>
    <row r="66" spans="1:4">
      <c r="A66" s="10">
        <v>41572</v>
      </c>
      <c r="B66" s="11" t="s">
        <v>67</v>
      </c>
      <c r="C66" s="11" t="s">
        <v>89</v>
      </c>
      <c r="D66" s="12">
        <v>129</v>
      </c>
    </row>
    <row r="67" spans="1:4">
      <c r="A67" s="10">
        <v>41567</v>
      </c>
      <c r="B67" s="11" t="s">
        <v>67</v>
      </c>
      <c r="C67" s="11" t="s">
        <v>79</v>
      </c>
      <c r="D67" s="12">
        <v>339</v>
      </c>
    </row>
    <row r="68" spans="1:4">
      <c r="A68" s="10">
        <v>41568</v>
      </c>
      <c r="B68" s="11" t="s">
        <v>76</v>
      </c>
      <c r="C68" s="11" t="s">
        <v>89</v>
      </c>
      <c r="D68" s="12">
        <v>485</v>
      </c>
    </row>
    <row r="69" spans="1:4">
      <c r="A69" s="10">
        <v>41567</v>
      </c>
      <c r="B69" s="11" t="s">
        <v>67</v>
      </c>
      <c r="C69" s="11" t="s">
        <v>86</v>
      </c>
      <c r="D69" s="12">
        <v>29</v>
      </c>
    </row>
    <row r="70" spans="1:4">
      <c r="A70" s="10">
        <v>41567</v>
      </c>
      <c r="B70" s="11" t="s">
        <v>76</v>
      </c>
      <c r="C70" s="11" t="s">
        <v>77</v>
      </c>
      <c r="D70" s="12">
        <v>135</v>
      </c>
    </row>
    <row r="71" spans="1:4">
      <c r="A71" s="10">
        <v>41573</v>
      </c>
      <c r="B71" s="11" t="s">
        <v>76</v>
      </c>
      <c r="C71" s="11" t="s">
        <v>68</v>
      </c>
      <c r="D71" s="12">
        <v>584</v>
      </c>
    </row>
    <row r="72" spans="1:4">
      <c r="A72" s="10">
        <v>41570</v>
      </c>
      <c r="B72" s="11" t="s">
        <v>72</v>
      </c>
      <c r="C72" s="11" t="s">
        <v>81</v>
      </c>
      <c r="D72" s="12">
        <v>684</v>
      </c>
    </row>
    <row r="73" spans="1:4">
      <c r="A73" s="10">
        <v>41570</v>
      </c>
      <c r="B73" s="11" t="s">
        <v>67</v>
      </c>
      <c r="C73" s="11" t="s">
        <v>73</v>
      </c>
      <c r="D73" s="12">
        <v>528</v>
      </c>
    </row>
    <row r="74" spans="1:4">
      <c r="A74" s="10">
        <v>41573</v>
      </c>
      <c r="B74" s="11" t="s">
        <v>76</v>
      </c>
      <c r="C74" s="11" t="s">
        <v>81</v>
      </c>
      <c r="D74" s="12">
        <v>675</v>
      </c>
    </row>
    <row r="75" spans="1:4">
      <c r="A75" s="10">
        <v>41570</v>
      </c>
      <c r="B75" s="11" t="s">
        <v>67</v>
      </c>
      <c r="C75" s="11" t="s">
        <v>79</v>
      </c>
      <c r="D75" s="12">
        <v>119</v>
      </c>
    </row>
    <row r="76" spans="1:4">
      <c r="A76" s="10">
        <v>41569</v>
      </c>
      <c r="B76" s="11" t="s">
        <v>67</v>
      </c>
      <c r="C76" s="11" t="s">
        <v>77</v>
      </c>
      <c r="D76" s="12">
        <v>368</v>
      </c>
    </row>
    <row r="77" spans="1:4">
      <c r="A77" s="10">
        <v>41571</v>
      </c>
      <c r="B77" s="11" t="s">
        <v>76</v>
      </c>
      <c r="C77" s="11" t="s">
        <v>84</v>
      </c>
      <c r="D77" s="12">
        <v>524</v>
      </c>
    </row>
    <row r="78" spans="1:4">
      <c r="A78" s="10">
        <v>41571</v>
      </c>
      <c r="B78" s="11" t="s">
        <v>76</v>
      </c>
      <c r="C78" s="11" t="s">
        <v>81</v>
      </c>
      <c r="D78" s="12">
        <v>329</v>
      </c>
    </row>
    <row r="79" spans="1:4">
      <c r="A79" s="10">
        <v>41573</v>
      </c>
      <c r="B79" s="11" t="s">
        <v>67</v>
      </c>
      <c r="C79" s="11" t="s">
        <v>92</v>
      </c>
      <c r="D79" s="12">
        <v>146</v>
      </c>
    </row>
    <row r="80" spans="1:4">
      <c r="A80" s="10">
        <v>41573</v>
      </c>
      <c r="B80" s="11" t="s">
        <v>72</v>
      </c>
      <c r="C80" s="11" t="s">
        <v>73</v>
      </c>
      <c r="D80" s="12">
        <v>350</v>
      </c>
    </row>
    <row r="81" spans="1:4">
      <c r="A81" s="10">
        <v>41570</v>
      </c>
      <c r="B81" s="11" t="s">
        <v>76</v>
      </c>
      <c r="C81" s="11" t="s">
        <v>91</v>
      </c>
      <c r="D81" s="12">
        <v>387</v>
      </c>
    </row>
    <row r="82" spans="1:4">
      <c r="A82" s="10">
        <v>41567</v>
      </c>
      <c r="B82" s="11" t="s">
        <v>76</v>
      </c>
      <c r="C82" s="11" t="s">
        <v>82</v>
      </c>
      <c r="D82" s="12">
        <v>244</v>
      </c>
    </row>
    <row r="83" spans="1:4">
      <c r="A83" s="10">
        <v>41570</v>
      </c>
      <c r="B83" s="11" t="s">
        <v>76</v>
      </c>
      <c r="C83" s="11" t="s">
        <v>89</v>
      </c>
      <c r="D83" s="12">
        <v>388</v>
      </c>
    </row>
    <row r="84" spans="1:4">
      <c r="A84" s="10">
        <v>41567</v>
      </c>
      <c r="B84" s="11" t="s">
        <v>76</v>
      </c>
      <c r="C84" s="11" t="s">
        <v>91</v>
      </c>
      <c r="D84" s="12">
        <v>449</v>
      </c>
    </row>
    <row r="85" spans="1:4">
      <c r="A85" s="10">
        <v>41569</v>
      </c>
      <c r="B85" s="11" t="s">
        <v>67</v>
      </c>
      <c r="C85" s="11" t="s">
        <v>91</v>
      </c>
      <c r="D85" s="12">
        <v>477</v>
      </c>
    </row>
    <row r="86" spans="1:4">
      <c r="A86" s="10">
        <v>41570</v>
      </c>
      <c r="B86" s="11" t="s">
        <v>76</v>
      </c>
      <c r="C86" s="11" t="s">
        <v>93</v>
      </c>
      <c r="D86" s="12">
        <v>457</v>
      </c>
    </row>
    <row r="87" spans="1:4">
      <c r="A87" s="10">
        <v>41573</v>
      </c>
      <c r="B87" s="11" t="s">
        <v>76</v>
      </c>
      <c r="C87" s="11" t="s">
        <v>70</v>
      </c>
      <c r="D87" s="12">
        <v>105</v>
      </c>
    </row>
    <row r="88" spans="1:4">
      <c r="A88" s="10">
        <v>41569</v>
      </c>
      <c r="B88" s="11" t="s">
        <v>67</v>
      </c>
      <c r="C88" s="11" t="s">
        <v>92</v>
      </c>
      <c r="D88" s="12">
        <v>458</v>
      </c>
    </row>
    <row r="89" spans="1:4">
      <c r="A89" s="10">
        <v>41573</v>
      </c>
      <c r="B89" s="11" t="s">
        <v>72</v>
      </c>
      <c r="C89" s="11" t="s">
        <v>69</v>
      </c>
      <c r="D89" s="12">
        <v>110</v>
      </c>
    </row>
    <row r="90" spans="1:4">
      <c r="A90" s="10">
        <v>41568</v>
      </c>
      <c r="B90" s="11" t="s">
        <v>67</v>
      </c>
      <c r="C90" s="11" t="s">
        <v>91</v>
      </c>
      <c r="D90" s="12">
        <v>32</v>
      </c>
    </row>
    <row r="91" spans="1:4">
      <c r="A91" s="10">
        <v>41571</v>
      </c>
      <c r="B91" s="11" t="s">
        <v>67</v>
      </c>
      <c r="C91" s="11" t="s">
        <v>80</v>
      </c>
      <c r="D91" s="12">
        <v>681</v>
      </c>
    </row>
    <row r="92" spans="1:4">
      <c r="A92" s="10">
        <v>41570</v>
      </c>
      <c r="B92" s="11" t="s">
        <v>72</v>
      </c>
      <c r="C92" s="11" t="s">
        <v>70</v>
      </c>
      <c r="D92" s="12">
        <v>320</v>
      </c>
    </row>
    <row r="93" spans="1:4">
      <c r="A93" s="10">
        <v>41572</v>
      </c>
      <c r="B93" s="11" t="s">
        <v>72</v>
      </c>
      <c r="C93" s="11" t="s">
        <v>84</v>
      </c>
      <c r="D93" s="12">
        <v>601</v>
      </c>
    </row>
    <row r="94" spans="1:4">
      <c r="A94" s="10">
        <v>41572</v>
      </c>
      <c r="B94" s="11" t="s">
        <v>76</v>
      </c>
      <c r="C94" s="11" t="s">
        <v>86</v>
      </c>
      <c r="D94" s="12">
        <v>101</v>
      </c>
    </row>
    <row r="95" spans="1:4">
      <c r="A95" s="10">
        <v>41570</v>
      </c>
      <c r="B95" s="11" t="s">
        <v>72</v>
      </c>
      <c r="C95" s="11" t="s">
        <v>93</v>
      </c>
      <c r="D95" s="12">
        <v>172</v>
      </c>
    </row>
    <row r="96" spans="1:4">
      <c r="A96" s="10">
        <v>41567</v>
      </c>
      <c r="B96" s="11" t="s">
        <v>67</v>
      </c>
      <c r="C96" s="11" t="s">
        <v>79</v>
      </c>
      <c r="D96" s="12">
        <v>197</v>
      </c>
    </row>
    <row r="97" spans="1:4">
      <c r="A97" s="10">
        <v>41569</v>
      </c>
      <c r="B97" s="11" t="s">
        <v>67</v>
      </c>
      <c r="C97" s="11" t="s">
        <v>73</v>
      </c>
      <c r="D97" s="12">
        <v>346</v>
      </c>
    </row>
    <row r="98" spans="1:4">
      <c r="A98" s="10">
        <v>41573</v>
      </c>
      <c r="B98" s="11" t="s">
        <v>67</v>
      </c>
      <c r="C98" s="11" t="s">
        <v>87</v>
      </c>
      <c r="D98" s="12">
        <v>318</v>
      </c>
    </row>
    <row r="99" spans="1:4">
      <c r="A99" s="10">
        <v>41568</v>
      </c>
      <c r="B99" s="11" t="s">
        <v>67</v>
      </c>
      <c r="C99" s="11" t="s">
        <v>87</v>
      </c>
      <c r="D99" s="12">
        <v>245</v>
      </c>
    </row>
    <row r="100" spans="1:4">
      <c r="A100" s="10">
        <v>41572</v>
      </c>
      <c r="B100" s="11" t="s">
        <v>76</v>
      </c>
      <c r="C100" s="11" t="s">
        <v>89</v>
      </c>
      <c r="D100" s="12">
        <v>498</v>
      </c>
    </row>
    <row r="101" spans="1:4">
      <c r="A101" s="10">
        <v>41573</v>
      </c>
      <c r="B101" s="11" t="s">
        <v>76</v>
      </c>
      <c r="C101" s="11" t="s">
        <v>81</v>
      </c>
      <c r="D101" s="12">
        <v>272</v>
      </c>
    </row>
    <row r="102" spans="1:4">
      <c r="A102" s="10">
        <v>41568</v>
      </c>
      <c r="B102" s="11" t="s">
        <v>76</v>
      </c>
      <c r="C102" s="11" t="s">
        <v>89</v>
      </c>
      <c r="D102" s="12">
        <v>424</v>
      </c>
    </row>
    <row r="103" spans="1:4">
      <c r="A103" s="10">
        <v>41573</v>
      </c>
      <c r="B103" s="11" t="s">
        <v>72</v>
      </c>
      <c r="C103" s="11" t="s">
        <v>81</v>
      </c>
      <c r="D103" s="12">
        <v>122</v>
      </c>
    </row>
    <row r="104" spans="1:4">
      <c r="A104" s="10">
        <v>41570</v>
      </c>
      <c r="B104" s="11" t="s">
        <v>76</v>
      </c>
      <c r="C104" s="11" t="s">
        <v>81</v>
      </c>
      <c r="D104" s="12">
        <v>39</v>
      </c>
    </row>
    <row r="105" spans="1:4">
      <c r="A105" s="10">
        <v>41568</v>
      </c>
      <c r="B105" s="11" t="s">
        <v>76</v>
      </c>
      <c r="C105" s="11" t="s">
        <v>68</v>
      </c>
      <c r="D105" s="12">
        <v>400</v>
      </c>
    </row>
    <row r="106" spans="1:4">
      <c r="A106" s="10">
        <v>41573</v>
      </c>
      <c r="B106" s="11" t="s">
        <v>67</v>
      </c>
      <c r="C106" s="11" t="s">
        <v>73</v>
      </c>
      <c r="D106" s="12">
        <v>416</v>
      </c>
    </row>
    <row r="107" spans="1:4">
      <c r="A107" s="10">
        <v>41567</v>
      </c>
      <c r="B107" s="11" t="s">
        <v>76</v>
      </c>
      <c r="C107" s="11" t="s">
        <v>88</v>
      </c>
      <c r="D107" s="12">
        <v>397</v>
      </c>
    </row>
    <row r="108" spans="1:4">
      <c r="A108" s="10">
        <v>41572</v>
      </c>
      <c r="B108" s="11" t="s">
        <v>72</v>
      </c>
      <c r="C108" s="11" t="s">
        <v>78</v>
      </c>
      <c r="D108" s="12">
        <v>671</v>
      </c>
    </row>
    <row r="109" spans="1:4">
      <c r="A109" s="10">
        <v>41572</v>
      </c>
      <c r="B109" s="11" t="s">
        <v>76</v>
      </c>
      <c r="C109" s="11" t="s">
        <v>73</v>
      </c>
      <c r="D109" s="12">
        <v>148</v>
      </c>
    </row>
    <row r="110" spans="1:4">
      <c r="A110" s="10">
        <v>41568</v>
      </c>
      <c r="B110" s="11" t="s">
        <v>72</v>
      </c>
      <c r="C110" s="11" t="s">
        <v>83</v>
      </c>
      <c r="D110" s="12">
        <v>115</v>
      </c>
    </row>
    <row r="111" spans="1:4">
      <c r="A111" s="10">
        <v>41572</v>
      </c>
      <c r="B111" s="11" t="s">
        <v>72</v>
      </c>
      <c r="C111" s="11" t="s">
        <v>74</v>
      </c>
      <c r="D111" s="12">
        <v>639</v>
      </c>
    </row>
    <row r="112" spans="1:4">
      <c r="A112" s="10">
        <v>41571</v>
      </c>
      <c r="B112" s="11" t="s">
        <v>76</v>
      </c>
      <c r="C112" s="11" t="s">
        <v>89</v>
      </c>
      <c r="D112" s="12">
        <v>659</v>
      </c>
    </row>
    <row r="113" spans="1:4">
      <c r="A113" s="10">
        <v>41569</v>
      </c>
      <c r="B113" s="11" t="s">
        <v>67</v>
      </c>
      <c r="C113" s="11" t="s">
        <v>70</v>
      </c>
      <c r="D113" s="12">
        <v>36</v>
      </c>
    </row>
    <row r="114" spans="1:4">
      <c r="A114" s="10">
        <v>41568</v>
      </c>
      <c r="B114" s="11" t="s">
        <v>72</v>
      </c>
      <c r="C114" s="11" t="s">
        <v>83</v>
      </c>
      <c r="D114" s="12">
        <v>102</v>
      </c>
    </row>
    <row r="115" spans="1:4">
      <c r="A115" s="10">
        <v>41569</v>
      </c>
      <c r="B115" s="11" t="s">
        <v>67</v>
      </c>
      <c r="C115" s="11" t="s">
        <v>86</v>
      </c>
      <c r="D115" s="12">
        <v>413</v>
      </c>
    </row>
    <row r="116" spans="1:4">
      <c r="A116" s="10">
        <v>41572</v>
      </c>
      <c r="B116" s="11" t="s">
        <v>67</v>
      </c>
      <c r="C116" s="11" t="s">
        <v>91</v>
      </c>
      <c r="D116" s="12">
        <v>166</v>
      </c>
    </row>
    <row r="117" spans="1:4">
      <c r="A117" s="10">
        <v>41569</v>
      </c>
      <c r="B117" s="11" t="s">
        <v>67</v>
      </c>
      <c r="C117" s="11" t="s">
        <v>77</v>
      </c>
      <c r="D117" s="12">
        <v>97</v>
      </c>
    </row>
    <row r="118" spans="1:4">
      <c r="A118" s="10">
        <v>41573</v>
      </c>
      <c r="B118" s="11" t="s">
        <v>67</v>
      </c>
      <c r="C118" s="11" t="s">
        <v>92</v>
      </c>
      <c r="D118" s="12">
        <v>127</v>
      </c>
    </row>
    <row r="119" spans="1:4">
      <c r="A119" s="10">
        <v>41567</v>
      </c>
      <c r="B119" s="11" t="s">
        <v>72</v>
      </c>
      <c r="C119" s="11" t="s">
        <v>85</v>
      </c>
      <c r="D119" s="12">
        <v>60</v>
      </c>
    </row>
    <row r="120" spans="1:4">
      <c r="A120" s="10">
        <v>41569</v>
      </c>
      <c r="B120" s="11" t="s">
        <v>76</v>
      </c>
      <c r="C120" s="11" t="s">
        <v>86</v>
      </c>
      <c r="D120" s="12">
        <v>496</v>
      </c>
    </row>
    <row r="121" spans="1:4">
      <c r="A121" s="10">
        <v>41570</v>
      </c>
      <c r="B121" s="11" t="s">
        <v>72</v>
      </c>
      <c r="C121" s="11" t="s">
        <v>92</v>
      </c>
      <c r="D121" s="12">
        <v>204</v>
      </c>
    </row>
    <row r="122" spans="1:4">
      <c r="A122" s="10">
        <v>41573</v>
      </c>
      <c r="B122" s="11" t="s">
        <v>72</v>
      </c>
      <c r="C122" s="11" t="s">
        <v>73</v>
      </c>
      <c r="D122" s="12">
        <v>489</v>
      </c>
    </row>
    <row r="123" spans="1:4">
      <c r="A123" s="10">
        <v>41567</v>
      </c>
      <c r="B123" s="11" t="s">
        <v>67</v>
      </c>
      <c r="C123" s="11" t="s">
        <v>82</v>
      </c>
      <c r="D123" s="12">
        <v>266</v>
      </c>
    </row>
    <row r="124" spans="1:4">
      <c r="A124" s="10">
        <v>41567</v>
      </c>
      <c r="B124" s="11" t="s">
        <v>72</v>
      </c>
      <c r="C124" s="11" t="s">
        <v>89</v>
      </c>
      <c r="D124" s="12">
        <v>364</v>
      </c>
    </row>
    <row r="125" spans="1:4">
      <c r="A125" s="10">
        <v>41567</v>
      </c>
      <c r="B125" s="11" t="s">
        <v>72</v>
      </c>
      <c r="C125" s="11" t="s">
        <v>70</v>
      </c>
      <c r="D125" s="12">
        <v>579</v>
      </c>
    </row>
    <row r="126" spans="1:4">
      <c r="A126" s="10">
        <v>41568</v>
      </c>
      <c r="B126" s="11" t="s">
        <v>67</v>
      </c>
      <c r="C126" s="11" t="s">
        <v>82</v>
      </c>
      <c r="D126" s="12">
        <v>587</v>
      </c>
    </row>
    <row r="127" spans="1:4">
      <c r="A127" s="10">
        <v>41573</v>
      </c>
      <c r="B127" s="11" t="s">
        <v>67</v>
      </c>
      <c r="C127" s="11" t="s">
        <v>85</v>
      </c>
      <c r="D127" s="12">
        <v>543</v>
      </c>
    </row>
    <row r="128" spans="1:4">
      <c r="A128" s="10">
        <v>41569</v>
      </c>
      <c r="B128" s="11" t="s">
        <v>72</v>
      </c>
      <c r="C128" s="11" t="s">
        <v>86</v>
      </c>
      <c r="D128" s="12">
        <v>644</v>
      </c>
    </row>
    <row r="129" spans="1:4">
      <c r="A129" s="10">
        <v>41567</v>
      </c>
      <c r="B129" s="11" t="s">
        <v>67</v>
      </c>
      <c r="C129" s="11" t="s">
        <v>73</v>
      </c>
      <c r="D129" s="12">
        <v>564</v>
      </c>
    </row>
    <row r="130" spans="1:4">
      <c r="A130" s="10">
        <v>41569</v>
      </c>
      <c r="B130" s="11" t="s">
        <v>76</v>
      </c>
      <c r="C130" s="11" t="s">
        <v>82</v>
      </c>
      <c r="D130" s="12">
        <v>149</v>
      </c>
    </row>
    <row r="131" spans="1:4">
      <c r="A131" s="10">
        <v>41570</v>
      </c>
      <c r="B131" s="11" t="s">
        <v>76</v>
      </c>
      <c r="C131" s="11" t="s">
        <v>70</v>
      </c>
      <c r="D131" s="12">
        <v>201</v>
      </c>
    </row>
    <row r="132" spans="1:4">
      <c r="A132" s="10">
        <v>41572</v>
      </c>
      <c r="B132" s="11" t="s">
        <v>67</v>
      </c>
      <c r="C132" s="11" t="s">
        <v>85</v>
      </c>
      <c r="D132" s="12">
        <v>51</v>
      </c>
    </row>
    <row r="133" spans="1:4">
      <c r="A133" s="10">
        <v>41570</v>
      </c>
      <c r="B133" s="11" t="s">
        <v>67</v>
      </c>
      <c r="C133" s="11" t="s">
        <v>78</v>
      </c>
      <c r="D133" s="12">
        <v>195</v>
      </c>
    </row>
    <row r="134" spans="1:4">
      <c r="A134" s="10">
        <v>41573</v>
      </c>
      <c r="B134" s="11" t="s">
        <v>72</v>
      </c>
      <c r="C134" s="11" t="s">
        <v>77</v>
      </c>
      <c r="D134" s="12">
        <v>660</v>
      </c>
    </row>
    <row r="135" spans="1:4">
      <c r="A135" s="10">
        <v>41568</v>
      </c>
      <c r="B135" s="11" t="s">
        <v>72</v>
      </c>
      <c r="C135" s="11" t="s">
        <v>78</v>
      </c>
      <c r="D135" s="12">
        <v>523</v>
      </c>
    </row>
    <row r="136" spans="1:4">
      <c r="A136" s="10">
        <v>41570</v>
      </c>
      <c r="B136" s="11" t="s">
        <v>67</v>
      </c>
      <c r="C136" s="11" t="s">
        <v>89</v>
      </c>
      <c r="D136" s="12">
        <v>649</v>
      </c>
    </row>
    <row r="137" spans="1:4">
      <c r="A137" s="10">
        <v>41572</v>
      </c>
      <c r="B137" s="11" t="s">
        <v>76</v>
      </c>
      <c r="C137" s="11" t="s">
        <v>69</v>
      </c>
      <c r="D137" s="12">
        <v>409</v>
      </c>
    </row>
    <row r="138" spans="1:4">
      <c r="A138" s="10">
        <v>41567</v>
      </c>
      <c r="B138" s="11" t="s">
        <v>72</v>
      </c>
      <c r="C138" s="11" t="s">
        <v>88</v>
      </c>
      <c r="D138" s="12">
        <v>556</v>
      </c>
    </row>
    <row r="139" spans="1:4">
      <c r="A139" s="10">
        <v>41569</v>
      </c>
      <c r="B139" s="11" t="s">
        <v>72</v>
      </c>
      <c r="C139" s="11" t="s">
        <v>77</v>
      </c>
      <c r="D139" s="12">
        <v>565</v>
      </c>
    </row>
    <row r="140" spans="1:4">
      <c r="A140" s="10">
        <v>41567</v>
      </c>
      <c r="B140" s="11" t="s">
        <v>76</v>
      </c>
      <c r="C140" s="11" t="s">
        <v>69</v>
      </c>
      <c r="D140" s="12">
        <v>357</v>
      </c>
    </row>
    <row r="141" spans="1:4">
      <c r="A141" s="10">
        <v>41572</v>
      </c>
      <c r="B141" s="11" t="s">
        <v>67</v>
      </c>
      <c r="C141" s="11" t="s">
        <v>75</v>
      </c>
      <c r="D141" s="12">
        <v>219</v>
      </c>
    </row>
    <row r="142" spans="1:4">
      <c r="A142" s="10">
        <v>41572</v>
      </c>
      <c r="B142" s="11" t="s">
        <v>72</v>
      </c>
      <c r="C142" s="11" t="s">
        <v>84</v>
      </c>
      <c r="D142" s="12">
        <v>327</v>
      </c>
    </row>
    <row r="143" spans="1:4">
      <c r="A143" s="10">
        <v>41567</v>
      </c>
      <c r="B143" s="11" t="s">
        <v>76</v>
      </c>
      <c r="C143" s="11" t="s">
        <v>88</v>
      </c>
      <c r="D143" s="12">
        <v>666</v>
      </c>
    </row>
    <row r="144" spans="1:4">
      <c r="A144" s="10">
        <v>41567</v>
      </c>
      <c r="B144" s="11" t="s">
        <v>72</v>
      </c>
      <c r="C144" s="11" t="s">
        <v>84</v>
      </c>
      <c r="D144" s="12">
        <v>290</v>
      </c>
    </row>
    <row r="145" spans="1:4">
      <c r="A145" s="10">
        <v>41571</v>
      </c>
      <c r="B145" s="11" t="s">
        <v>72</v>
      </c>
      <c r="C145" s="11" t="s">
        <v>69</v>
      </c>
      <c r="D145" s="12">
        <v>64</v>
      </c>
    </row>
    <row r="146" spans="1:4">
      <c r="A146" s="10">
        <v>41571</v>
      </c>
      <c r="B146" s="11" t="s">
        <v>67</v>
      </c>
      <c r="C146" s="11" t="s">
        <v>91</v>
      </c>
      <c r="D146" s="12">
        <v>373</v>
      </c>
    </row>
    <row r="147" spans="1:4">
      <c r="A147" s="10">
        <v>41573</v>
      </c>
      <c r="B147" s="11" t="s">
        <v>72</v>
      </c>
      <c r="C147" s="11" t="s">
        <v>79</v>
      </c>
      <c r="D147" s="12">
        <v>249</v>
      </c>
    </row>
    <row r="148" spans="1:4">
      <c r="A148" s="10">
        <v>41567</v>
      </c>
      <c r="B148" s="11" t="s">
        <v>72</v>
      </c>
      <c r="C148" s="11" t="s">
        <v>90</v>
      </c>
      <c r="D148" s="12">
        <v>237</v>
      </c>
    </row>
    <row r="149" spans="1:4">
      <c r="A149" s="10">
        <v>41569</v>
      </c>
      <c r="B149" s="11" t="s">
        <v>67</v>
      </c>
      <c r="C149" s="11" t="s">
        <v>91</v>
      </c>
      <c r="D149" s="12">
        <v>138</v>
      </c>
    </row>
    <row r="150" spans="1:4">
      <c r="A150" s="10">
        <v>41573</v>
      </c>
      <c r="B150" s="11" t="s">
        <v>67</v>
      </c>
      <c r="C150" s="11" t="s">
        <v>82</v>
      </c>
      <c r="D150" s="12">
        <v>324</v>
      </c>
    </row>
    <row r="151" spans="1:4">
      <c r="A151" s="10">
        <v>41569</v>
      </c>
      <c r="B151" s="11" t="s">
        <v>76</v>
      </c>
      <c r="C151" s="11" t="s">
        <v>89</v>
      </c>
      <c r="D151" s="12">
        <v>633</v>
      </c>
    </row>
    <row r="152" spans="1:4">
      <c r="A152" s="10">
        <v>41573</v>
      </c>
      <c r="B152" s="11" t="s">
        <v>76</v>
      </c>
      <c r="C152" s="11" t="s">
        <v>81</v>
      </c>
      <c r="D152" s="12">
        <v>240</v>
      </c>
    </row>
    <row r="153" spans="1:4">
      <c r="A153" s="10">
        <v>41567</v>
      </c>
      <c r="B153" s="11" t="s">
        <v>76</v>
      </c>
      <c r="C153" s="11" t="s">
        <v>79</v>
      </c>
      <c r="D153" s="12">
        <v>615</v>
      </c>
    </row>
    <row r="154" spans="1:4">
      <c r="A154" s="10">
        <v>41569</v>
      </c>
      <c r="B154" s="11" t="s">
        <v>76</v>
      </c>
      <c r="C154" s="11" t="s">
        <v>78</v>
      </c>
      <c r="D154" s="12">
        <v>180</v>
      </c>
    </row>
    <row r="155" spans="1:4">
      <c r="A155" s="10">
        <v>41572</v>
      </c>
      <c r="B155" s="11" t="s">
        <v>67</v>
      </c>
      <c r="C155" s="11" t="s">
        <v>94</v>
      </c>
      <c r="D155" s="12">
        <v>415</v>
      </c>
    </row>
    <row r="156" spans="1:4">
      <c r="A156" s="10">
        <v>41569</v>
      </c>
      <c r="B156" s="11" t="s">
        <v>67</v>
      </c>
      <c r="C156" s="11" t="s">
        <v>83</v>
      </c>
      <c r="D156" s="12">
        <v>305</v>
      </c>
    </row>
    <row r="157" spans="1:4">
      <c r="A157" s="10">
        <v>41572</v>
      </c>
      <c r="B157" s="11" t="s">
        <v>72</v>
      </c>
      <c r="C157" s="11" t="s">
        <v>89</v>
      </c>
      <c r="D157" s="12">
        <v>657</v>
      </c>
    </row>
    <row r="158" spans="1:4">
      <c r="A158" s="10">
        <v>41570</v>
      </c>
      <c r="B158" s="11" t="s">
        <v>67</v>
      </c>
      <c r="C158" s="11" t="s">
        <v>89</v>
      </c>
      <c r="D158" s="12">
        <v>474</v>
      </c>
    </row>
    <row r="159" spans="1:4">
      <c r="A159" s="10">
        <v>41569</v>
      </c>
      <c r="B159" s="11" t="s">
        <v>67</v>
      </c>
      <c r="C159" s="11" t="s">
        <v>91</v>
      </c>
      <c r="D159" s="12">
        <v>611</v>
      </c>
    </row>
    <row r="160" spans="1:4">
      <c r="A160" s="10">
        <v>41568</v>
      </c>
      <c r="B160" s="11" t="s">
        <v>67</v>
      </c>
      <c r="C160" s="11" t="s">
        <v>90</v>
      </c>
      <c r="D160" s="12">
        <v>682</v>
      </c>
    </row>
    <row r="161" spans="1:4">
      <c r="A161" s="10">
        <v>41571</v>
      </c>
      <c r="B161" s="11" t="s">
        <v>72</v>
      </c>
      <c r="C161" s="11" t="s">
        <v>83</v>
      </c>
      <c r="D161" s="12">
        <v>398</v>
      </c>
    </row>
    <row r="162" spans="1:4">
      <c r="A162" s="10">
        <v>41570</v>
      </c>
      <c r="B162" s="11" t="s">
        <v>72</v>
      </c>
      <c r="C162" s="11" t="s">
        <v>91</v>
      </c>
      <c r="D162" s="12">
        <v>74</v>
      </c>
    </row>
    <row r="163" spans="1:4">
      <c r="A163" s="10">
        <v>41571</v>
      </c>
      <c r="B163" s="11" t="s">
        <v>67</v>
      </c>
      <c r="C163" s="11" t="s">
        <v>81</v>
      </c>
      <c r="D163" s="12">
        <v>243</v>
      </c>
    </row>
    <row r="164" spans="1:4">
      <c r="A164" s="10">
        <v>41572</v>
      </c>
      <c r="B164" s="11" t="s">
        <v>67</v>
      </c>
      <c r="C164" s="11" t="s">
        <v>70</v>
      </c>
      <c r="D164" s="12">
        <v>151</v>
      </c>
    </row>
    <row r="165" spans="1:4">
      <c r="A165" s="10">
        <v>41572</v>
      </c>
      <c r="B165" s="11" t="s">
        <v>72</v>
      </c>
      <c r="C165" s="11" t="s">
        <v>89</v>
      </c>
      <c r="D165" s="12">
        <v>174</v>
      </c>
    </row>
    <row r="166" spans="1:4">
      <c r="A166" s="10">
        <v>41571</v>
      </c>
      <c r="B166" s="11" t="s">
        <v>72</v>
      </c>
      <c r="C166" s="11" t="s">
        <v>84</v>
      </c>
      <c r="D166" s="12">
        <v>304</v>
      </c>
    </row>
    <row r="167" spans="1:4">
      <c r="A167" s="10">
        <v>41567</v>
      </c>
      <c r="B167" s="11" t="s">
        <v>67</v>
      </c>
      <c r="C167" s="11" t="s">
        <v>95</v>
      </c>
      <c r="D167" s="12">
        <v>457</v>
      </c>
    </row>
    <row r="168" spans="1:4">
      <c r="A168" s="10">
        <v>41567</v>
      </c>
      <c r="B168" s="11" t="s">
        <v>76</v>
      </c>
      <c r="C168" s="11" t="s">
        <v>73</v>
      </c>
      <c r="D168" s="12">
        <v>315</v>
      </c>
    </row>
    <row r="169" spans="1:4">
      <c r="A169" s="10">
        <v>41570</v>
      </c>
      <c r="B169" s="11" t="s">
        <v>72</v>
      </c>
      <c r="C169" s="11" t="s">
        <v>77</v>
      </c>
      <c r="D169" s="12">
        <v>295</v>
      </c>
    </row>
    <row r="170" spans="1:4">
      <c r="A170" s="10">
        <v>41569</v>
      </c>
      <c r="B170" s="11" t="s">
        <v>72</v>
      </c>
      <c r="C170" s="11" t="s">
        <v>86</v>
      </c>
      <c r="D170" s="12">
        <v>534</v>
      </c>
    </row>
    <row r="171" spans="1:4">
      <c r="A171" s="10">
        <v>41570</v>
      </c>
      <c r="B171" s="11" t="s">
        <v>67</v>
      </c>
      <c r="C171" s="11" t="s">
        <v>68</v>
      </c>
      <c r="D171" s="12">
        <v>598</v>
      </c>
    </row>
    <row r="172" spans="1:4">
      <c r="A172" s="10">
        <v>41571</v>
      </c>
      <c r="B172" s="11" t="s">
        <v>76</v>
      </c>
      <c r="C172" s="11" t="s">
        <v>81</v>
      </c>
      <c r="D172" s="12">
        <v>14</v>
      </c>
    </row>
    <row r="173" spans="1:4">
      <c r="A173" s="10">
        <v>41569</v>
      </c>
      <c r="B173" s="11" t="s">
        <v>76</v>
      </c>
      <c r="C173" s="11" t="s">
        <v>89</v>
      </c>
      <c r="D173" s="12">
        <v>26</v>
      </c>
    </row>
    <row r="174" spans="1:4">
      <c r="A174" s="10">
        <v>41570</v>
      </c>
      <c r="B174" s="11" t="s">
        <v>67</v>
      </c>
      <c r="C174" s="11" t="s">
        <v>74</v>
      </c>
      <c r="D174" s="12">
        <v>108</v>
      </c>
    </row>
    <row r="175" spans="1:4">
      <c r="A175" s="10">
        <v>41569</v>
      </c>
      <c r="B175" s="11" t="s">
        <v>67</v>
      </c>
      <c r="C175" s="11" t="s">
        <v>85</v>
      </c>
      <c r="D175" s="12">
        <v>114</v>
      </c>
    </row>
    <row r="176" spans="1:4">
      <c r="A176" s="10">
        <v>41573</v>
      </c>
      <c r="B176" s="11" t="s">
        <v>72</v>
      </c>
      <c r="C176" s="11" t="s">
        <v>93</v>
      </c>
      <c r="D176" s="12">
        <v>684</v>
      </c>
    </row>
    <row r="177" spans="1:4">
      <c r="A177" s="10">
        <v>41572</v>
      </c>
      <c r="B177" s="11" t="s">
        <v>67</v>
      </c>
      <c r="C177" s="11" t="s">
        <v>90</v>
      </c>
      <c r="D177" s="12">
        <v>258</v>
      </c>
    </row>
    <row r="178" spans="1:4">
      <c r="A178" s="10">
        <v>41568</v>
      </c>
      <c r="B178" s="11" t="s">
        <v>72</v>
      </c>
      <c r="C178" s="11" t="s">
        <v>87</v>
      </c>
      <c r="D178" s="12">
        <v>439</v>
      </c>
    </row>
    <row r="179" spans="1:4">
      <c r="A179" s="10">
        <v>41573</v>
      </c>
      <c r="B179" s="11" t="s">
        <v>72</v>
      </c>
      <c r="C179" s="11" t="s">
        <v>73</v>
      </c>
      <c r="D179" s="12">
        <v>583</v>
      </c>
    </row>
    <row r="180" spans="1:4">
      <c r="A180" s="10">
        <v>41572</v>
      </c>
      <c r="B180" s="11" t="s">
        <v>67</v>
      </c>
      <c r="C180" s="11" t="s">
        <v>81</v>
      </c>
      <c r="D180" s="12">
        <v>664</v>
      </c>
    </row>
    <row r="181" spans="1:4">
      <c r="A181" s="10">
        <v>41571</v>
      </c>
      <c r="B181" s="11" t="s">
        <v>67</v>
      </c>
      <c r="C181" s="11" t="s">
        <v>69</v>
      </c>
      <c r="D181" s="12">
        <v>339</v>
      </c>
    </row>
    <row r="182" spans="1:4">
      <c r="A182" s="10">
        <v>41571</v>
      </c>
      <c r="B182" s="11" t="s">
        <v>72</v>
      </c>
      <c r="C182" s="11" t="s">
        <v>84</v>
      </c>
      <c r="D182" s="12">
        <v>164</v>
      </c>
    </row>
    <row r="183" spans="1:4">
      <c r="A183" s="10">
        <v>41569</v>
      </c>
      <c r="B183" s="11" t="s">
        <v>76</v>
      </c>
      <c r="C183" s="11" t="s">
        <v>69</v>
      </c>
      <c r="D183" s="12">
        <v>671</v>
      </c>
    </row>
    <row r="184" spans="1:4">
      <c r="A184" s="10">
        <v>41570</v>
      </c>
      <c r="B184" s="11" t="s">
        <v>76</v>
      </c>
      <c r="C184" s="11" t="s">
        <v>86</v>
      </c>
      <c r="D184" s="12">
        <v>241</v>
      </c>
    </row>
    <row r="185" spans="1:4">
      <c r="A185" s="10">
        <v>41571</v>
      </c>
      <c r="B185" s="11" t="s">
        <v>67</v>
      </c>
      <c r="C185" s="11" t="s">
        <v>86</v>
      </c>
      <c r="D185" s="12">
        <v>257</v>
      </c>
    </row>
    <row r="186" spans="1:4">
      <c r="A186" s="10">
        <v>41570</v>
      </c>
      <c r="B186" s="11" t="s">
        <v>72</v>
      </c>
      <c r="C186" s="11" t="s">
        <v>90</v>
      </c>
      <c r="D186" s="12">
        <v>264</v>
      </c>
    </row>
    <row r="187" spans="1:4">
      <c r="A187" s="10">
        <v>41573</v>
      </c>
      <c r="B187" s="11" t="s">
        <v>67</v>
      </c>
      <c r="C187" s="11" t="s">
        <v>86</v>
      </c>
      <c r="D187" s="12">
        <v>471</v>
      </c>
    </row>
    <row r="188" spans="1:4">
      <c r="A188" s="10">
        <v>41568</v>
      </c>
      <c r="B188" s="11" t="s">
        <v>72</v>
      </c>
      <c r="C188" s="11" t="s">
        <v>94</v>
      </c>
      <c r="D188" s="12">
        <v>40</v>
      </c>
    </row>
    <row r="189" spans="1:4">
      <c r="A189" s="10">
        <v>41569</v>
      </c>
      <c r="B189" s="11" t="s">
        <v>67</v>
      </c>
      <c r="C189" s="11" t="s">
        <v>82</v>
      </c>
      <c r="D189" s="12">
        <v>594</v>
      </c>
    </row>
    <row r="190" spans="1:4">
      <c r="A190" s="10">
        <v>41568</v>
      </c>
      <c r="B190" s="11" t="s">
        <v>67</v>
      </c>
      <c r="C190" s="11" t="s">
        <v>77</v>
      </c>
      <c r="D190" s="12">
        <v>605</v>
      </c>
    </row>
    <row r="191" spans="1:4">
      <c r="A191" s="10">
        <v>41571</v>
      </c>
      <c r="B191" s="11" t="s">
        <v>67</v>
      </c>
      <c r="C191" s="11" t="s">
        <v>83</v>
      </c>
      <c r="D191" s="12">
        <v>409</v>
      </c>
    </row>
    <row r="192" spans="1:4">
      <c r="A192" s="10">
        <v>41568</v>
      </c>
      <c r="B192" s="11" t="s">
        <v>72</v>
      </c>
      <c r="C192" s="11" t="s">
        <v>94</v>
      </c>
      <c r="D192" s="12">
        <v>250</v>
      </c>
    </row>
    <row r="193" spans="1:4">
      <c r="A193" s="10">
        <v>41569</v>
      </c>
      <c r="B193" s="11" t="s">
        <v>76</v>
      </c>
      <c r="C193" s="11" t="s">
        <v>94</v>
      </c>
      <c r="D193" s="12">
        <v>481</v>
      </c>
    </row>
    <row r="194" spans="1:4">
      <c r="A194" s="10">
        <v>41572</v>
      </c>
      <c r="B194" s="11" t="s">
        <v>67</v>
      </c>
      <c r="C194" s="11" t="s">
        <v>92</v>
      </c>
      <c r="D194" s="12">
        <v>529</v>
      </c>
    </row>
    <row r="195" spans="1:4">
      <c r="A195" s="10">
        <v>41571</v>
      </c>
      <c r="B195" s="11" t="s">
        <v>76</v>
      </c>
      <c r="C195" s="11" t="s">
        <v>95</v>
      </c>
      <c r="D195" s="12">
        <v>56</v>
      </c>
    </row>
    <row r="196" spans="1:4">
      <c r="A196" s="10">
        <v>41570</v>
      </c>
      <c r="B196" s="11" t="s">
        <v>67</v>
      </c>
      <c r="C196" s="11" t="s">
        <v>73</v>
      </c>
      <c r="D196" s="12">
        <v>82</v>
      </c>
    </row>
    <row r="197" spans="1:4">
      <c r="A197" s="10">
        <v>41573</v>
      </c>
      <c r="B197" s="11" t="s">
        <v>67</v>
      </c>
      <c r="C197" s="11" t="s">
        <v>81</v>
      </c>
      <c r="D197" s="12">
        <v>575</v>
      </c>
    </row>
    <row r="198" spans="1:4">
      <c r="A198" s="10">
        <v>41569</v>
      </c>
      <c r="B198" s="11" t="s">
        <v>67</v>
      </c>
      <c r="C198" s="11" t="s">
        <v>89</v>
      </c>
      <c r="D198" s="12">
        <v>665</v>
      </c>
    </row>
    <row r="199" spans="1:4">
      <c r="A199" s="10">
        <v>41572</v>
      </c>
      <c r="B199" s="11" t="s">
        <v>67</v>
      </c>
      <c r="C199" s="11" t="s">
        <v>89</v>
      </c>
      <c r="D199" s="12">
        <v>490</v>
      </c>
    </row>
    <row r="200" spans="1:4">
      <c r="A200" s="10">
        <v>41570</v>
      </c>
      <c r="B200" s="11" t="s">
        <v>76</v>
      </c>
      <c r="C200" s="11" t="s">
        <v>86</v>
      </c>
      <c r="D200" s="12">
        <v>630</v>
      </c>
    </row>
    <row r="201" spans="1:4">
      <c r="A201" s="10">
        <v>41572</v>
      </c>
      <c r="B201" s="11" t="s">
        <v>76</v>
      </c>
      <c r="C201" s="11" t="s">
        <v>69</v>
      </c>
      <c r="D201" s="12">
        <v>352</v>
      </c>
    </row>
    <row r="202" spans="1:4">
      <c r="A202" s="10">
        <v>41570</v>
      </c>
      <c r="B202" s="11" t="s">
        <v>76</v>
      </c>
      <c r="C202" s="11" t="s">
        <v>80</v>
      </c>
      <c r="D202" s="12">
        <v>269</v>
      </c>
    </row>
    <row r="203" spans="1:4">
      <c r="A203" s="10">
        <v>41569</v>
      </c>
      <c r="B203" s="11" t="s">
        <v>76</v>
      </c>
      <c r="C203" s="11" t="s">
        <v>68</v>
      </c>
      <c r="D203" s="12">
        <v>200</v>
      </c>
    </row>
    <row r="204" spans="1:4">
      <c r="A204" s="10">
        <v>41570</v>
      </c>
      <c r="B204" s="11" t="s">
        <v>67</v>
      </c>
      <c r="C204" s="11" t="s">
        <v>91</v>
      </c>
      <c r="D204" s="12">
        <v>329</v>
      </c>
    </row>
    <row r="205" spans="1:4">
      <c r="A205" s="10">
        <v>41571</v>
      </c>
      <c r="B205" s="11" t="s">
        <v>67</v>
      </c>
      <c r="C205" s="11" t="s">
        <v>77</v>
      </c>
      <c r="D205" s="12">
        <v>605</v>
      </c>
    </row>
    <row r="206" spans="1:4">
      <c r="A206" s="10">
        <v>41569</v>
      </c>
      <c r="B206" s="11" t="s">
        <v>67</v>
      </c>
      <c r="C206" s="11" t="s">
        <v>82</v>
      </c>
      <c r="D206" s="12">
        <v>340</v>
      </c>
    </row>
    <row r="207" spans="1:4">
      <c r="A207" s="10">
        <v>41569</v>
      </c>
      <c r="B207" s="11" t="s">
        <v>67</v>
      </c>
      <c r="C207" s="11" t="s">
        <v>91</v>
      </c>
      <c r="D207" s="12">
        <v>456</v>
      </c>
    </row>
    <row r="208" spans="1:4">
      <c r="A208" s="10">
        <v>41569</v>
      </c>
      <c r="B208" s="11" t="s">
        <v>67</v>
      </c>
      <c r="C208" s="11" t="s">
        <v>92</v>
      </c>
      <c r="D208" s="12">
        <v>368</v>
      </c>
    </row>
    <row r="209" spans="1:4">
      <c r="A209" s="10">
        <v>41569</v>
      </c>
      <c r="B209" s="11" t="s">
        <v>72</v>
      </c>
      <c r="C209" s="11" t="s">
        <v>81</v>
      </c>
      <c r="D209" s="12">
        <v>510</v>
      </c>
    </row>
    <row r="210" spans="1:4">
      <c r="A210" s="10">
        <v>41568</v>
      </c>
      <c r="B210" s="11" t="s">
        <v>72</v>
      </c>
      <c r="C210" s="11" t="s">
        <v>70</v>
      </c>
      <c r="D210" s="12">
        <v>63</v>
      </c>
    </row>
    <row r="211" spans="1:4">
      <c r="A211" s="10">
        <v>41570</v>
      </c>
      <c r="B211" s="11" t="s">
        <v>72</v>
      </c>
      <c r="C211" s="11" t="s">
        <v>69</v>
      </c>
      <c r="D211" s="12">
        <v>359</v>
      </c>
    </row>
    <row r="212" spans="1:4">
      <c r="A212" s="10">
        <v>41567</v>
      </c>
      <c r="B212" s="11" t="s">
        <v>67</v>
      </c>
      <c r="C212" s="11" t="s">
        <v>70</v>
      </c>
      <c r="D212" s="12">
        <v>138</v>
      </c>
    </row>
    <row r="213" spans="1:4">
      <c r="A213" s="10">
        <v>41573</v>
      </c>
      <c r="B213" s="11" t="s">
        <v>72</v>
      </c>
      <c r="C213" s="11" t="s">
        <v>85</v>
      </c>
      <c r="D213" s="12">
        <v>35</v>
      </c>
    </row>
    <row r="214" spans="1:4">
      <c r="A214" s="10">
        <v>41573</v>
      </c>
      <c r="B214" s="11" t="s">
        <v>76</v>
      </c>
      <c r="C214" s="11" t="s">
        <v>78</v>
      </c>
      <c r="D214" s="12">
        <v>386</v>
      </c>
    </row>
    <row r="215" spans="1:4">
      <c r="A215" s="10">
        <v>41573</v>
      </c>
      <c r="B215" s="11" t="s">
        <v>76</v>
      </c>
      <c r="C215" s="11" t="s">
        <v>86</v>
      </c>
      <c r="D215" s="12">
        <v>73</v>
      </c>
    </row>
    <row r="216" spans="1:4">
      <c r="A216" s="10">
        <v>41572</v>
      </c>
      <c r="B216" s="11" t="s">
        <v>72</v>
      </c>
      <c r="C216" s="11" t="s">
        <v>86</v>
      </c>
      <c r="D216" s="12">
        <v>389</v>
      </c>
    </row>
    <row r="217" spans="1:4">
      <c r="A217" s="10">
        <v>41573</v>
      </c>
      <c r="B217" s="11" t="s">
        <v>67</v>
      </c>
      <c r="C217" s="11" t="s">
        <v>89</v>
      </c>
      <c r="D217" s="12">
        <v>321</v>
      </c>
    </row>
    <row r="218" spans="1:4">
      <c r="A218" s="10">
        <v>41571</v>
      </c>
      <c r="B218" s="11" t="s">
        <v>72</v>
      </c>
      <c r="C218" s="11" t="s">
        <v>89</v>
      </c>
      <c r="D218" s="12">
        <v>175</v>
      </c>
    </row>
    <row r="219" spans="1:4">
      <c r="A219" s="10">
        <v>41572</v>
      </c>
      <c r="B219" s="11" t="s">
        <v>76</v>
      </c>
      <c r="C219" s="11" t="s">
        <v>69</v>
      </c>
      <c r="D219" s="12">
        <v>438</v>
      </c>
    </row>
    <row r="220" spans="1:4">
      <c r="A220" s="10">
        <v>41567</v>
      </c>
      <c r="B220" s="11" t="s">
        <v>76</v>
      </c>
      <c r="C220" s="11" t="s">
        <v>73</v>
      </c>
      <c r="D220" s="12">
        <v>622</v>
      </c>
    </row>
    <row r="221" spans="1:4">
      <c r="A221" s="10">
        <v>41568</v>
      </c>
      <c r="B221" s="11" t="s">
        <v>76</v>
      </c>
      <c r="C221" s="11" t="s">
        <v>73</v>
      </c>
      <c r="D221" s="12">
        <v>612</v>
      </c>
    </row>
    <row r="222" spans="1:4">
      <c r="A222" s="10">
        <v>41571</v>
      </c>
      <c r="B222" s="11" t="s">
        <v>76</v>
      </c>
      <c r="C222" s="11" t="s">
        <v>70</v>
      </c>
      <c r="D222" s="12">
        <v>404</v>
      </c>
    </row>
    <row r="223" spans="1:4">
      <c r="A223" s="10">
        <v>41573</v>
      </c>
      <c r="B223" s="11" t="s">
        <v>76</v>
      </c>
      <c r="C223" s="11" t="s">
        <v>69</v>
      </c>
      <c r="D223" s="12">
        <v>632</v>
      </c>
    </row>
    <row r="224" spans="1:4">
      <c r="A224" s="10">
        <v>41569</v>
      </c>
      <c r="B224" s="11" t="s">
        <v>72</v>
      </c>
      <c r="C224" s="11" t="s">
        <v>69</v>
      </c>
      <c r="D224" s="12">
        <v>20</v>
      </c>
    </row>
    <row r="225" spans="1:4">
      <c r="A225" s="10">
        <v>41567</v>
      </c>
      <c r="B225" s="11" t="s">
        <v>67</v>
      </c>
      <c r="C225" s="11" t="s">
        <v>80</v>
      </c>
      <c r="D225" s="12">
        <v>264</v>
      </c>
    </row>
    <row r="226" spans="1:4">
      <c r="A226" s="10">
        <v>41567</v>
      </c>
      <c r="B226" s="11" t="s">
        <v>72</v>
      </c>
      <c r="C226" s="11" t="s">
        <v>69</v>
      </c>
      <c r="D226" s="12">
        <v>656</v>
      </c>
    </row>
    <row r="227" spans="1:4">
      <c r="A227" s="10">
        <v>41568</v>
      </c>
      <c r="B227" s="11" t="s">
        <v>72</v>
      </c>
      <c r="C227" s="11" t="s">
        <v>68</v>
      </c>
      <c r="D227" s="12">
        <v>391</v>
      </c>
    </row>
    <row r="228" spans="1:4">
      <c r="A228" s="10">
        <v>41567</v>
      </c>
      <c r="B228" s="11" t="s">
        <v>76</v>
      </c>
      <c r="C228" s="11" t="s">
        <v>70</v>
      </c>
      <c r="D228" s="12">
        <v>686</v>
      </c>
    </row>
    <row r="229" spans="1:4">
      <c r="A229" s="10">
        <v>41573</v>
      </c>
      <c r="B229" s="11" t="s">
        <v>72</v>
      </c>
      <c r="C229" s="11" t="s">
        <v>74</v>
      </c>
      <c r="D229" s="12">
        <v>466</v>
      </c>
    </row>
    <row r="230" spans="1:4">
      <c r="A230" s="10">
        <v>41569</v>
      </c>
      <c r="B230" s="11" t="s">
        <v>67</v>
      </c>
      <c r="C230" s="11" t="s">
        <v>89</v>
      </c>
      <c r="D230" s="12">
        <v>661</v>
      </c>
    </row>
    <row r="231" spans="1:4">
      <c r="A231" s="10">
        <v>41568</v>
      </c>
      <c r="B231" s="11" t="s">
        <v>76</v>
      </c>
      <c r="C231" s="11" t="s">
        <v>81</v>
      </c>
      <c r="D231" s="12">
        <v>654</v>
      </c>
    </row>
    <row r="232" spans="1:4">
      <c r="A232" s="10">
        <v>41569</v>
      </c>
      <c r="B232" s="11" t="s">
        <v>67</v>
      </c>
      <c r="C232" s="11" t="s">
        <v>91</v>
      </c>
      <c r="D232" s="12">
        <v>661</v>
      </c>
    </row>
    <row r="233" spans="1:4">
      <c r="A233" s="10">
        <v>41572</v>
      </c>
      <c r="B233" s="11" t="s">
        <v>67</v>
      </c>
      <c r="C233" s="11" t="s">
        <v>95</v>
      </c>
      <c r="D233" s="12">
        <v>202</v>
      </c>
    </row>
    <row r="234" spans="1:4">
      <c r="A234" s="10">
        <v>41570</v>
      </c>
      <c r="B234" s="11" t="s">
        <v>67</v>
      </c>
      <c r="C234" s="11" t="s">
        <v>81</v>
      </c>
      <c r="D234" s="12">
        <v>335</v>
      </c>
    </row>
    <row r="235" spans="1:4">
      <c r="A235" s="10">
        <v>41571</v>
      </c>
      <c r="B235" s="11" t="s">
        <v>76</v>
      </c>
      <c r="C235" s="11" t="s">
        <v>91</v>
      </c>
      <c r="D235" s="12">
        <v>181</v>
      </c>
    </row>
    <row r="236" spans="1:4">
      <c r="A236" s="10">
        <v>41570</v>
      </c>
      <c r="B236" s="11" t="s">
        <v>67</v>
      </c>
      <c r="C236" s="11" t="s">
        <v>73</v>
      </c>
      <c r="D236" s="12">
        <v>370</v>
      </c>
    </row>
    <row r="237" spans="1:4">
      <c r="A237" s="10">
        <v>41570</v>
      </c>
      <c r="B237" s="11" t="s">
        <v>67</v>
      </c>
      <c r="C237" s="11" t="s">
        <v>77</v>
      </c>
      <c r="D237" s="12">
        <v>608</v>
      </c>
    </row>
    <row r="238" spans="1:4">
      <c r="A238" s="10">
        <v>41573</v>
      </c>
      <c r="B238" s="11" t="s">
        <v>67</v>
      </c>
      <c r="C238" s="11" t="s">
        <v>81</v>
      </c>
      <c r="D238" s="12">
        <v>74</v>
      </c>
    </row>
    <row r="239" spans="1:4">
      <c r="A239" s="10">
        <v>41568</v>
      </c>
      <c r="B239" s="11" t="s">
        <v>76</v>
      </c>
      <c r="C239" s="11" t="s">
        <v>75</v>
      </c>
      <c r="D239" s="12">
        <v>349</v>
      </c>
    </row>
    <row r="240" spans="1:4">
      <c r="A240" s="10">
        <v>41570</v>
      </c>
      <c r="B240" s="11" t="s">
        <v>72</v>
      </c>
      <c r="C240" s="11" t="s">
        <v>70</v>
      </c>
      <c r="D240" s="12">
        <v>77</v>
      </c>
    </row>
    <row r="241" spans="1:4">
      <c r="A241" s="10">
        <v>41567</v>
      </c>
      <c r="B241" s="11" t="s">
        <v>76</v>
      </c>
      <c r="C241" s="11" t="s">
        <v>78</v>
      </c>
      <c r="D241" s="12">
        <v>77</v>
      </c>
    </row>
    <row r="242" spans="1:4">
      <c r="A242" s="10">
        <v>41573</v>
      </c>
      <c r="B242" s="11" t="s">
        <v>76</v>
      </c>
      <c r="C242" s="11" t="s">
        <v>77</v>
      </c>
      <c r="D242" s="12">
        <v>639</v>
      </c>
    </row>
    <row r="243" spans="1:4">
      <c r="A243" s="10">
        <v>41573</v>
      </c>
      <c r="B243" s="11" t="s">
        <v>76</v>
      </c>
      <c r="C243" s="11" t="s">
        <v>91</v>
      </c>
      <c r="D243" s="12">
        <v>97</v>
      </c>
    </row>
    <row r="244" spans="1:4">
      <c r="A244" s="10">
        <v>41571</v>
      </c>
      <c r="B244" s="11" t="s">
        <v>72</v>
      </c>
      <c r="C244" s="11" t="s">
        <v>91</v>
      </c>
      <c r="D244" s="12">
        <v>56</v>
      </c>
    </row>
    <row r="245" spans="1:4">
      <c r="A245" s="10">
        <v>41569</v>
      </c>
      <c r="B245" s="11" t="s">
        <v>76</v>
      </c>
      <c r="C245" s="11" t="s">
        <v>86</v>
      </c>
      <c r="D245" s="12">
        <v>22</v>
      </c>
    </row>
    <row r="246" spans="1:4">
      <c r="A246" s="10">
        <v>41569</v>
      </c>
      <c r="B246" s="11" t="s">
        <v>67</v>
      </c>
      <c r="C246" s="11" t="s">
        <v>85</v>
      </c>
      <c r="D246" s="12">
        <v>306</v>
      </c>
    </row>
    <row r="247" spans="1:4">
      <c r="A247" s="10">
        <v>41572</v>
      </c>
      <c r="B247" s="11" t="s">
        <v>72</v>
      </c>
      <c r="C247" s="11" t="s">
        <v>69</v>
      </c>
      <c r="D247" s="12">
        <v>329</v>
      </c>
    </row>
    <row r="248" spans="1:4">
      <c r="A248" s="10">
        <v>41567</v>
      </c>
      <c r="B248" s="11" t="s">
        <v>67</v>
      </c>
      <c r="C248" s="11" t="s">
        <v>69</v>
      </c>
      <c r="D248" s="12">
        <v>95</v>
      </c>
    </row>
    <row r="249" spans="1:4">
      <c r="A249" s="10">
        <v>41572</v>
      </c>
      <c r="B249" s="11" t="s">
        <v>76</v>
      </c>
      <c r="C249" s="11" t="s">
        <v>89</v>
      </c>
      <c r="D249" s="12">
        <v>270</v>
      </c>
    </row>
    <row r="250" spans="1:4">
      <c r="A250" s="10">
        <v>41573</v>
      </c>
      <c r="B250" s="11" t="s">
        <v>76</v>
      </c>
      <c r="C250" s="11" t="s">
        <v>79</v>
      </c>
      <c r="D250" s="12">
        <v>648</v>
      </c>
    </row>
    <row r="251" spans="1:4">
      <c r="A251" s="10">
        <v>41571</v>
      </c>
      <c r="B251" s="11" t="s">
        <v>72</v>
      </c>
      <c r="C251" s="11" t="s">
        <v>81</v>
      </c>
      <c r="D251" s="12">
        <v>169</v>
      </c>
    </row>
    <row r="252" spans="1:4">
      <c r="A252" s="10">
        <v>41568</v>
      </c>
      <c r="B252" s="11" t="s">
        <v>67</v>
      </c>
      <c r="C252" s="11" t="s">
        <v>77</v>
      </c>
      <c r="D252" s="12">
        <v>488</v>
      </c>
    </row>
    <row r="253" spans="1:4">
      <c r="A253" s="10">
        <v>41569</v>
      </c>
      <c r="B253" s="11" t="s">
        <v>72</v>
      </c>
      <c r="C253" s="11" t="s">
        <v>70</v>
      </c>
      <c r="D253" s="12">
        <v>353</v>
      </c>
    </row>
    <row r="254" spans="1:4">
      <c r="A254" s="10">
        <v>41569</v>
      </c>
      <c r="B254" s="11" t="s">
        <v>67</v>
      </c>
      <c r="C254" s="11" t="s">
        <v>69</v>
      </c>
      <c r="D254" s="12">
        <v>613</v>
      </c>
    </row>
    <row r="255" spans="1:4">
      <c r="A255" s="10">
        <v>41570</v>
      </c>
      <c r="B255" s="11" t="s">
        <v>67</v>
      </c>
      <c r="C255" s="11" t="s">
        <v>78</v>
      </c>
      <c r="D255" s="12">
        <v>664</v>
      </c>
    </row>
    <row r="256" spans="1:4">
      <c r="A256" s="10">
        <v>41570</v>
      </c>
      <c r="B256" s="11" t="s">
        <v>67</v>
      </c>
      <c r="C256" s="11" t="s">
        <v>90</v>
      </c>
      <c r="D256" s="12">
        <v>343</v>
      </c>
    </row>
    <row r="257" spans="1:4">
      <c r="A257" s="10">
        <v>41571</v>
      </c>
      <c r="B257" s="11" t="s">
        <v>76</v>
      </c>
      <c r="C257" s="11" t="s">
        <v>85</v>
      </c>
      <c r="D257" s="12">
        <v>318</v>
      </c>
    </row>
    <row r="258" spans="1:4">
      <c r="A258" s="10">
        <v>41573</v>
      </c>
      <c r="B258" s="11" t="s">
        <v>72</v>
      </c>
      <c r="C258" s="11" t="s">
        <v>94</v>
      </c>
      <c r="D258" s="12">
        <v>294</v>
      </c>
    </row>
    <row r="259" spans="1:4">
      <c r="A259" s="10">
        <v>41570</v>
      </c>
      <c r="B259" s="11" t="s">
        <v>72</v>
      </c>
      <c r="C259" s="11" t="s">
        <v>86</v>
      </c>
      <c r="D259" s="12">
        <v>295</v>
      </c>
    </row>
    <row r="260" spans="1:4">
      <c r="A260" s="10">
        <v>41573</v>
      </c>
      <c r="B260" s="11" t="s">
        <v>72</v>
      </c>
      <c r="C260" s="11" t="s">
        <v>89</v>
      </c>
      <c r="D260" s="12">
        <v>197</v>
      </c>
    </row>
    <row r="261" spans="1:4">
      <c r="A261" s="10">
        <v>41568</v>
      </c>
      <c r="B261" s="11" t="s">
        <v>72</v>
      </c>
      <c r="C261" s="11" t="s">
        <v>78</v>
      </c>
      <c r="D261" s="12">
        <v>682</v>
      </c>
    </row>
    <row r="262" spans="1:4">
      <c r="A262" s="10">
        <v>41570</v>
      </c>
      <c r="B262" s="11" t="s">
        <v>67</v>
      </c>
      <c r="C262" s="11" t="s">
        <v>82</v>
      </c>
      <c r="D262" s="12">
        <v>147</v>
      </c>
    </row>
    <row r="263" spans="1:4">
      <c r="A263" s="10">
        <v>41571</v>
      </c>
      <c r="B263" s="11" t="s">
        <v>67</v>
      </c>
      <c r="C263" s="11" t="s">
        <v>94</v>
      </c>
      <c r="D263" s="12">
        <v>662</v>
      </c>
    </row>
    <row r="264" spans="1:4">
      <c r="A264" s="10">
        <v>41572</v>
      </c>
      <c r="B264" s="11" t="s">
        <v>72</v>
      </c>
      <c r="C264" s="11" t="s">
        <v>89</v>
      </c>
      <c r="D264" s="12">
        <v>482</v>
      </c>
    </row>
    <row r="265" spans="1:4">
      <c r="A265" s="10">
        <v>41571</v>
      </c>
      <c r="B265" s="11" t="s">
        <v>76</v>
      </c>
      <c r="C265" s="11" t="s">
        <v>77</v>
      </c>
      <c r="D265" s="12">
        <v>503</v>
      </c>
    </row>
    <row r="266" spans="1:4">
      <c r="A266" s="10">
        <v>41571</v>
      </c>
      <c r="B266" s="11" t="s">
        <v>67</v>
      </c>
      <c r="C266" s="11" t="s">
        <v>69</v>
      </c>
      <c r="D266" s="12">
        <v>190</v>
      </c>
    </row>
    <row r="267" spans="1:4">
      <c r="A267" s="10">
        <v>41572</v>
      </c>
      <c r="B267" s="11" t="s">
        <v>76</v>
      </c>
      <c r="C267" s="11" t="s">
        <v>80</v>
      </c>
      <c r="D267" s="12">
        <v>477</v>
      </c>
    </row>
    <row r="268" spans="1:4">
      <c r="A268" s="10">
        <v>41568</v>
      </c>
      <c r="B268" s="11" t="s">
        <v>76</v>
      </c>
      <c r="C268" s="11" t="s">
        <v>69</v>
      </c>
      <c r="D268" s="12">
        <v>630</v>
      </c>
    </row>
    <row r="269" spans="1:4">
      <c r="A269" s="10">
        <v>41568</v>
      </c>
      <c r="B269" s="11" t="s">
        <v>67</v>
      </c>
      <c r="C269" s="11" t="s">
        <v>81</v>
      </c>
      <c r="D269" s="12">
        <v>576</v>
      </c>
    </row>
    <row r="270" spans="1:4">
      <c r="A270" s="10">
        <v>41572</v>
      </c>
      <c r="B270" s="11" t="s">
        <v>67</v>
      </c>
      <c r="C270" s="11" t="s">
        <v>91</v>
      </c>
      <c r="D270" s="12">
        <v>43</v>
      </c>
    </row>
    <row r="271" spans="1:4">
      <c r="A271" s="10">
        <v>41569</v>
      </c>
      <c r="B271" s="11" t="s">
        <v>76</v>
      </c>
      <c r="C271" s="11" t="s">
        <v>77</v>
      </c>
      <c r="D271" s="12">
        <v>460</v>
      </c>
    </row>
    <row r="272" spans="1:4">
      <c r="A272" s="10">
        <v>41567</v>
      </c>
      <c r="B272" s="11" t="s">
        <v>67</v>
      </c>
      <c r="C272" s="11" t="s">
        <v>82</v>
      </c>
      <c r="D272" s="12">
        <v>347</v>
      </c>
    </row>
    <row r="273" spans="1:4">
      <c r="A273" s="10">
        <v>41570</v>
      </c>
      <c r="B273" s="11" t="s">
        <v>72</v>
      </c>
      <c r="C273" s="11" t="s">
        <v>89</v>
      </c>
      <c r="D273" s="12">
        <v>245</v>
      </c>
    </row>
    <row r="274" spans="1:4">
      <c r="A274" s="10">
        <v>41573</v>
      </c>
      <c r="B274" s="11" t="s">
        <v>67</v>
      </c>
      <c r="C274" s="11" t="s">
        <v>91</v>
      </c>
      <c r="D274" s="12">
        <v>303</v>
      </c>
    </row>
    <row r="275" spans="1:4">
      <c r="A275" s="10">
        <v>41569</v>
      </c>
      <c r="B275" s="11" t="s">
        <v>76</v>
      </c>
      <c r="C275" s="11" t="s">
        <v>81</v>
      </c>
      <c r="D275" s="12">
        <v>60</v>
      </c>
    </row>
    <row r="276" spans="1:4">
      <c r="A276" s="10">
        <v>41570</v>
      </c>
      <c r="B276" s="11" t="s">
        <v>72</v>
      </c>
      <c r="C276" s="11" t="s">
        <v>86</v>
      </c>
      <c r="D276" s="12">
        <v>191</v>
      </c>
    </row>
    <row r="277" spans="1:4">
      <c r="A277" s="10">
        <v>41571</v>
      </c>
      <c r="B277" s="11" t="s">
        <v>76</v>
      </c>
      <c r="C277" s="11" t="s">
        <v>70</v>
      </c>
      <c r="D277" s="12">
        <v>550</v>
      </c>
    </row>
    <row r="278" spans="1:4">
      <c r="A278" s="10">
        <v>41567</v>
      </c>
      <c r="B278" s="11" t="s">
        <v>72</v>
      </c>
      <c r="C278" s="11" t="s">
        <v>79</v>
      </c>
      <c r="D278" s="12">
        <v>222</v>
      </c>
    </row>
    <row r="279" spans="1:4">
      <c r="A279" s="10">
        <v>41571</v>
      </c>
      <c r="B279" s="11" t="s">
        <v>76</v>
      </c>
      <c r="C279" s="11" t="s">
        <v>77</v>
      </c>
      <c r="D279" s="12">
        <v>213</v>
      </c>
    </row>
    <row r="280" spans="1:4">
      <c r="A280" s="10">
        <v>41573</v>
      </c>
      <c r="B280" s="11" t="s">
        <v>76</v>
      </c>
      <c r="C280" s="11" t="s">
        <v>80</v>
      </c>
      <c r="D280" s="12">
        <v>28</v>
      </c>
    </row>
    <row r="281" spans="1:4">
      <c r="A281" s="10">
        <v>41569</v>
      </c>
      <c r="B281" s="11" t="s">
        <v>67</v>
      </c>
      <c r="C281" s="11" t="s">
        <v>78</v>
      </c>
      <c r="D281" s="12">
        <v>552</v>
      </c>
    </row>
    <row r="282" spans="1:4">
      <c r="A282" s="10">
        <v>41570</v>
      </c>
      <c r="B282" s="11" t="s">
        <v>67</v>
      </c>
      <c r="C282" s="11" t="s">
        <v>77</v>
      </c>
      <c r="D282" s="12">
        <v>608</v>
      </c>
    </row>
    <row r="283" spans="1:4">
      <c r="A283" s="10">
        <v>41572</v>
      </c>
      <c r="B283" s="11" t="s">
        <v>67</v>
      </c>
      <c r="C283" s="11" t="s">
        <v>78</v>
      </c>
      <c r="D283" s="12">
        <v>308</v>
      </c>
    </row>
    <row r="284" spans="1:4">
      <c r="A284" s="10">
        <v>41569</v>
      </c>
      <c r="B284" s="11" t="s">
        <v>76</v>
      </c>
      <c r="C284" s="11" t="s">
        <v>90</v>
      </c>
      <c r="D284" s="12">
        <v>56</v>
      </c>
    </row>
    <row r="285" spans="1:4">
      <c r="A285" s="10">
        <v>41573</v>
      </c>
      <c r="B285" s="11" t="s">
        <v>76</v>
      </c>
      <c r="C285" s="11" t="s">
        <v>90</v>
      </c>
      <c r="D285" s="12">
        <v>303</v>
      </c>
    </row>
    <row r="286" spans="1:4">
      <c r="A286" s="10">
        <v>41569</v>
      </c>
      <c r="B286" s="11" t="s">
        <v>67</v>
      </c>
      <c r="C286" s="11" t="s">
        <v>82</v>
      </c>
      <c r="D286" s="12">
        <v>561</v>
      </c>
    </row>
    <row r="287" spans="1:4">
      <c r="A287" s="10">
        <v>41567</v>
      </c>
      <c r="B287" s="11" t="s">
        <v>76</v>
      </c>
      <c r="C287" s="11" t="s">
        <v>79</v>
      </c>
      <c r="D287" s="12">
        <v>264</v>
      </c>
    </row>
    <row r="288" spans="1:4">
      <c r="A288" s="10">
        <v>41567</v>
      </c>
      <c r="B288" s="11" t="s">
        <v>76</v>
      </c>
      <c r="C288" s="11" t="s">
        <v>91</v>
      </c>
      <c r="D288" s="12">
        <v>249</v>
      </c>
    </row>
    <row r="289" spans="1:4">
      <c r="A289" s="10">
        <v>41572</v>
      </c>
      <c r="B289" s="11" t="s">
        <v>72</v>
      </c>
      <c r="C289" s="11" t="s">
        <v>70</v>
      </c>
      <c r="D289" s="12">
        <v>259</v>
      </c>
    </row>
    <row r="290" spans="1:4">
      <c r="A290" s="10">
        <v>41573</v>
      </c>
      <c r="B290" s="11" t="s">
        <v>72</v>
      </c>
      <c r="C290" s="11" t="s">
        <v>89</v>
      </c>
      <c r="D290" s="12">
        <v>609</v>
      </c>
    </row>
    <row r="291" spans="1:4">
      <c r="A291" s="10">
        <v>41568</v>
      </c>
      <c r="B291" s="11" t="s">
        <v>72</v>
      </c>
      <c r="C291" s="11" t="s">
        <v>91</v>
      </c>
      <c r="D291" s="12">
        <v>213</v>
      </c>
    </row>
    <row r="292" spans="1:4">
      <c r="A292" s="10">
        <v>41568</v>
      </c>
      <c r="B292" s="11" t="s">
        <v>67</v>
      </c>
      <c r="C292" s="11" t="s">
        <v>91</v>
      </c>
      <c r="D292" s="12">
        <v>301</v>
      </c>
    </row>
    <row r="293" spans="1:4">
      <c r="A293" s="10">
        <v>41573</v>
      </c>
      <c r="B293" s="11" t="s">
        <v>76</v>
      </c>
      <c r="C293" s="11" t="s">
        <v>80</v>
      </c>
      <c r="D293" s="12">
        <v>359</v>
      </c>
    </row>
    <row r="294" spans="1:4">
      <c r="A294" s="10">
        <v>41573</v>
      </c>
      <c r="B294" s="11" t="s">
        <v>67</v>
      </c>
      <c r="C294" s="11" t="s">
        <v>86</v>
      </c>
      <c r="D294" s="12">
        <v>18</v>
      </c>
    </row>
    <row r="295" spans="1:4">
      <c r="A295" s="10">
        <v>41567</v>
      </c>
      <c r="B295" s="11" t="s">
        <v>76</v>
      </c>
      <c r="C295" s="11" t="s">
        <v>70</v>
      </c>
      <c r="D295" s="12">
        <v>98</v>
      </c>
    </row>
    <row r="296" spans="1:4">
      <c r="A296" s="10">
        <v>41569</v>
      </c>
      <c r="B296" s="11" t="s">
        <v>72</v>
      </c>
      <c r="C296" s="11" t="s">
        <v>91</v>
      </c>
      <c r="D296" s="12">
        <v>274</v>
      </c>
    </row>
    <row r="297" spans="1:4">
      <c r="A297" s="10">
        <v>41571</v>
      </c>
      <c r="B297" s="11" t="s">
        <v>76</v>
      </c>
      <c r="C297" s="11" t="s">
        <v>88</v>
      </c>
      <c r="D297" s="12">
        <v>466</v>
      </c>
    </row>
    <row r="298" spans="1:4">
      <c r="A298" s="10">
        <v>41567</v>
      </c>
      <c r="B298" s="11" t="s">
        <v>72</v>
      </c>
      <c r="C298" s="11" t="s">
        <v>81</v>
      </c>
      <c r="D298" s="12">
        <v>65</v>
      </c>
    </row>
    <row r="299" spans="1:4">
      <c r="A299" s="10">
        <v>41568</v>
      </c>
      <c r="B299" s="11" t="s">
        <v>72</v>
      </c>
      <c r="C299" s="11" t="s">
        <v>89</v>
      </c>
      <c r="D299" s="12">
        <v>638</v>
      </c>
    </row>
    <row r="300" spans="1:4">
      <c r="A300" s="10">
        <v>41570</v>
      </c>
      <c r="B300" s="11" t="s">
        <v>67</v>
      </c>
      <c r="C300" s="11" t="s">
        <v>81</v>
      </c>
      <c r="D300" s="12">
        <v>73</v>
      </c>
    </row>
    <row r="301" spans="1:4">
      <c r="A301" s="10">
        <v>41567</v>
      </c>
      <c r="B301" s="11" t="s">
        <v>67</v>
      </c>
      <c r="C301" s="11" t="s">
        <v>77</v>
      </c>
      <c r="D301" s="12">
        <v>89</v>
      </c>
    </row>
    <row r="302" spans="1:4">
      <c r="A302" s="10">
        <v>41569</v>
      </c>
      <c r="B302" s="11" t="s">
        <v>67</v>
      </c>
      <c r="C302" s="11" t="s">
        <v>81</v>
      </c>
      <c r="D302" s="12">
        <v>154</v>
      </c>
    </row>
    <row r="303" spans="1:4">
      <c r="A303" s="10">
        <v>41567</v>
      </c>
      <c r="B303" s="11" t="s">
        <v>67</v>
      </c>
      <c r="C303" s="11" t="s">
        <v>80</v>
      </c>
      <c r="D303" s="12">
        <v>209</v>
      </c>
    </row>
    <row r="304" spans="1:4">
      <c r="A304" s="10">
        <v>41570</v>
      </c>
      <c r="B304" s="11" t="s">
        <v>67</v>
      </c>
      <c r="C304" s="11" t="s">
        <v>81</v>
      </c>
      <c r="D304" s="12">
        <v>296</v>
      </c>
    </row>
    <row r="305" spans="1:4">
      <c r="A305" s="10">
        <v>41572</v>
      </c>
      <c r="B305" s="11" t="s">
        <v>72</v>
      </c>
      <c r="C305" s="11" t="s">
        <v>68</v>
      </c>
      <c r="D305" s="12">
        <v>564</v>
      </c>
    </row>
    <row r="306" spans="1:4">
      <c r="A306" s="10">
        <v>41572</v>
      </c>
      <c r="B306" s="11" t="s">
        <v>76</v>
      </c>
      <c r="C306" s="11" t="s">
        <v>70</v>
      </c>
      <c r="D306" s="12">
        <v>338</v>
      </c>
    </row>
    <row r="307" spans="1:4">
      <c r="A307" s="10">
        <v>41572</v>
      </c>
      <c r="B307" s="11" t="s">
        <v>72</v>
      </c>
      <c r="C307" s="11" t="s">
        <v>73</v>
      </c>
      <c r="D307" s="12">
        <v>428</v>
      </c>
    </row>
    <row r="308" spans="1:4">
      <c r="A308" s="10">
        <v>41573</v>
      </c>
      <c r="B308" s="11" t="s">
        <v>72</v>
      </c>
      <c r="C308" s="11" t="s">
        <v>78</v>
      </c>
      <c r="D308" s="12">
        <v>24</v>
      </c>
    </row>
    <row r="309" spans="1:4">
      <c r="A309" s="10">
        <v>41569</v>
      </c>
      <c r="B309" s="11" t="s">
        <v>76</v>
      </c>
      <c r="C309" s="11" t="s">
        <v>69</v>
      </c>
      <c r="D309" s="12">
        <v>353</v>
      </c>
    </row>
    <row r="310" spans="1:4">
      <c r="A310" s="10">
        <v>41573</v>
      </c>
      <c r="B310" s="11" t="s">
        <v>67</v>
      </c>
      <c r="C310" s="11" t="s">
        <v>91</v>
      </c>
      <c r="D310" s="12">
        <v>645</v>
      </c>
    </row>
    <row r="311" spans="1:4">
      <c r="A311" s="10">
        <v>41573</v>
      </c>
      <c r="B311" s="11" t="s">
        <v>76</v>
      </c>
      <c r="C311" s="11" t="s">
        <v>73</v>
      </c>
      <c r="D311" s="12">
        <v>466</v>
      </c>
    </row>
    <row r="312" spans="1:4">
      <c r="A312" s="10">
        <v>41569</v>
      </c>
      <c r="B312" s="11" t="s">
        <v>67</v>
      </c>
      <c r="C312" s="11" t="s">
        <v>69</v>
      </c>
      <c r="D312" s="12">
        <v>37</v>
      </c>
    </row>
    <row r="313" spans="1:4">
      <c r="A313" s="10">
        <v>41572</v>
      </c>
      <c r="B313" s="11" t="s">
        <v>72</v>
      </c>
      <c r="C313" s="11" t="s">
        <v>81</v>
      </c>
      <c r="D313" s="12">
        <v>367</v>
      </c>
    </row>
    <row r="314" spans="1:4">
      <c r="A314" s="10">
        <v>41569</v>
      </c>
      <c r="B314" s="11" t="s">
        <v>76</v>
      </c>
      <c r="C314" s="11" t="s">
        <v>78</v>
      </c>
      <c r="D314" s="12">
        <v>295</v>
      </c>
    </row>
    <row r="315" spans="1:4">
      <c r="A315" s="10">
        <v>41570</v>
      </c>
      <c r="B315" s="11" t="s">
        <v>76</v>
      </c>
      <c r="C315" s="11" t="s">
        <v>91</v>
      </c>
      <c r="D315" s="12">
        <v>178</v>
      </c>
    </row>
    <row r="316" spans="1:4">
      <c r="A316" s="10">
        <v>41568</v>
      </c>
      <c r="B316" s="11" t="s">
        <v>67</v>
      </c>
      <c r="C316" s="11" t="s">
        <v>77</v>
      </c>
      <c r="D316" s="12">
        <v>56</v>
      </c>
    </row>
    <row r="317" spans="1:4">
      <c r="A317" s="10">
        <v>41573</v>
      </c>
      <c r="B317" s="11" t="s">
        <v>67</v>
      </c>
      <c r="C317" s="11" t="s">
        <v>78</v>
      </c>
      <c r="D317" s="12">
        <v>227</v>
      </c>
    </row>
    <row r="318" spans="1:4">
      <c r="A318" s="10">
        <v>41571</v>
      </c>
      <c r="B318" s="11" t="s">
        <v>76</v>
      </c>
      <c r="C318" s="11" t="s">
        <v>91</v>
      </c>
      <c r="D318" s="12">
        <v>215</v>
      </c>
    </row>
    <row r="319" spans="1:4">
      <c r="A319" s="10">
        <v>41571</v>
      </c>
      <c r="B319" s="11" t="s">
        <v>67</v>
      </c>
      <c r="C319" s="11" t="s">
        <v>78</v>
      </c>
      <c r="D319" s="12">
        <v>506</v>
      </c>
    </row>
    <row r="320" spans="1:4">
      <c r="A320" s="10">
        <v>41573</v>
      </c>
      <c r="B320" s="11" t="s">
        <v>72</v>
      </c>
      <c r="C320" s="11" t="s">
        <v>86</v>
      </c>
      <c r="D320" s="12">
        <v>215</v>
      </c>
    </row>
    <row r="321" spans="1:4">
      <c r="A321" s="10">
        <v>41567</v>
      </c>
      <c r="B321" s="11" t="s">
        <v>76</v>
      </c>
      <c r="C321" s="11" t="s">
        <v>86</v>
      </c>
      <c r="D321" s="12">
        <v>237</v>
      </c>
    </row>
    <row r="322" spans="1:4">
      <c r="A322" s="10">
        <v>41569</v>
      </c>
      <c r="B322" s="11" t="s">
        <v>67</v>
      </c>
      <c r="C322" s="11" t="s">
        <v>86</v>
      </c>
      <c r="D322" s="12">
        <v>296</v>
      </c>
    </row>
    <row r="323" spans="1:4">
      <c r="A323" s="10">
        <v>41572</v>
      </c>
      <c r="B323" s="11" t="s">
        <v>67</v>
      </c>
      <c r="C323" s="11" t="s">
        <v>86</v>
      </c>
      <c r="D323" s="12">
        <v>302</v>
      </c>
    </row>
    <row r="324" spans="1:4">
      <c r="A324" s="10">
        <v>41570</v>
      </c>
      <c r="B324" s="11" t="s">
        <v>76</v>
      </c>
      <c r="C324" s="11" t="s">
        <v>90</v>
      </c>
      <c r="D324" s="12">
        <v>622</v>
      </c>
    </row>
    <row r="325" spans="1:4">
      <c r="A325" s="10">
        <v>41568</v>
      </c>
      <c r="B325" s="11" t="s">
        <v>67</v>
      </c>
      <c r="C325" s="11" t="s">
        <v>86</v>
      </c>
      <c r="D325" s="12">
        <v>312</v>
      </c>
    </row>
    <row r="326" spans="1:4">
      <c r="A326" s="10">
        <v>41571</v>
      </c>
      <c r="B326" s="11" t="s">
        <v>67</v>
      </c>
      <c r="C326" s="11" t="s">
        <v>73</v>
      </c>
      <c r="D326" s="12">
        <v>304</v>
      </c>
    </row>
    <row r="327" spans="1:4">
      <c r="A327" s="10">
        <v>41570</v>
      </c>
      <c r="B327" s="11" t="s">
        <v>76</v>
      </c>
      <c r="C327" s="11" t="s">
        <v>82</v>
      </c>
      <c r="D327" s="12">
        <v>158</v>
      </c>
    </row>
    <row r="328" spans="1:4">
      <c r="A328" s="10">
        <v>41572</v>
      </c>
      <c r="B328" s="11" t="s">
        <v>67</v>
      </c>
      <c r="C328" s="11" t="s">
        <v>85</v>
      </c>
      <c r="D328" s="12">
        <v>569</v>
      </c>
    </row>
    <row r="329" spans="1:4">
      <c r="A329" s="10">
        <v>41570</v>
      </c>
      <c r="B329" s="11" t="s">
        <v>72</v>
      </c>
      <c r="C329" s="11" t="s">
        <v>77</v>
      </c>
      <c r="D329" s="12">
        <v>545</v>
      </c>
    </row>
    <row r="330" spans="1:4">
      <c r="A330" s="10">
        <v>41573</v>
      </c>
      <c r="B330" s="11" t="s">
        <v>76</v>
      </c>
      <c r="C330" s="11" t="s">
        <v>73</v>
      </c>
      <c r="D330" s="12">
        <v>111</v>
      </c>
    </row>
    <row r="331" spans="1:4">
      <c r="A331" s="10">
        <v>41569</v>
      </c>
      <c r="B331" s="11" t="s">
        <v>67</v>
      </c>
      <c r="C331" s="11" t="s">
        <v>94</v>
      </c>
      <c r="D331" s="12">
        <v>227</v>
      </c>
    </row>
    <row r="332" spans="1:4">
      <c r="A332" s="10">
        <v>41568</v>
      </c>
      <c r="B332" s="11" t="s">
        <v>72</v>
      </c>
      <c r="C332" s="11" t="s">
        <v>73</v>
      </c>
      <c r="D332" s="12">
        <v>340</v>
      </c>
    </row>
    <row r="333" spans="1:4">
      <c r="A333" s="10">
        <v>41572</v>
      </c>
      <c r="B333" s="11" t="s">
        <v>67</v>
      </c>
      <c r="C333" s="11" t="s">
        <v>77</v>
      </c>
      <c r="D333" s="12">
        <v>123</v>
      </c>
    </row>
    <row r="334" spans="1:4">
      <c r="A334" s="10">
        <v>41567</v>
      </c>
      <c r="B334" s="11" t="s">
        <v>67</v>
      </c>
      <c r="C334" s="11" t="s">
        <v>73</v>
      </c>
      <c r="D334" s="12">
        <v>229</v>
      </c>
    </row>
    <row r="335" spans="1:4">
      <c r="A335" s="10">
        <v>41571</v>
      </c>
      <c r="B335" s="11" t="s">
        <v>72</v>
      </c>
      <c r="C335" s="11" t="s">
        <v>84</v>
      </c>
      <c r="D335" s="12">
        <v>618</v>
      </c>
    </row>
    <row r="336" spans="1:4">
      <c r="A336" s="10">
        <v>41571</v>
      </c>
      <c r="B336" s="11" t="s">
        <v>76</v>
      </c>
      <c r="C336" s="11" t="s">
        <v>91</v>
      </c>
      <c r="D336" s="12">
        <v>65</v>
      </c>
    </row>
    <row r="337" spans="1:4">
      <c r="A337" s="10">
        <v>41568</v>
      </c>
      <c r="B337" s="11" t="s">
        <v>67</v>
      </c>
      <c r="C337" s="11" t="s">
        <v>81</v>
      </c>
      <c r="D337" s="12">
        <v>19</v>
      </c>
    </row>
    <row r="338" spans="1:4">
      <c r="A338" s="10">
        <v>41573</v>
      </c>
      <c r="B338" s="11" t="s">
        <v>76</v>
      </c>
      <c r="C338" s="11" t="s">
        <v>84</v>
      </c>
      <c r="D338" s="12">
        <v>72</v>
      </c>
    </row>
    <row r="339" spans="1:4">
      <c r="A339" s="10">
        <v>41573</v>
      </c>
      <c r="B339" s="11" t="s">
        <v>67</v>
      </c>
      <c r="C339" s="11" t="s">
        <v>77</v>
      </c>
      <c r="D339" s="12">
        <v>103</v>
      </c>
    </row>
    <row r="340" spans="1:4">
      <c r="A340" s="10">
        <v>41572</v>
      </c>
      <c r="B340" s="11" t="s">
        <v>67</v>
      </c>
      <c r="C340" s="11" t="s">
        <v>81</v>
      </c>
      <c r="D340" s="12">
        <v>658</v>
      </c>
    </row>
    <row r="341" spans="1:4">
      <c r="A341" s="10">
        <v>41569</v>
      </c>
      <c r="B341" s="11" t="s">
        <v>76</v>
      </c>
      <c r="C341" s="11" t="s">
        <v>94</v>
      </c>
      <c r="D341" s="12">
        <v>523</v>
      </c>
    </row>
    <row r="342" spans="1:4">
      <c r="A342" s="10">
        <v>41568</v>
      </c>
      <c r="B342" s="11" t="s">
        <v>72</v>
      </c>
      <c r="C342" s="11" t="s">
        <v>86</v>
      </c>
      <c r="D342" s="12">
        <v>338</v>
      </c>
    </row>
    <row r="343" spans="1:4">
      <c r="A343" s="10">
        <v>41572</v>
      </c>
      <c r="B343" s="11" t="s">
        <v>72</v>
      </c>
      <c r="C343" s="11" t="s">
        <v>73</v>
      </c>
      <c r="D343" s="12">
        <v>33</v>
      </c>
    </row>
    <row r="344" spans="1:4">
      <c r="A344" s="10">
        <v>41573</v>
      </c>
      <c r="B344" s="11" t="s">
        <v>67</v>
      </c>
      <c r="C344" s="11" t="s">
        <v>69</v>
      </c>
      <c r="D344" s="12">
        <v>553</v>
      </c>
    </row>
    <row r="345" spans="1:4">
      <c r="A345" s="10">
        <v>41572</v>
      </c>
      <c r="B345" s="11" t="s">
        <v>72</v>
      </c>
      <c r="C345" s="11" t="s">
        <v>86</v>
      </c>
      <c r="D345" s="12">
        <v>346</v>
      </c>
    </row>
    <row r="346" spans="1:4">
      <c r="A346" s="10">
        <v>41569</v>
      </c>
      <c r="B346" s="11" t="s">
        <v>72</v>
      </c>
      <c r="C346" s="11" t="s">
        <v>81</v>
      </c>
      <c r="D346" s="12">
        <v>125</v>
      </c>
    </row>
    <row r="347" spans="1:4">
      <c r="A347" s="10">
        <v>41568</v>
      </c>
      <c r="B347" s="11" t="s">
        <v>67</v>
      </c>
      <c r="C347" s="11" t="s">
        <v>81</v>
      </c>
      <c r="D347" s="12">
        <v>241</v>
      </c>
    </row>
    <row r="348" spans="1:4">
      <c r="A348" s="10">
        <v>41569</v>
      </c>
      <c r="B348" s="11" t="s">
        <v>67</v>
      </c>
      <c r="C348" s="11" t="s">
        <v>78</v>
      </c>
      <c r="D348" s="12">
        <v>316</v>
      </c>
    </row>
    <row r="349" spans="1:4">
      <c r="A349" s="10">
        <v>41567</v>
      </c>
      <c r="B349" s="11" t="s">
        <v>72</v>
      </c>
      <c r="C349" s="11" t="s">
        <v>75</v>
      </c>
      <c r="D349" s="12">
        <v>392</v>
      </c>
    </row>
    <row r="350" spans="1:4">
      <c r="A350" s="10">
        <v>41573</v>
      </c>
      <c r="B350" s="11" t="s">
        <v>67</v>
      </c>
      <c r="C350" s="11" t="s">
        <v>75</v>
      </c>
      <c r="D350" s="12">
        <v>644</v>
      </c>
    </row>
    <row r="351" spans="1:4">
      <c r="A351" s="10">
        <v>41571</v>
      </c>
      <c r="B351" s="11" t="s">
        <v>72</v>
      </c>
      <c r="C351" s="11" t="s">
        <v>94</v>
      </c>
      <c r="D351" s="12">
        <v>259</v>
      </c>
    </row>
    <row r="352" spans="1:4">
      <c r="A352" s="10">
        <v>41568</v>
      </c>
      <c r="B352" s="11" t="s">
        <v>67</v>
      </c>
      <c r="C352" s="11" t="s">
        <v>94</v>
      </c>
      <c r="D352" s="12">
        <v>488</v>
      </c>
    </row>
    <row r="353" spans="1:4">
      <c r="A353" s="10">
        <v>41569</v>
      </c>
      <c r="B353" s="11" t="s">
        <v>72</v>
      </c>
      <c r="C353" s="11" t="s">
        <v>73</v>
      </c>
      <c r="D353" s="12">
        <v>299</v>
      </c>
    </row>
    <row r="354" spans="1:4">
      <c r="A354" s="10">
        <v>41568</v>
      </c>
      <c r="B354" s="11" t="s">
        <v>72</v>
      </c>
      <c r="C354" s="11" t="s">
        <v>91</v>
      </c>
      <c r="D354" s="12">
        <v>36</v>
      </c>
    </row>
    <row r="355" spans="1:4">
      <c r="A355" s="10">
        <v>41569</v>
      </c>
      <c r="B355" s="11" t="s">
        <v>76</v>
      </c>
      <c r="C355" s="11" t="s">
        <v>89</v>
      </c>
      <c r="D355" s="12">
        <v>83</v>
      </c>
    </row>
    <row r="356" spans="1:4">
      <c r="A356" s="10">
        <v>41572</v>
      </c>
      <c r="B356" s="11" t="s">
        <v>76</v>
      </c>
      <c r="C356" s="11" t="s">
        <v>74</v>
      </c>
      <c r="D356" s="12">
        <v>80</v>
      </c>
    </row>
    <row r="357" spans="1:4">
      <c r="A357" s="10">
        <v>41569</v>
      </c>
      <c r="B357" s="11" t="s">
        <v>76</v>
      </c>
      <c r="C357" s="11" t="s">
        <v>70</v>
      </c>
      <c r="D357" s="12">
        <v>349</v>
      </c>
    </row>
    <row r="358" spans="1:4">
      <c r="A358" s="10">
        <v>41569</v>
      </c>
      <c r="B358" s="11" t="s">
        <v>67</v>
      </c>
      <c r="C358" s="11" t="s">
        <v>81</v>
      </c>
      <c r="D358" s="12">
        <v>342</v>
      </c>
    </row>
    <row r="359" spans="1:4">
      <c r="A359" s="10">
        <v>41571</v>
      </c>
      <c r="B359" s="11" t="s">
        <v>67</v>
      </c>
      <c r="C359" s="11" t="s">
        <v>78</v>
      </c>
      <c r="D359" s="12">
        <v>540</v>
      </c>
    </row>
    <row r="360" spans="1:4">
      <c r="A360" s="10">
        <v>41569</v>
      </c>
      <c r="B360" s="11" t="s">
        <v>76</v>
      </c>
      <c r="C360" s="11" t="s">
        <v>90</v>
      </c>
      <c r="D360" s="12">
        <v>411</v>
      </c>
    </row>
    <row r="361" spans="1:4">
      <c r="A361" s="10">
        <v>41568</v>
      </c>
      <c r="B361" s="11" t="s">
        <v>67</v>
      </c>
      <c r="C361" s="11" t="s">
        <v>92</v>
      </c>
      <c r="D361" s="12">
        <v>632</v>
      </c>
    </row>
    <row r="362" spans="1:4">
      <c r="A362" s="10">
        <v>41572</v>
      </c>
      <c r="B362" s="11" t="s">
        <v>67</v>
      </c>
      <c r="C362" s="11" t="s">
        <v>74</v>
      </c>
      <c r="D362" s="12">
        <v>175</v>
      </c>
    </row>
    <row r="363" spans="1:4">
      <c r="A363" s="10">
        <v>41568</v>
      </c>
      <c r="B363" s="11" t="s">
        <v>76</v>
      </c>
      <c r="C363" s="11" t="s">
        <v>75</v>
      </c>
      <c r="D363" s="12">
        <v>606</v>
      </c>
    </row>
    <row r="364" spans="1:4">
      <c r="A364" s="10">
        <v>41568</v>
      </c>
      <c r="B364" s="11" t="s">
        <v>72</v>
      </c>
      <c r="C364" s="11" t="s">
        <v>89</v>
      </c>
      <c r="D364" s="12">
        <v>658</v>
      </c>
    </row>
    <row r="365" spans="1:4">
      <c r="A365" s="10">
        <v>41572</v>
      </c>
      <c r="B365" s="11" t="s">
        <v>76</v>
      </c>
      <c r="C365" s="11" t="s">
        <v>69</v>
      </c>
      <c r="D365" s="12">
        <v>268</v>
      </c>
    </row>
    <row r="366" spans="1:4">
      <c r="A366" s="10">
        <v>41567</v>
      </c>
      <c r="B366" s="11" t="s">
        <v>72</v>
      </c>
      <c r="C366" s="11" t="s">
        <v>69</v>
      </c>
      <c r="D366" s="12">
        <v>556</v>
      </c>
    </row>
    <row r="367" spans="1:4">
      <c r="A367" s="10">
        <v>41569</v>
      </c>
      <c r="B367" s="11" t="s">
        <v>72</v>
      </c>
      <c r="C367" s="11" t="s">
        <v>91</v>
      </c>
      <c r="D367" s="12">
        <v>208</v>
      </c>
    </row>
    <row r="368" spans="1:4">
      <c r="A368" s="10">
        <v>41572</v>
      </c>
      <c r="B368" s="11" t="s">
        <v>76</v>
      </c>
      <c r="C368" s="11" t="s">
        <v>80</v>
      </c>
      <c r="D368" s="12">
        <v>559</v>
      </c>
    </row>
    <row r="369" spans="1:4">
      <c r="A369" s="10">
        <v>41573</v>
      </c>
      <c r="B369" s="11" t="s">
        <v>76</v>
      </c>
      <c r="C369" s="11" t="s">
        <v>91</v>
      </c>
      <c r="D369" s="12">
        <v>530</v>
      </c>
    </row>
    <row r="370" spans="1:4">
      <c r="A370" s="10">
        <v>41572</v>
      </c>
      <c r="B370" s="11" t="s">
        <v>76</v>
      </c>
      <c r="C370" s="11" t="s">
        <v>84</v>
      </c>
      <c r="D370" s="12">
        <v>663</v>
      </c>
    </row>
    <row r="371" spans="1:4">
      <c r="A371" s="10">
        <v>41568</v>
      </c>
      <c r="B371" s="11" t="s">
        <v>72</v>
      </c>
      <c r="C371" s="11" t="s">
        <v>91</v>
      </c>
      <c r="D371" s="12">
        <v>31</v>
      </c>
    </row>
    <row r="372" spans="1:4">
      <c r="A372" s="10">
        <v>41567</v>
      </c>
      <c r="B372" s="11" t="s">
        <v>67</v>
      </c>
      <c r="C372" s="11" t="s">
        <v>77</v>
      </c>
      <c r="D372" s="12">
        <v>587</v>
      </c>
    </row>
    <row r="373" spans="1:4">
      <c r="A373" s="10">
        <v>41570</v>
      </c>
      <c r="B373" s="11" t="s">
        <v>76</v>
      </c>
      <c r="C373" s="11" t="s">
        <v>86</v>
      </c>
      <c r="D373" s="12">
        <v>280</v>
      </c>
    </row>
    <row r="374" spans="1:4">
      <c r="A374" s="10">
        <v>41567</v>
      </c>
      <c r="B374" s="11" t="s">
        <v>72</v>
      </c>
      <c r="C374" s="11" t="s">
        <v>77</v>
      </c>
      <c r="D374" s="12">
        <v>488</v>
      </c>
    </row>
    <row r="375" spans="1:4">
      <c r="A375" s="10">
        <v>41572</v>
      </c>
      <c r="B375" s="11" t="s">
        <v>76</v>
      </c>
      <c r="C375" s="11" t="s">
        <v>70</v>
      </c>
      <c r="D375" s="12">
        <v>609</v>
      </c>
    </row>
    <row r="376" spans="1:4">
      <c r="A376" s="10">
        <v>41573</v>
      </c>
      <c r="B376" s="11" t="s">
        <v>72</v>
      </c>
      <c r="C376" s="11" t="s">
        <v>78</v>
      </c>
      <c r="D376" s="12">
        <v>375</v>
      </c>
    </row>
    <row r="377" spans="1:4">
      <c r="A377" s="10">
        <v>41572</v>
      </c>
      <c r="B377" s="11" t="s">
        <v>72</v>
      </c>
      <c r="C377" s="11" t="s">
        <v>86</v>
      </c>
      <c r="D377" s="12">
        <v>474</v>
      </c>
    </row>
    <row r="378" spans="1:4">
      <c r="A378" s="10">
        <v>41570</v>
      </c>
      <c r="B378" s="11" t="s">
        <v>76</v>
      </c>
      <c r="C378" s="11" t="s">
        <v>92</v>
      </c>
      <c r="D378" s="12">
        <v>323</v>
      </c>
    </row>
    <row r="379" spans="1:4">
      <c r="A379" s="10">
        <v>41573</v>
      </c>
      <c r="B379" s="11" t="s">
        <v>76</v>
      </c>
      <c r="C379" s="11" t="s">
        <v>82</v>
      </c>
      <c r="D379" s="12">
        <v>650</v>
      </c>
    </row>
    <row r="380" spans="1:4">
      <c r="A380" s="10">
        <v>41568</v>
      </c>
      <c r="B380" s="11" t="s">
        <v>72</v>
      </c>
      <c r="C380" s="11" t="s">
        <v>78</v>
      </c>
      <c r="D380" s="12">
        <v>505</v>
      </c>
    </row>
    <row r="381" spans="1:4">
      <c r="A381" s="10">
        <v>41567</v>
      </c>
      <c r="B381" s="11" t="s">
        <v>76</v>
      </c>
      <c r="C381" s="11" t="s">
        <v>73</v>
      </c>
      <c r="D381" s="12">
        <v>114</v>
      </c>
    </row>
    <row r="382" spans="1:4">
      <c r="A382" s="10">
        <v>41567</v>
      </c>
      <c r="B382" s="11" t="s">
        <v>76</v>
      </c>
      <c r="C382" s="11" t="s">
        <v>84</v>
      </c>
      <c r="D382" s="12">
        <v>483</v>
      </c>
    </row>
    <row r="383" spans="1:4">
      <c r="A383" s="10">
        <v>41569</v>
      </c>
      <c r="B383" s="11" t="s">
        <v>67</v>
      </c>
      <c r="C383" s="11" t="s">
        <v>81</v>
      </c>
      <c r="D383" s="12">
        <v>444</v>
      </c>
    </row>
    <row r="384" spans="1:4">
      <c r="A384" s="10">
        <v>41573</v>
      </c>
      <c r="B384" s="11" t="s">
        <v>76</v>
      </c>
      <c r="C384" s="11" t="s">
        <v>81</v>
      </c>
      <c r="D384" s="12">
        <v>642</v>
      </c>
    </row>
    <row r="385" spans="1:4">
      <c r="A385" s="10">
        <v>41569</v>
      </c>
      <c r="B385" s="11" t="s">
        <v>76</v>
      </c>
      <c r="C385" s="11" t="s">
        <v>84</v>
      </c>
      <c r="D385" s="12">
        <v>241</v>
      </c>
    </row>
    <row r="386" spans="1:4">
      <c r="A386" s="10">
        <v>41571</v>
      </c>
      <c r="B386" s="11" t="s">
        <v>76</v>
      </c>
      <c r="C386" s="11" t="s">
        <v>83</v>
      </c>
      <c r="D386" s="12">
        <v>444</v>
      </c>
    </row>
    <row r="387" spans="1:4">
      <c r="A387" s="10">
        <v>41570</v>
      </c>
      <c r="B387" s="11" t="s">
        <v>72</v>
      </c>
      <c r="C387" s="11" t="s">
        <v>81</v>
      </c>
      <c r="D387" s="12">
        <v>270</v>
      </c>
    </row>
    <row r="388" spans="1:4">
      <c r="A388" s="10">
        <v>41570</v>
      </c>
      <c r="B388" s="11" t="s">
        <v>72</v>
      </c>
      <c r="C388" s="11" t="s">
        <v>69</v>
      </c>
      <c r="D388" s="12">
        <v>608</v>
      </c>
    </row>
    <row r="389" spans="1:4">
      <c r="A389" s="10">
        <v>41573</v>
      </c>
      <c r="B389" s="11" t="s">
        <v>67</v>
      </c>
      <c r="C389" s="11" t="s">
        <v>86</v>
      </c>
      <c r="D389" s="12">
        <v>498</v>
      </c>
    </row>
    <row r="390" spans="1:4">
      <c r="A390" s="10">
        <v>41568</v>
      </c>
      <c r="B390" s="11" t="s">
        <v>72</v>
      </c>
      <c r="C390" s="11" t="s">
        <v>78</v>
      </c>
      <c r="D390" s="12">
        <v>100</v>
      </c>
    </row>
    <row r="391" spans="1:4">
      <c r="A391" s="10">
        <v>41569</v>
      </c>
      <c r="B391" s="11" t="s">
        <v>72</v>
      </c>
      <c r="C391" s="11" t="s">
        <v>86</v>
      </c>
      <c r="D391" s="12">
        <v>379</v>
      </c>
    </row>
    <row r="392" spans="1:4">
      <c r="A392" s="10">
        <v>41569</v>
      </c>
      <c r="B392" s="11" t="s">
        <v>76</v>
      </c>
      <c r="C392" s="11" t="s">
        <v>69</v>
      </c>
      <c r="D392" s="12">
        <v>332</v>
      </c>
    </row>
    <row r="393" spans="1:4">
      <c r="A393" s="10">
        <v>41573</v>
      </c>
      <c r="B393" s="11" t="s">
        <v>72</v>
      </c>
      <c r="C393" s="11" t="s">
        <v>89</v>
      </c>
      <c r="D393" s="12">
        <v>13</v>
      </c>
    </row>
    <row r="394" spans="1:4">
      <c r="A394" s="10">
        <v>41573</v>
      </c>
      <c r="B394" s="11" t="s">
        <v>76</v>
      </c>
      <c r="C394" s="11" t="s">
        <v>92</v>
      </c>
      <c r="D394" s="12">
        <v>456</v>
      </c>
    </row>
    <row r="395" spans="1:4">
      <c r="A395" s="10">
        <v>41568</v>
      </c>
      <c r="B395" s="11" t="s">
        <v>76</v>
      </c>
      <c r="C395" s="11" t="s">
        <v>91</v>
      </c>
      <c r="D395" s="12">
        <v>249</v>
      </c>
    </row>
    <row r="396" spans="1:4">
      <c r="A396" s="10">
        <v>41573</v>
      </c>
      <c r="B396" s="11" t="s">
        <v>67</v>
      </c>
      <c r="C396" s="11" t="s">
        <v>89</v>
      </c>
      <c r="D396" s="12">
        <v>324</v>
      </c>
    </row>
    <row r="397" spans="1:4">
      <c r="A397" s="10">
        <v>41569</v>
      </c>
      <c r="B397" s="11" t="s">
        <v>67</v>
      </c>
      <c r="C397" s="11" t="s">
        <v>87</v>
      </c>
      <c r="D397" s="12">
        <v>423</v>
      </c>
    </row>
    <row r="398" spans="1:4">
      <c r="A398" s="10">
        <v>41567</v>
      </c>
      <c r="B398" s="11" t="s">
        <v>67</v>
      </c>
      <c r="C398" s="11" t="s">
        <v>75</v>
      </c>
      <c r="D398" s="12">
        <v>220</v>
      </c>
    </row>
    <row r="399" spans="1:4">
      <c r="A399" s="10">
        <v>41567</v>
      </c>
      <c r="B399" s="11" t="s">
        <v>76</v>
      </c>
      <c r="C399" s="11" t="s">
        <v>69</v>
      </c>
      <c r="D399" s="12">
        <v>47</v>
      </c>
    </row>
    <row r="400" spans="1:4">
      <c r="A400" s="10">
        <v>41567</v>
      </c>
      <c r="B400" s="11" t="s">
        <v>67</v>
      </c>
      <c r="C400" s="11" t="s">
        <v>86</v>
      </c>
      <c r="D400" s="12">
        <v>651</v>
      </c>
    </row>
    <row r="401" spans="1:4">
      <c r="A401" s="10">
        <v>41568</v>
      </c>
      <c r="B401" s="11" t="s">
        <v>67</v>
      </c>
      <c r="C401" s="11" t="s">
        <v>69</v>
      </c>
      <c r="D401" s="12">
        <v>89</v>
      </c>
    </row>
    <row r="402" spans="1:4">
      <c r="A402" s="10">
        <v>41570</v>
      </c>
      <c r="B402" s="11" t="s">
        <v>76</v>
      </c>
      <c r="C402" s="11" t="s">
        <v>78</v>
      </c>
      <c r="D402" s="12">
        <v>590</v>
      </c>
    </row>
    <row r="403" spans="1:4">
      <c r="A403" s="10">
        <v>41571</v>
      </c>
      <c r="B403" s="11" t="s">
        <v>72</v>
      </c>
      <c r="C403" s="11" t="s">
        <v>86</v>
      </c>
      <c r="D403" s="12">
        <v>681</v>
      </c>
    </row>
    <row r="404" spans="1:4">
      <c r="A404" s="10">
        <v>41567</v>
      </c>
      <c r="B404" s="11" t="s">
        <v>72</v>
      </c>
      <c r="C404" s="11" t="s">
        <v>77</v>
      </c>
      <c r="D404" s="12">
        <v>538</v>
      </c>
    </row>
    <row r="405" spans="1:4">
      <c r="A405" s="10">
        <v>41567</v>
      </c>
      <c r="B405" s="11" t="s">
        <v>67</v>
      </c>
      <c r="C405" s="11" t="s">
        <v>90</v>
      </c>
      <c r="D405" s="12">
        <v>562</v>
      </c>
    </row>
    <row r="406" spans="1:4">
      <c r="A406" s="10">
        <v>41571</v>
      </c>
      <c r="B406" s="11" t="s">
        <v>72</v>
      </c>
      <c r="C406" s="11" t="s">
        <v>82</v>
      </c>
      <c r="D406" s="12">
        <v>97</v>
      </c>
    </row>
    <row r="407" spans="1:4">
      <c r="A407" s="10">
        <v>41569</v>
      </c>
      <c r="B407" s="11" t="s">
        <v>76</v>
      </c>
      <c r="C407" s="11" t="s">
        <v>94</v>
      </c>
      <c r="D407" s="12">
        <v>583</v>
      </c>
    </row>
    <row r="408" spans="1:4">
      <c r="A408" s="10">
        <v>41572</v>
      </c>
      <c r="B408" s="11" t="s">
        <v>72</v>
      </c>
      <c r="C408" s="11" t="s">
        <v>78</v>
      </c>
      <c r="D408" s="12">
        <v>268</v>
      </c>
    </row>
    <row r="409" spans="1:4">
      <c r="A409" s="10">
        <v>41573</v>
      </c>
      <c r="B409" s="11" t="s">
        <v>72</v>
      </c>
      <c r="C409" s="11" t="s">
        <v>92</v>
      </c>
      <c r="D409" s="12">
        <v>443</v>
      </c>
    </row>
    <row r="410" spans="1:4">
      <c r="A410" s="10">
        <v>41573</v>
      </c>
      <c r="B410" s="11" t="s">
        <v>67</v>
      </c>
      <c r="C410" s="11" t="s">
        <v>93</v>
      </c>
      <c r="D410" s="12">
        <v>455</v>
      </c>
    </row>
    <row r="411" spans="1:4">
      <c r="A411" s="10">
        <v>41570</v>
      </c>
      <c r="B411" s="11" t="s">
        <v>76</v>
      </c>
      <c r="C411" s="11" t="s">
        <v>68</v>
      </c>
      <c r="D411" s="12">
        <v>663</v>
      </c>
    </row>
    <row r="412" spans="1:4">
      <c r="A412" s="10">
        <v>41569</v>
      </c>
      <c r="B412" s="11" t="s">
        <v>67</v>
      </c>
      <c r="C412" s="11" t="s">
        <v>89</v>
      </c>
      <c r="D412" s="12">
        <v>518</v>
      </c>
    </row>
    <row r="413" spans="1:4">
      <c r="A413" s="10">
        <v>41572</v>
      </c>
      <c r="B413" s="11" t="s">
        <v>67</v>
      </c>
      <c r="C413" s="11" t="s">
        <v>79</v>
      </c>
      <c r="D413" s="12">
        <v>621</v>
      </c>
    </row>
    <row r="414" spans="1:4">
      <c r="A414" s="10">
        <v>41568</v>
      </c>
      <c r="B414" s="11" t="s">
        <v>72</v>
      </c>
      <c r="C414" s="11" t="s">
        <v>89</v>
      </c>
      <c r="D414" s="12">
        <v>645</v>
      </c>
    </row>
    <row r="415" spans="1:4">
      <c r="A415" s="10">
        <v>41568</v>
      </c>
      <c r="B415" s="11" t="s">
        <v>76</v>
      </c>
      <c r="C415" s="11" t="s">
        <v>89</v>
      </c>
      <c r="D415" s="12">
        <v>131</v>
      </c>
    </row>
    <row r="416" spans="1:4">
      <c r="A416" s="10">
        <v>41571</v>
      </c>
      <c r="B416" s="11" t="s">
        <v>76</v>
      </c>
      <c r="C416" s="11" t="s">
        <v>69</v>
      </c>
      <c r="D416" s="12">
        <v>130</v>
      </c>
    </row>
    <row r="417" spans="1:4">
      <c r="A417" s="10">
        <v>41573</v>
      </c>
      <c r="B417" s="11" t="s">
        <v>67</v>
      </c>
      <c r="C417" s="11" t="s">
        <v>95</v>
      </c>
      <c r="D417" s="12">
        <v>415</v>
      </c>
    </row>
    <row r="418" spans="1:4">
      <c r="A418" s="10">
        <v>41570</v>
      </c>
      <c r="B418" s="11" t="s">
        <v>76</v>
      </c>
      <c r="C418" s="11" t="s">
        <v>86</v>
      </c>
      <c r="D418" s="12">
        <v>119</v>
      </c>
    </row>
    <row r="419" spans="1:4">
      <c r="A419" s="10">
        <v>41569</v>
      </c>
      <c r="B419" s="11" t="s">
        <v>76</v>
      </c>
      <c r="C419" s="11" t="s">
        <v>69</v>
      </c>
      <c r="D419" s="12">
        <v>307</v>
      </c>
    </row>
    <row r="420" spans="1:4">
      <c r="A420" s="10">
        <v>41568</v>
      </c>
      <c r="B420" s="11" t="s">
        <v>76</v>
      </c>
      <c r="C420" s="11" t="s">
        <v>84</v>
      </c>
      <c r="D420" s="12">
        <v>472</v>
      </c>
    </row>
    <row r="421" spans="1:4">
      <c r="A421" s="10">
        <v>41571</v>
      </c>
      <c r="B421" s="11" t="s">
        <v>76</v>
      </c>
      <c r="C421" s="11" t="s">
        <v>77</v>
      </c>
      <c r="D421" s="12">
        <v>136</v>
      </c>
    </row>
    <row r="422" spans="1:4">
      <c r="A422" s="10">
        <v>41568</v>
      </c>
      <c r="B422" s="11" t="s">
        <v>72</v>
      </c>
      <c r="C422" s="11" t="s">
        <v>89</v>
      </c>
      <c r="D422" s="12">
        <v>586</v>
      </c>
    </row>
    <row r="423" spans="1:4">
      <c r="A423" s="10">
        <v>41569</v>
      </c>
      <c r="B423" s="11" t="s">
        <v>67</v>
      </c>
      <c r="C423" s="11" t="s">
        <v>89</v>
      </c>
      <c r="D423" s="12">
        <v>215</v>
      </c>
    </row>
    <row r="424" spans="1:4">
      <c r="A424" s="10">
        <v>41569</v>
      </c>
      <c r="B424" s="11" t="s">
        <v>72</v>
      </c>
      <c r="C424" s="11" t="s">
        <v>78</v>
      </c>
      <c r="D424" s="12">
        <v>562</v>
      </c>
    </row>
    <row r="425" spans="1:4">
      <c r="A425" s="10">
        <v>41568</v>
      </c>
      <c r="B425" s="11" t="s">
        <v>76</v>
      </c>
      <c r="C425" s="11" t="s">
        <v>74</v>
      </c>
      <c r="D425" s="12">
        <v>662</v>
      </c>
    </row>
    <row r="426" spans="1:4">
      <c r="A426" s="10">
        <v>41570</v>
      </c>
      <c r="B426" s="11" t="s">
        <v>76</v>
      </c>
      <c r="C426" s="11" t="s">
        <v>86</v>
      </c>
      <c r="D426" s="12">
        <v>419</v>
      </c>
    </row>
    <row r="427" spans="1:4">
      <c r="A427" s="10">
        <v>41571</v>
      </c>
      <c r="B427" s="11" t="s">
        <v>67</v>
      </c>
      <c r="C427" s="11" t="s">
        <v>94</v>
      </c>
      <c r="D427" s="12">
        <v>508</v>
      </c>
    </row>
    <row r="428" spans="1:4">
      <c r="A428" s="10">
        <v>41570</v>
      </c>
      <c r="B428" s="11" t="s">
        <v>76</v>
      </c>
      <c r="C428" s="11" t="s">
        <v>89</v>
      </c>
      <c r="D428" s="12">
        <v>170</v>
      </c>
    </row>
    <row r="429" spans="1:4">
      <c r="A429" s="10">
        <v>41567</v>
      </c>
      <c r="B429" s="11" t="s">
        <v>76</v>
      </c>
      <c r="C429" s="11" t="s">
        <v>87</v>
      </c>
      <c r="D429" s="12">
        <v>586</v>
      </c>
    </row>
    <row r="430" spans="1:4">
      <c r="A430" s="10">
        <v>41571</v>
      </c>
      <c r="B430" s="11" t="s">
        <v>76</v>
      </c>
      <c r="C430" s="11" t="s">
        <v>70</v>
      </c>
      <c r="D430" s="12">
        <v>219</v>
      </c>
    </row>
    <row r="431" spans="1:4">
      <c r="A431" s="10">
        <v>41571</v>
      </c>
      <c r="B431" s="11" t="s">
        <v>76</v>
      </c>
      <c r="C431" s="11" t="s">
        <v>73</v>
      </c>
      <c r="D431" s="12">
        <v>339</v>
      </c>
    </row>
    <row r="432" spans="1:4">
      <c r="A432" s="10">
        <v>41571</v>
      </c>
      <c r="B432" s="11" t="s">
        <v>76</v>
      </c>
      <c r="C432" s="11" t="s">
        <v>82</v>
      </c>
      <c r="D432" s="12">
        <v>198</v>
      </c>
    </row>
    <row r="433" spans="1:4">
      <c r="A433" s="10">
        <v>41570</v>
      </c>
      <c r="B433" s="11" t="s">
        <v>72</v>
      </c>
      <c r="C433" s="11" t="s">
        <v>77</v>
      </c>
      <c r="D433" s="12">
        <v>674</v>
      </c>
    </row>
    <row r="434" spans="1:4">
      <c r="A434" s="10">
        <v>41568</v>
      </c>
      <c r="B434" s="11" t="s">
        <v>72</v>
      </c>
      <c r="C434" s="11" t="s">
        <v>69</v>
      </c>
      <c r="D434" s="12">
        <v>399</v>
      </c>
    </row>
    <row r="435" spans="1:4">
      <c r="A435" s="10">
        <v>41569</v>
      </c>
      <c r="B435" s="11" t="s">
        <v>72</v>
      </c>
      <c r="C435" s="11" t="s">
        <v>77</v>
      </c>
      <c r="D435" s="12">
        <v>615</v>
      </c>
    </row>
    <row r="436" spans="1:4">
      <c r="A436" s="10">
        <v>41568</v>
      </c>
      <c r="B436" s="11" t="s">
        <v>72</v>
      </c>
      <c r="C436" s="11" t="s">
        <v>86</v>
      </c>
      <c r="D436" s="12">
        <v>107</v>
      </c>
    </row>
    <row r="437" spans="1:4">
      <c r="A437" s="10">
        <v>41571</v>
      </c>
      <c r="B437" s="11" t="s">
        <v>72</v>
      </c>
      <c r="C437" s="11" t="s">
        <v>92</v>
      </c>
      <c r="D437" s="12">
        <v>199</v>
      </c>
    </row>
    <row r="438" spans="1:4">
      <c r="A438" s="10">
        <v>41572</v>
      </c>
      <c r="B438" s="11" t="s">
        <v>67</v>
      </c>
      <c r="C438" s="11" t="s">
        <v>73</v>
      </c>
      <c r="D438" s="12">
        <v>23</v>
      </c>
    </row>
    <row r="439" spans="1:4">
      <c r="A439" s="10">
        <v>41567</v>
      </c>
      <c r="B439" s="11" t="s">
        <v>76</v>
      </c>
      <c r="C439" s="11" t="s">
        <v>78</v>
      </c>
      <c r="D439" s="12">
        <v>297</v>
      </c>
    </row>
    <row r="440" spans="1:4">
      <c r="A440" s="10">
        <v>41567</v>
      </c>
      <c r="B440" s="11" t="s">
        <v>72</v>
      </c>
      <c r="C440" s="11" t="s">
        <v>73</v>
      </c>
      <c r="D440" s="12">
        <v>273</v>
      </c>
    </row>
    <row r="441" spans="1:4">
      <c r="A441" s="10">
        <v>41573</v>
      </c>
      <c r="B441" s="11" t="s">
        <v>67</v>
      </c>
      <c r="C441" s="11" t="s">
        <v>92</v>
      </c>
      <c r="D441" s="12">
        <v>281</v>
      </c>
    </row>
    <row r="442" spans="1:4">
      <c r="A442" s="10">
        <v>41569</v>
      </c>
      <c r="B442" s="11" t="s">
        <v>76</v>
      </c>
      <c r="C442" s="11" t="s">
        <v>73</v>
      </c>
      <c r="D442" s="12">
        <v>227</v>
      </c>
    </row>
    <row r="443" spans="1:4">
      <c r="A443" s="10">
        <v>41573</v>
      </c>
      <c r="B443" s="11" t="s">
        <v>72</v>
      </c>
      <c r="C443" s="11" t="s">
        <v>70</v>
      </c>
      <c r="D443" s="12">
        <v>156</v>
      </c>
    </row>
    <row r="444" spans="1:4">
      <c r="A444" s="10">
        <v>41572</v>
      </c>
      <c r="B444" s="11" t="s">
        <v>76</v>
      </c>
      <c r="C444" s="11" t="s">
        <v>73</v>
      </c>
      <c r="D444" s="12">
        <v>534</v>
      </c>
    </row>
    <row r="445" spans="1:4">
      <c r="A445" s="10">
        <v>41569</v>
      </c>
      <c r="B445" s="11" t="s">
        <v>76</v>
      </c>
      <c r="C445" s="11" t="s">
        <v>69</v>
      </c>
      <c r="D445" s="12">
        <v>459</v>
      </c>
    </row>
    <row r="446" spans="1:4">
      <c r="A446" s="10">
        <v>41568</v>
      </c>
      <c r="B446" s="11" t="s">
        <v>76</v>
      </c>
      <c r="C446" s="11" t="s">
        <v>70</v>
      </c>
      <c r="D446" s="12">
        <v>131</v>
      </c>
    </row>
    <row r="447" spans="1:4">
      <c r="A447" s="10">
        <v>41567</v>
      </c>
      <c r="B447" s="11" t="s">
        <v>67</v>
      </c>
      <c r="C447" s="11" t="s">
        <v>70</v>
      </c>
      <c r="D447" s="12">
        <v>339</v>
      </c>
    </row>
    <row r="448" spans="1:4">
      <c r="A448" s="10">
        <v>41568</v>
      </c>
      <c r="B448" s="11" t="s">
        <v>72</v>
      </c>
      <c r="C448" s="11" t="s">
        <v>74</v>
      </c>
      <c r="D448" s="12">
        <v>634</v>
      </c>
    </row>
    <row r="449" spans="1:4">
      <c r="A449" s="10">
        <v>41568</v>
      </c>
      <c r="B449" s="11" t="s">
        <v>72</v>
      </c>
      <c r="C449" s="11" t="s">
        <v>77</v>
      </c>
      <c r="D449" s="12">
        <v>450</v>
      </c>
    </row>
    <row r="450" spans="1:4">
      <c r="A450" s="10">
        <v>41572</v>
      </c>
      <c r="B450" s="11" t="s">
        <v>67</v>
      </c>
      <c r="C450" s="11" t="s">
        <v>85</v>
      </c>
      <c r="D450" s="12">
        <v>65</v>
      </c>
    </row>
    <row r="451" spans="1:4">
      <c r="A451" s="10">
        <v>41573</v>
      </c>
      <c r="B451" s="11" t="s">
        <v>76</v>
      </c>
      <c r="C451" s="11" t="s">
        <v>91</v>
      </c>
      <c r="D451" s="12">
        <v>530</v>
      </c>
    </row>
    <row r="452" spans="1:4">
      <c r="A452" s="10">
        <v>41569</v>
      </c>
      <c r="B452" s="11" t="s">
        <v>76</v>
      </c>
      <c r="C452" s="11" t="s">
        <v>77</v>
      </c>
      <c r="D452" s="12">
        <v>74</v>
      </c>
    </row>
    <row r="453" spans="1:4">
      <c r="A453" s="10">
        <v>41573</v>
      </c>
      <c r="B453" s="11" t="s">
        <v>76</v>
      </c>
      <c r="C453" s="11" t="s">
        <v>80</v>
      </c>
      <c r="D453" s="12">
        <v>93</v>
      </c>
    </row>
    <row r="454" spans="1:4">
      <c r="A454" s="10">
        <v>41568</v>
      </c>
      <c r="B454" s="11" t="s">
        <v>72</v>
      </c>
      <c r="C454" s="11" t="s">
        <v>90</v>
      </c>
      <c r="D454" s="12">
        <v>337</v>
      </c>
    </row>
    <row r="455" spans="1:4">
      <c r="A455" s="10">
        <v>41567</v>
      </c>
      <c r="B455" s="11" t="s">
        <v>72</v>
      </c>
      <c r="C455" s="11" t="s">
        <v>89</v>
      </c>
      <c r="D455" s="12">
        <v>583</v>
      </c>
    </row>
    <row r="456" spans="1:4">
      <c r="A456" s="10">
        <v>41570</v>
      </c>
      <c r="B456" s="11" t="s">
        <v>67</v>
      </c>
      <c r="C456" s="11" t="s">
        <v>70</v>
      </c>
      <c r="D456" s="12">
        <v>374</v>
      </c>
    </row>
    <row r="457" spans="1:4">
      <c r="A457" s="10">
        <v>41569</v>
      </c>
      <c r="B457" s="11" t="s">
        <v>72</v>
      </c>
      <c r="C457" s="11" t="s">
        <v>69</v>
      </c>
      <c r="D457" s="12">
        <v>243</v>
      </c>
    </row>
    <row r="458" spans="1:4">
      <c r="A458" s="10">
        <v>41568</v>
      </c>
      <c r="B458" s="11" t="s">
        <v>67</v>
      </c>
      <c r="C458" s="11" t="s">
        <v>75</v>
      </c>
      <c r="D458" s="12">
        <v>225</v>
      </c>
    </row>
    <row r="459" spans="1:4">
      <c r="A459" s="10">
        <v>41573</v>
      </c>
      <c r="B459" s="11" t="s">
        <v>76</v>
      </c>
      <c r="C459" s="11" t="s">
        <v>86</v>
      </c>
      <c r="D459" s="12">
        <v>160</v>
      </c>
    </row>
    <row r="460" spans="1:4">
      <c r="A460" s="10">
        <v>41568</v>
      </c>
      <c r="B460" s="11" t="s">
        <v>67</v>
      </c>
      <c r="C460" s="11" t="s">
        <v>91</v>
      </c>
      <c r="D460" s="12">
        <v>502</v>
      </c>
    </row>
    <row r="461" spans="1:4">
      <c r="A461" s="10">
        <v>41572</v>
      </c>
      <c r="B461" s="11" t="s">
        <v>72</v>
      </c>
      <c r="C461" s="11" t="s">
        <v>73</v>
      </c>
      <c r="D461" s="12">
        <v>221</v>
      </c>
    </row>
    <row r="462" spans="1:4">
      <c r="A462" s="10">
        <v>41568</v>
      </c>
      <c r="B462" s="11" t="s">
        <v>76</v>
      </c>
      <c r="C462" s="11" t="s">
        <v>95</v>
      </c>
      <c r="D462" s="12">
        <v>516</v>
      </c>
    </row>
    <row r="463" spans="1:4">
      <c r="A463" s="10">
        <v>41573</v>
      </c>
      <c r="B463" s="11" t="s">
        <v>67</v>
      </c>
      <c r="C463" s="11" t="s">
        <v>86</v>
      </c>
      <c r="D463" s="12">
        <v>678</v>
      </c>
    </row>
    <row r="464" spans="1:4">
      <c r="A464" s="10">
        <v>41569</v>
      </c>
      <c r="B464" s="11" t="s">
        <v>72</v>
      </c>
      <c r="C464" s="11" t="s">
        <v>81</v>
      </c>
      <c r="D464" s="12">
        <v>637</v>
      </c>
    </row>
    <row r="465" spans="1:4">
      <c r="A465" s="10">
        <v>41568</v>
      </c>
      <c r="B465" s="11" t="s">
        <v>72</v>
      </c>
      <c r="C465" s="11" t="s">
        <v>86</v>
      </c>
      <c r="D465" s="12">
        <v>525</v>
      </c>
    </row>
    <row r="466" spans="1:4">
      <c r="A466" s="10">
        <v>41572</v>
      </c>
      <c r="B466" s="11" t="s">
        <v>76</v>
      </c>
      <c r="C466" s="11" t="s">
        <v>81</v>
      </c>
      <c r="D466" s="12">
        <v>540</v>
      </c>
    </row>
    <row r="467" spans="1:4">
      <c r="A467" s="10">
        <v>41570</v>
      </c>
      <c r="B467" s="11" t="s">
        <v>67</v>
      </c>
      <c r="C467" s="11" t="s">
        <v>69</v>
      </c>
      <c r="D467" s="12">
        <v>245</v>
      </c>
    </row>
    <row r="468" spans="1:4">
      <c r="A468" s="10">
        <v>41567</v>
      </c>
      <c r="B468" s="11" t="s">
        <v>72</v>
      </c>
      <c r="C468" s="11" t="s">
        <v>81</v>
      </c>
      <c r="D468" s="12">
        <v>290</v>
      </c>
    </row>
    <row r="469" spans="1:4">
      <c r="A469" s="10">
        <v>41568</v>
      </c>
      <c r="B469" s="11" t="s">
        <v>76</v>
      </c>
      <c r="C469" s="11" t="s">
        <v>73</v>
      </c>
      <c r="D469" s="12">
        <v>376</v>
      </c>
    </row>
    <row r="470" spans="1:4">
      <c r="A470" s="10">
        <v>41569</v>
      </c>
      <c r="B470" s="11" t="s">
        <v>76</v>
      </c>
      <c r="C470" s="11" t="s">
        <v>69</v>
      </c>
      <c r="D470" s="12">
        <v>226</v>
      </c>
    </row>
    <row r="471" spans="1:4">
      <c r="A471" s="10">
        <v>41573</v>
      </c>
      <c r="B471" s="11" t="s">
        <v>72</v>
      </c>
      <c r="C471" s="11" t="s">
        <v>70</v>
      </c>
      <c r="D471" s="12">
        <v>38</v>
      </c>
    </row>
    <row r="472" spans="1:4">
      <c r="A472" s="10">
        <v>41570</v>
      </c>
      <c r="B472" s="11" t="s">
        <v>72</v>
      </c>
      <c r="C472" s="11" t="s">
        <v>78</v>
      </c>
      <c r="D472" s="12">
        <v>283</v>
      </c>
    </row>
    <row r="473" spans="1:4">
      <c r="A473" s="10">
        <v>41568</v>
      </c>
      <c r="B473" s="11" t="s">
        <v>67</v>
      </c>
      <c r="C473" s="11" t="s">
        <v>77</v>
      </c>
      <c r="D473" s="12">
        <v>480</v>
      </c>
    </row>
    <row r="474" spans="1:4">
      <c r="A474" s="10">
        <v>41568</v>
      </c>
      <c r="B474" s="11" t="s">
        <v>67</v>
      </c>
      <c r="C474" s="11" t="s">
        <v>88</v>
      </c>
      <c r="D474" s="12">
        <v>482</v>
      </c>
    </row>
    <row r="475" spans="1:4">
      <c r="A475" s="10">
        <v>41573</v>
      </c>
      <c r="B475" s="11" t="s">
        <v>76</v>
      </c>
      <c r="C475" s="11" t="s">
        <v>69</v>
      </c>
      <c r="D475" s="12">
        <v>37</v>
      </c>
    </row>
    <row r="476" spans="1:4">
      <c r="A476" s="10">
        <v>41570</v>
      </c>
      <c r="B476" s="11" t="s">
        <v>76</v>
      </c>
      <c r="C476" s="11" t="s">
        <v>91</v>
      </c>
      <c r="D476" s="12">
        <v>279</v>
      </c>
    </row>
    <row r="477" spans="1:4">
      <c r="A477" s="10">
        <v>41570</v>
      </c>
      <c r="B477" s="11" t="s">
        <v>67</v>
      </c>
      <c r="C477" s="11" t="s">
        <v>89</v>
      </c>
      <c r="D477" s="12">
        <v>152</v>
      </c>
    </row>
    <row r="478" spans="1:4">
      <c r="A478" s="10">
        <v>41567</v>
      </c>
      <c r="B478" s="11" t="s">
        <v>72</v>
      </c>
      <c r="C478" s="11" t="s">
        <v>74</v>
      </c>
      <c r="D478" s="12">
        <v>419</v>
      </c>
    </row>
    <row r="479" spans="1:4">
      <c r="A479" s="10">
        <v>41570</v>
      </c>
      <c r="B479" s="11" t="s">
        <v>67</v>
      </c>
      <c r="C479" s="11" t="s">
        <v>84</v>
      </c>
      <c r="D479" s="12">
        <v>652</v>
      </c>
    </row>
    <row r="480" spans="1:4">
      <c r="A480" s="10">
        <v>41568</v>
      </c>
      <c r="B480" s="11" t="s">
        <v>76</v>
      </c>
      <c r="C480" s="11" t="s">
        <v>73</v>
      </c>
      <c r="D480" s="12">
        <v>151</v>
      </c>
    </row>
    <row r="481" spans="1:4">
      <c r="A481" s="10">
        <v>41567</v>
      </c>
      <c r="B481" s="11" t="s">
        <v>72</v>
      </c>
      <c r="C481" s="11" t="s">
        <v>77</v>
      </c>
      <c r="D481" s="12">
        <v>99</v>
      </c>
    </row>
    <row r="482" spans="1:4">
      <c r="A482" s="10">
        <v>41572</v>
      </c>
      <c r="B482" s="11" t="s">
        <v>72</v>
      </c>
      <c r="C482" s="11" t="s">
        <v>81</v>
      </c>
      <c r="D482" s="12">
        <v>432</v>
      </c>
    </row>
    <row r="483" spans="1:4">
      <c r="A483" s="10">
        <v>41568</v>
      </c>
      <c r="B483" s="11" t="s">
        <v>72</v>
      </c>
      <c r="C483" s="11" t="s">
        <v>77</v>
      </c>
      <c r="D483" s="12">
        <v>174</v>
      </c>
    </row>
    <row r="484" spans="1:4">
      <c r="A484" s="10">
        <v>41570</v>
      </c>
      <c r="B484" s="11" t="s">
        <v>72</v>
      </c>
      <c r="C484" s="11" t="s">
        <v>90</v>
      </c>
      <c r="D484" s="12">
        <v>209</v>
      </c>
    </row>
    <row r="485" spans="1:4">
      <c r="A485" s="10">
        <v>41570</v>
      </c>
      <c r="B485" s="11" t="s">
        <v>72</v>
      </c>
      <c r="C485" s="11" t="s">
        <v>81</v>
      </c>
      <c r="D485" s="12">
        <v>261</v>
      </c>
    </row>
    <row r="486" spans="1:4">
      <c r="A486" s="10">
        <v>41573</v>
      </c>
      <c r="B486" s="11" t="s">
        <v>76</v>
      </c>
      <c r="C486" s="11" t="s">
        <v>81</v>
      </c>
      <c r="D486" s="12">
        <v>633</v>
      </c>
    </row>
    <row r="487" spans="1:4">
      <c r="A487" s="10">
        <v>41573</v>
      </c>
      <c r="B487" s="11" t="s">
        <v>67</v>
      </c>
      <c r="C487" s="11" t="s">
        <v>91</v>
      </c>
      <c r="D487" s="12">
        <v>308</v>
      </c>
    </row>
    <row r="488" spans="1:4">
      <c r="A488" s="10">
        <v>41573</v>
      </c>
      <c r="B488" s="11" t="s">
        <v>67</v>
      </c>
      <c r="C488" s="11" t="s">
        <v>81</v>
      </c>
      <c r="D488" s="12">
        <v>319</v>
      </c>
    </row>
    <row r="489" spans="1:4">
      <c r="A489" s="10">
        <v>41567</v>
      </c>
      <c r="B489" s="11" t="s">
        <v>67</v>
      </c>
      <c r="C489" s="11" t="s">
        <v>74</v>
      </c>
      <c r="D489" s="12">
        <v>400</v>
      </c>
    </row>
    <row r="490" spans="1:4">
      <c r="A490" s="10">
        <v>41571</v>
      </c>
      <c r="B490" s="11" t="s">
        <v>67</v>
      </c>
      <c r="C490" s="11" t="s">
        <v>94</v>
      </c>
      <c r="D490" s="12">
        <v>20</v>
      </c>
    </row>
    <row r="491" spans="1:4">
      <c r="A491" s="10">
        <v>41573</v>
      </c>
      <c r="B491" s="11" t="s">
        <v>72</v>
      </c>
      <c r="C491" s="11" t="s">
        <v>70</v>
      </c>
      <c r="D491" s="12">
        <v>151</v>
      </c>
    </row>
    <row r="492" spans="1:4">
      <c r="A492" s="10">
        <v>41568</v>
      </c>
      <c r="B492" s="11" t="s">
        <v>76</v>
      </c>
      <c r="C492" s="11" t="s">
        <v>94</v>
      </c>
      <c r="D492" s="12">
        <v>345</v>
      </c>
    </row>
    <row r="493" spans="1:4">
      <c r="A493" s="10">
        <v>41571</v>
      </c>
      <c r="B493" s="11" t="s">
        <v>76</v>
      </c>
      <c r="C493" s="11" t="s">
        <v>91</v>
      </c>
      <c r="D493" s="12">
        <v>78</v>
      </c>
    </row>
    <row r="494" spans="1:4">
      <c r="A494" s="10">
        <v>41570</v>
      </c>
      <c r="B494" s="11" t="s">
        <v>67</v>
      </c>
      <c r="C494" s="11" t="s">
        <v>77</v>
      </c>
      <c r="D494" s="12">
        <v>81</v>
      </c>
    </row>
    <row r="495" spans="1:4">
      <c r="A495" s="10">
        <v>41570</v>
      </c>
      <c r="B495" s="11" t="s">
        <v>67</v>
      </c>
      <c r="C495" s="11" t="s">
        <v>78</v>
      </c>
      <c r="D495" s="12">
        <v>563</v>
      </c>
    </row>
    <row r="496" spans="1:4">
      <c r="A496" s="10">
        <v>41567</v>
      </c>
      <c r="B496" s="11" t="s">
        <v>76</v>
      </c>
      <c r="C496" s="11" t="s">
        <v>78</v>
      </c>
      <c r="D496" s="12">
        <v>344</v>
      </c>
    </row>
    <row r="497" spans="1:4">
      <c r="A497" s="10">
        <v>41570</v>
      </c>
      <c r="B497" s="11" t="s">
        <v>67</v>
      </c>
      <c r="C497" s="11" t="s">
        <v>81</v>
      </c>
      <c r="D497" s="12">
        <v>103</v>
      </c>
    </row>
    <row r="498" spans="1:4">
      <c r="A498" s="10">
        <v>41567</v>
      </c>
      <c r="B498" s="11" t="s">
        <v>76</v>
      </c>
      <c r="C498" s="11" t="s">
        <v>91</v>
      </c>
      <c r="D498" s="12">
        <v>378</v>
      </c>
    </row>
    <row r="499" spans="1:4">
      <c r="A499" s="10">
        <v>41573</v>
      </c>
      <c r="B499" s="11" t="s">
        <v>67</v>
      </c>
      <c r="C499" s="11" t="s">
        <v>81</v>
      </c>
      <c r="D499" s="12">
        <v>546</v>
      </c>
    </row>
    <row r="500" spans="1:4">
      <c r="A500" s="10">
        <v>41570</v>
      </c>
      <c r="B500" s="11" t="s">
        <v>67</v>
      </c>
      <c r="C500" s="11" t="s">
        <v>70</v>
      </c>
      <c r="D500" s="12">
        <v>649</v>
      </c>
    </row>
    <row r="501" spans="1:4">
      <c r="A501" s="10">
        <v>41568</v>
      </c>
      <c r="B501" s="11" t="s">
        <v>72</v>
      </c>
      <c r="C501" s="11" t="s">
        <v>78</v>
      </c>
      <c r="D501" s="12">
        <v>387</v>
      </c>
    </row>
    <row r="502" spans="1:4">
      <c r="A502" s="10">
        <v>41567</v>
      </c>
      <c r="B502" s="11" t="s">
        <v>67</v>
      </c>
      <c r="C502" s="11" t="s">
        <v>69</v>
      </c>
      <c r="D502" s="12">
        <v>468</v>
      </c>
    </row>
    <row r="503" spans="1:4">
      <c r="A503" s="10">
        <v>41569</v>
      </c>
      <c r="B503" s="11" t="s">
        <v>76</v>
      </c>
      <c r="C503" s="11" t="s">
        <v>91</v>
      </c>
      <c r="D503" s="12">
        <v>36</v>
      </c>
    </row>
    <row r="504" spans="1:4">
      <c r="A504" s="10">
        <v>41570</v>
      </c>
      <c r="B504" s="11" t="s">
        <v>76</v>
      </c>
      <c r="C504" s="11" t="s">
        <v>92</v>
      </c>
      <c r="D504" s="12">
        <v>576</v>
      </c>
    </row>
    <row r="505" spans="1:4">
      <c r="A505" s="10">
        <v>41571</v>
      </c>
      <c r="B505" s="11" t="s">
        <v>72</v>
      </c>
      <c r="C505" s="11" t="s">
        <v>70</v>
      </c>
      <c r="D505" s="12">
        <v>304</v>
      </c>
    </row>
    <row r="506" spans="1:4">
      <c r="A506" s="10">
        <v>41570</v>
      </c>
      <c r="B506" s="11" t="s">
        <v>72</v>
      </c>
      <c r="C506" s="11" t="s">
        <v>94</v>
      </c>
      <c r="D506" s="12">
        <v>648</v>
      </c>
    </row>
    <row r="507" spans="1:4">
      <c r="A507" s="10">
        <v>41568</v>
      </c>
      <c r="B507" s="11" t="s">
        <v>76</v>
      </c>
      <c r="C507" s="11" t="s">
        <v>92</v>
      </c>
      <c r="D507" s="12">
        <v>624</v>
      </c>
    </row>
    <row r="508" spans="1:4">
      <c r="A508" s="10">
        <v>41570</v>
      </c>
      <c r="B508" s="11" t="s">
        <v>76</v>
      </c>
      <c r="C508" s="11" t="s">
        <v>78</v>
      </c>
      <c r="D508" s="12">
        <v>199</v>
      </c>
    </row>
    <row r="509" spans="1:4">
      <c r="A509" s="10">
        <v>41569</v>
      </c>
      <c r="B509" s="11" t="s">
        <v>67</v>
      </c>
      <c r="C509" s="11" t="s">
        <v>89</v>
      </c>
      <c r="D509" s="12">
        <v>21</v>
      </c>
    </row>
    <row r="510" spans="1:4">
      <c r="A510" s="10">
        <v>41570</v>
      </c>
      <c r="B510" s="11" t="s">
        <v>72</v>
      </c>
      <c r="C510" s="11" t="s">
        <v>93</v>
      </c>
      <c r="D510" s="12">
        <v>173</v>
      </c>
    </row>
    <row r="511" spans="1:4">
      <c r="A511" s="10">
        <v>41570</v>
      </c>
      <c r="B511" s="11" t="s">
        <v>72</v>
      </c>
      <c r="C511" s="11" t="s">
        <v>77</v>
      </c>
      <c r="D511" s="12">
        <v>149</v>
      </c>
    </row>
    <row r="512" spans="1:4">
      <c r="A512" s="10">
        <v>41571</v>
      </c>
      <c r="B512" s="11" t="s">
        <v>67</v>
      </c>
      <c r="C512" s="11" t="s">
        <v>70</v>
      </c>
      <c r="D512" s="12">
        <v>294</v>
      </c>
    </row>
    <row r="513" spans="1:4">
      <c r="A513" s="10">
        <v>41567</v>
      </c>
      <c r="B513" s="11" t="s">
        <v>76</v>
      </c>
      <c r="C513" s="11" t="s">
        <v>73</v>
      </c>
      <c r="D513" s="12">
        <v>225</v>
      </c>
    </row>
    <row r="514" spans="1:4">
      <c r="A514" s="10">
        <v>41569</v>
      </c>
      <c r="B514" s="11" t="s">
        <v>76</v>
      </c>
      <c r="C514" s="11" t="s">
        <v>87</v>
      </c>
      <c r="D514" s="12">
        <v>276</v>
      </c>
    </row>
    <row r="515" spans="1:4">
      <c r="A515" s="10">
        <v>41569</v>
      </c>
      <c r="B515" s="11" t="s">
        <v>72</v>
      </c>
      <c r="C515" s="11" t="s">
        <v>86</v>
      </c>
      <c r="D515" s="12">
        <v>666</v>
      </c>
    </row>
    <row r="516" spans="1:4">
      <c r="A516" s="10">
        <v>41570</v>
      </c>
      <c r="B516" s="11" t="s">
        <v>67</v>
      </c>
      <c r="C516" s="11" t="s">
        <v>68</v>
      </c>
      <c r="D516" s="12">
        <v>616</v>
      </c>
    </row>
    <row r="517" spans="1:4">
      <c r="A517" s="10">
        <v>41568</v>
      </c>
      <c r="B517" s="11" t="s">
        <v>72</v>
      </c>
      <c r="C517" s="11" t="s">
        <v>70</v>
      </c>
      <c r="D517" s="12">
        <v>307</v>
      </c>
    </row>
    <row r="518" spans="1:4">
      <c r="A518" s="10">
        <v>41570</v>
      </c>
      <c r="B518" s="11" t="s">
        <v>76</v>
      </c>
      <c r="C518" s="11" t="s">
        <v>77</v>
      </c>
      <c r="D518" s="12">
        <v>140</v>
      </c>
    </row>
    <row r="519" spans="1:4">
      <c r="A519" s="10">
        <v>41571</v>
      </c>
      <c r="B519" s="11" t="s">
        <v>67</v>
      </c>
      <c r="C519" s="11" t="s">
        <v>70</v>
      </c>
      <c r="D519" s="12">
        <v>632</v>
      </c>
    </row>
    <row r="520" spans="1:4">
      <c r="A520" s="10">
        <v>41572</v>
      </c>
      <c r="B520" s="11" t="s">
        <v>67</v>
      </c>
      <c r="C520" s="11" t="s">
        <v>81</v>
      </c>
      <c r="D520" s="12">
        <v>461</v>
      </c>
    </row>
    <row r="521" spans="1:4">
      <c r="A521" s="10">
        <v>41568</v>
      </c>
      <c r="B521" s="11" t="s">
        <v>67</v>
      </c>
      <c r="C521" s="11" t="s">
        <v>91</v>
      </c>
      <c r="D521" s="12">
        <v>656</v>
      </c>
    </row>
    <row r="522" spans="1:4">
      <c r="A522" s="10">
        <v>41569</v>
      </c>
      <c r="B522" s="11" t="s">
        <v>67</v>
      </c>
      <c r="C522" s="11" t="s">
        <v>94</v>
      </c>
      <c r="D522" s="12">
        <v>158</v>
      </c>
    </row>
    <row r="523" spans="1:4">
      <c r="A523" s="10">
        <v>41570</v>
      </c>
      <c r="B523" s="11" t="s">
        <v>72</v>
      </c>
      <c r="C523" s="11" t="s">
        <v>89</v>
      </c>
      <c r="D523" s="12">
        <v>663</v>
      </c>
    </row>
    <row r="524" spans="1:4">
      <c r="A524" s="10">
        <v>41571</v>
      </c>
      <c r="B524" s="11" t="s">
        <v>76</v>
      </c>
      <c r="C524" s="11" t="s">
        <v>69</v>
      </c>
      <c r="D524" s="12">
        <v>555</v>
      </c>
    </row>
    <row r="525" spans="1:4">
      <c r="A525" s="10">
        <v>41570</v>
      </c>
      <c r="B525" s="11" t="s">
        <v>67</v>
      </c>
      <c r="C525" s="11" t="s">
        <v>83</v>
      </c>
      <c r="D525" s="12">
        <v>489</v>
      </c>
    </row>
    <row r="526" spans="1:4">
      <c r="A526" s="10">
        <v>41569</v>
      </c>
      <c r="B526" s="11" t="s">
        <v>67</v>
      </c>
      <c r="C526" s="11" t="s">
        <v>69</v>
      </c>
      <c r="D526" s="12">
        <v>212</v>
      </c>
    </row>
    <row r="527" spans="1:4">
      <c r="A527" s="10">
        <v>41567</v>
      </c>
      <c r="B527" s="11" t="s">
        <v>76</v>
      </c>
      <c r="C527" s="11" t="s">
        <v>68</v>
      </c>
      <c r="D527" s="12">
        <v>411</v>
      </c>
    </row>
    <row r="528" spans="1:4">
      <c r="A528" s="10">
        <v>41570</v>
      </c>
      <c r="B528" s="11" t="s">
        <v>72</v>
      </c>
      <c r="C528" s="11" t="s">
        <v>70</v>
      </c>
      <c r="D528" s="12">
        <v>343</v>
      </c>
    </row>
    <row r="529" spans="1:4">
      <c r="A529" s="10">
        <v>41569</v>
      </c>
      <c r="B529" s="11" t="s">
        <v>67</v>
      </c>
      <c r="C529" s="11" t="s">
        <v>89</v>
      </c>
      <c r="D529" s="12">
        <v>629</v>
      </c>
    </row>
    <row r="530" spans="1:4">
      <c r="A530" s="10">
        <v>41568</v>
      </c>
      <c r="B530" s="11" t="s">
        <v>72</v>
      </c>
      <c r="C530" s="11" t="s">
        <v>95</v>
      </c>
      <c r="D530" s="12">
        <v>247</v>
      </c>
    </row>
    <row r="531" spans="1:4">
      <c r="A531" s="10">
        <v>41572</v>
      </c>
      <c r="B531" s="11" t="s">
        <v>76</v>
      </c>
      <c r="C531" s="11" t="s">
        <v>86</v>
      </c>
      <c r="D531" s="12">
        <v>180</v>
      </c>
    </row>
    <row r="532" spans="1:4">
      <c r="A532" s="10">
        <v>41572</v>
      </c>
      <c r="B532" s="11" t="s">
        <v>76</v>
      </c>
      <c r="C532" s="11" t="s">
        <v>84</v>
      </c>
      <c r="D532" s="12">
        <v>374</v>
      </c>
    </row>
    <row r="533" spans="1:4">
      <c r="A533" s="10">
        <v>41569</v>
      </c>
      <c r="B533" s="11" t="s">
        <v>67</v>
      </c>
      <c r="C533" s="11" t="s">
        <v>95</v>
      </c>
      <c r="D533" s="12">
        <v>672</v>
      </c>
    </row>
    <row r="534" spans="1:4">
      <c r="A534" s="10">
        <v>41572</v>
      </c>
      <c r="B534" s="11" t="s">
        <v>76</v>
      </c>
      <c r="C534" s="11" t="s">
        <v>78</v>
      </c>
      <c r="D534" s="12">
        <v>484</v>
      </c>
    </row>
    <row r="535" spans="1:4">
      <c r="A535" s="10">
        <v>41573</v>
      </c>
      <c r="B535" s="11" t="s">
        <v>76</v>
      </c>
      <c r="C535" s="11" t="s">
        <v>69</v>
      </c>
      <c r="D535" s="12">
        <v>77</v>
      </c>
    </row>
    <row r="536" spans="1:4">
      <c r="A536" s="10">
        <v>41573</v>
      </c>
      <c r="B536" s="11" t="s">
        <v>67</v>
      </c>
      <c r="C536" s="11" t="s">
        <v>88</v>
      </c>
      <c r="D536" s="12">
        <v>315</v>
      </c>
    </row>
    <row r="537" spans="1:4">
      <c r="A537" s="10">
        <v>41570</v>
      </c>
      <c r="B537" s="11" t="s">
        <v>76</v>
      </c>
      <c r="C537" s="11" t="s">
        <v>73</v>
      </c>
      <c r="D537" s="12">
        <v>462</v>
      </c>
    </row>
    <row r="538" spans="1:4">
      <c r="A538" s="10">
        <v>41569</v>
      </c>
      <c r="B538" s="11" t="s">
        <v>76</v>
      </c>
      <c r="C538" s="11" t="s">
        <v>86</v>
      </c>
      <c r="D538" s="12">
        <v>470</v>
      </c>
    </row>
    <row r="539" spans="1:4">
      <c r="A539" s="10">
        <v>41567</v>
      </c>
      <c r="B539" s="11" t="s">
        <v>67</v>
      </c>
      <c r="C539" s="11" t="s">
        <v>78</v>
      </c>
      <c r="D539" s="12">
        <v>102</v>
      </c>
    </row>
    <row r="540" spans="1:4">
      <c r="A540" s="10">
        <v>41567</v>
      </c>
      <c r="B540" s="11" t="s">
        <v>67</v>
      </c>
      <c r="C540" s="11" t="s">
        <v>92</v>
      </c>
      <c r="D540" s="12">
        <v>161</v>
      </c>
    </row>
    <row r="541" spans="1:4">
      <c r="A541" s="10">
        <v>41568</v>
      </c>
      <c r="B541" s="11" t="s">
        <v>72</v>
      </c>
      <c r="C541" s="11" t="s">
        <v>84</v>
      </c>
      <c r="D541" s="12">
        <v>651</v>
      </c>
    </row>
    <row r="542" spans="1:4">
      <c r="A542" s="10">
        <v>41568</v>
      </c>
      <c r="B542" s="11" t="s">
        <v>72</v>
      </c>
      <c r="C542" s="11" t="s">
        <v>91</v>
      </c>
      <c r="D542" s="12">
        <v>28</v>
      </c>
    </row>
    <row r="543" spans="1:4">
      <c r="A543" s="10">
        <v>41573</v>
      </c>
      <c r="B543" s="11" t="s">
        <v>72</v>
      </c>
      <c r="C543" s="11" t="s">
        <v>73</v>
      </c>
      <c r="D543" s="12">
        <v>222</v>
      </c>
    </row>
    <row r="544" spans="1:4">
      <c r="A544" s="10">
        <v>41572</v>
      </c>
      <c r="B544" s="11" t="s">
        <v>67</v>
      </c>
      <c r="C544" s="11" t="s">
        <v>86</v>
      </c>
      <c r="D544" s="12">
        <v>399</v>
      </c>
    </row>
    <row r="545" spans="1:4">
      <c r="A545" s="10">
        <v>41569</v>
      </c>
      <c r="B545" s="11" t="s">
        <v>72</v>
      </c>
      <c r="C545" s="11" t="s">
        <v>85</v>
      </c>
      <c r="D545" s="12">
        <v>570</v>
      </c>
    </row>
    <row r="546" spans="1:4">
      <c r="A546" s="10">
        <v>41572</v>
      </c>
      <c r="B546" s="11" t="s">
        <v>67</v>
      </c>
      <c r="C546" s="11" t="s">
        <v>88</v>
      </c>
      <c r="D546" s="12">
        <v>119</v>
      </c>
    </row>
    <row r="547" spans="1:4">
      <c r="A547" s="10">
        <v>41571</v>
      </c>
      <c r="B547" s="11" t="s">
        <v>72</v>
      </c>
      <c r="C547" s="11" t="s">
        <v>91</v>
      </c>
      <c r="D547" s="12">
        <v>219</v>
      </c>
    </row>
    <row r="548" spans="1:4">
      <c r="A548" s="10">
        <v>41571</v>
      </c>
      <c r="B548" s="11" t="s">
        <v>67</v>
      </c>
      <c r="C548" s="11" t="s">
        <v>70</v>
      </c>
      <c r="D548" s="12">
        <v>466</v>
      </c>
    </row>
    <row r="549" spans="1:4">
      <c r="A549" s="10">
        <v>41569</v>
      </c>
      <c r="B549" s="11" t="s">
        <v>76</v>
      </c>
      <c r="C549" s="11" t="s">
        <v>69</v>
      </c>
      <c r="D549" s="12">
        <v>225</v>
      </c>
    </row>
    <row r="550" spans="1:4">
      <c r="A550" s="10">
        <v>41568</v>
      </c>
      <c r="B550" s="11" t="s">
        <v>67</v>
      </c>
      <c r="C550" s="11" t="s">
        <v>95</v>
      </c>
      <c r="D550" s="12">
        <v>293</v>
      </c>
    </row>
    <row r="551" spans="1:4">
      <c r="A551" s="10">
        <v>41570</v>
      </c>
      <c r="B551" s="11" t="s">
        <v>76</v>
      </c>
      <c r="C551" s="11" t="s">
        <v>89</v>
      </c>
      <c r="D551" s="12">
        <v>217</v>
      </c>
    </row>
    <row r="552" spans="1:4">
      <c r="A552" s="10">
        <v>41572</v>
      </c>
      <c r="B552" s="11" t="s">
        <v>72</v>
      </c>
      <c r="C552" s="11" t="s">
        <v>70</v>
      </c>
      <c r="D552" s="12">
        <v>547</v>
      </c>
    </row>
    <row r="553" spans="1:4">
      <c r="A553" s="10">
        <v>41572</v>
      </c>
      <c r="B553" s="11" t="s">
        <v>72</v>
      </c>
      <c r="C553" s="11" t="s">
        <v>81</v>
      </c>
      <c r="D553" s="12">
        <v>449</v>
      </c>
    </row>
    <row r="554" spans="1:4">
      <c r="A554" s="10">
        <v>41573</v>
      </c>
      <c r="B554" s="11" t="s">
        <v>67</v>
      </c>
      <c r="C554" s="11" t="s">
        <v>77</v>
      </c>
      <c r="D554" s="12">
        <v>185</v>
      </c>
    </row>
    <row r="555" spans="1:4">
      <c r="A555" s="10">
        <v>41573</v>
      </c>
      <c r="B555" s="11" t="s">
        <v>72</v>
      </c>
      <c r="C555" s="11" t="s">
        <v>81</v>
      </c>
      <c r="D555" s="12">
        <v>579</v>
      </c>
    </row>
    <row r="556" spans="1:4">
      <c r="A556" s="10">
        <v>41568</v>
      </c>
      <c r="B556" s="11" t="s">
        <v>72</v>
      </c>
      <c r="C556" s="11" t="s">
        <v>70</v>
      </c>
      <c r="D556" s="12">
        <v>675</v>
      </c>
    </row>
    <row r="557" spans="1:4">
      <c r="A557" s="10">
        <v>41570</v>
      </c>
      <c r="B557" s="11" t="s">
        <v>76</v>
      </c>
      <c r="C557" s="11" t="s">
        <v>70</v>
      </c>
      <c r="D557" s="12">
        <v>239</v>
      </c>
    </row>
    <row r="558" spans="1:4">
      <c r="A558" s="10">
        <v>41569</v>
      </c>
      <c r="B558" s="11" t="s">
        <v>72</v>
      </c>
      <c r="C558" s="11" t="s">
        <v>78</v>
      </c>
      <c r="D558" s="12">
        <v>152</v>
      </c>
    </row>
    <row r="559" spans="1:4">
      <c r="A559" s="10">
        <v>41571</v>
      </c>
      <c r="B559" s="11" t="s">
        <v>72</v>
      </c>
      <c r="C559" s="11" t="s">
        <v>70</v>
      </c>
      <c r="D559" s="12">
        <v>210</v>
      </c>
    </row>
    <row r="560" spans="1:4">
      <c r="A560" s="10">
        <v>41572</v>
      </c>
      <c r="B560" s="11" t="s">
        <v>76</v>
      </c>
      <c r="C560" s="11" t="s">
        <v>85</v>
      </c>
      <c r="D560" s="12">
        <v>573</v>
      </c>
    </row>
    <row r="561" spans="1:4">
      <c r="A561" s="10">
        <v>41573</v>
      </c>
      <c r="B561" s="11" t="s">
        <v>67</v>
      </c>
      <c r="C561" s="11" t="s">
        <v>70</v>
      </c>
      <c r="D561" s="12">
        <v>19</v>
      </c>
    </row>
    <row r="562" spans="1:4">
      <c r="A562" s="10">
        <v>41568</v>
      </c>
      <c r="B562" s="11" t="s">
        <v>76</v>
      </c>
      <c r="C562" s="11" t="s">
        <v>75</v>
      </c>
      <c r="D562" s="12">
        <v>478</v>
      </c>
    </row>
    <row r="563" spans="1:4">
      <c r="A563" s="10">
        <v>41568</v>
      </c>
      <c r="B563" s="11" t="s">
        <v>72</v>
      </c>
      <c r="C563" s="11" t="s">
        <v>73</v>
      </c>
      <c r="D563" s="12">
        <v>565</v>
      </c>
    </row>
    <row r="564" spans="1:4">
      <c r="A564" s="10">
        <v>41571</v>
      </c>
      <c r="B564" s="11" t="s">
        <v>76</v>
      </c>
      <c r="C564" s="11" t="s">
        <v>89</v>
      </c>
      <c r="D564" s="12">
        <v>169</v>
      </c>
    </row>
    <row r="565" spans="1:4">
      <c r="A565" s="10">
        <v>41571</v>
      </c>
      <c r="B565" s="11" t="s">
        <v>72</v>
      </c>
      <c r="C565" s="11" t="s">
        <v>69</v>
      </c>
      <c r="D565" s="12">
        <v>329</v>
      </c>
    </row>
    <row r="566" spans="1:4">
      <c r="A566" s="10">
        <v>41571</v>
      </c>
      <c r="B566" s="11" t="s">
        <v>76</v>
      </c>
      <c r="C566" s="11" t="s">
        <v>81</v>
      </c>
      <c r="D566" s="12">
        <v>115</v>
      </c>
    </row>
    <row r="567" spans="1:4">
      <c r="A567" s="10">
        <v>41567</v>
      </c>
      <c r="B567" s="11" t="s">
        <v>72</v>
      </c>
      <c r="C567" s="11" t="s">
        <v>91</v>
      </c>
      <c r="D567" s="12">
        <v>524</v>
      </c>
    </row>
    <row r="568" spans="1:4">
      <c r="A568" s="10">
        <v>41573</v>
      </c>
      <c r="B568" s="11" t="s">
        <v>76</v>
      </c>
      <c r="C568" s="11" t="s">
        <v>91</v>
      </c>
      <c r="D568" s="12">
        <v>550</v>
      </c>
    </row>
    <row r="569" spans="1:4">
      <c r="A569" s="10">
        <v>41569</v>
      </c>
      <c r="B569" s="11" t="s">
        <v>76</v>
      </c>
      <c r="C569" s="11" t="s">
        <v>86</v>
      </c>
      <c r="D569" s="12">
        <v>514</v>
      </c>
    </row>
    <row r="570" spans="1:4">
      <c r="A570" s="10">
        <v>41567</v>
      </c>
      <c r="B570" s="11" t="s">
        <v>76</v>
      </c>
      <c r="C570" s="11" t="s">
        <v>70</v>
      </c>
      <c r="D570" s="12">
        <v>223</v>
      </c>
    </row>
    <row r="571" spans="1:4">
      <c r="A571" s="10">
        <v>41572</v>
      </c>
      <c r="B571" s="11" t="s">
        <v>76</v>
      </c>
      <c r="C571" s="11" t="s">
        <v>78</v>
      </c>
      <c r="D571" s="12">
        <v>667</v>
      </c>
    </row>
    <row r="572" spans="1:4">
      <c r="A572" s="10">
        <v>41567</v>
      </c>
      <c r="B572" s="11" t="s">
        <v>76</v>
      </c>
      <c r="C572" s="11" t="s">
        <v>73</v>
      </c>
      <c r="D572" s="12">
        <v>314</v>
      </c>
    </row>
    <row r="573" spans="1:4">
      <c r="A573" s="10">
        <v>41573</v>
      </c>
      <c r="B573" s="11" t="s">
        <v>72</v>
      </c>
      <c r="C573" s="11" t="s">
        <v>75</v>
      </c>
      <c r="D573" s="12">
        <v>228</v>
      </c>
    </row>
    <row r="574" spans="1:4">
      <c r="A574" s="10">
        <v>41569</v>
      </c>
      <c r="B574" s="11" t="s">
        <v>72</v>
      </c>
      <c r="C574" s="11" t="s">
        <v>68</v>
      </c>
      <c r="D574" s="12">
        <v>193</v>
      </c>
    </row>
    <row r="575" spans="1:4">
      <c r="A575" s="10">
        <v>41573</v>
      </c>
      <c r="B575" s="11" t="s">
        <v>67</v>
      </c>
      <c r="C575" s="11" t="s">
        <v>81</v>
      </c>
      <c r="D575" s="12">
        <v>509</v>
      </c>
    </row>
    <row r="576" spans="1:4">
      <c r="A576" s="10">
        <v>41568</v>
      </c>
      <c r="B576" s="11" t="s">
        <v>72</v>
      </c>
      <c r="C576" s="11" t="s">
        <v>79</v>
      </c>
      <c r="D576" s="12">
        <v>529</v>
      </c>
    </row>
    <row r="577" spans="1:4">
      <c r="A577" s="10">
        <v>41573</v>
      </c>
      <c r="B577" s="11" t="s">
        <v>72</v>
      </c>
      <c r="C577" s="11" t="s">
        <v>75</v>
      </c>
      <c r="D577" s="12">
        <v>416</v>
      </c>
    </row>
    <row r="578" spans="1:4">
      <c r="A578" s="10">
        <v>41569</v>
      </c>
      <c r="B578" s="11" t="s">
        <v>67</v>
      </c>
      <c r="C578" s="11" t="s">
        <v>88</v>
      </c>
      <c r="D578" s="12">
        <v>532</v>
      </c>
    </row>
    <row r="579" spans="1:4">
      <c r="A579" s="10">
        <v>41569</v>
      </c>
      <c r="B579" s="11" t="s">
        <v>67</v>
      </c>
      <c r="C579" s="11" t="s">
        <v>73</v>
      </c>
      <c r="D579" s="12">
        <v>639</v>
      </c>
    </row>
    <row r="580" spans="1:4">
      <c r="A580" s="10">
        <v>41569</v>
      </c>
      <c r="B580" s="11" t="s">
        <v>76</v>
      </c>
      <c r="C580" s="11" t="s">
        <v>74</v>
      </c>
      <c r="D580" s="12">
        <v>115</v>
      </c>
    </row>
    <row r="581" spans="1:4">
      <c r="A581" s="10">
        <v>41567</v>
      </c>
      <c r="B581" s="11" t="s">
        <v>67</v>
      </c>
      <c r="C581" s="11" t="s">
        <v>70</v>
      </c>
      <c r="D581" s="12">
        <v>145</v>
      </c>
    </row>
    <row r="582" spans="1:4">
      <c r="A582" s="10">
        <v>41573</v>
      </c>
      <c r="B582" s="11" t="s">
        <v>72</v>
      </c>
      <c r="C582" s="11" t="s">
        <v>74</v>
      </c>
      <c r="D582" s="12">
        <v>349</v>
      </c>
    </row>
    <row r="583" spans="1:4">
      <c r="A583" s="10">
        <v>41571</v>
      </c>
      <c r="B583" s="11" t="s">
        <v>72</v>
      </c>
      <c r="C583" s="11" t="s">
        <v>89</v>
      </c>
      <c r="D583" s="12">
        <v>98</v>
      </c>
    </row>
    <row r="584" spans="1:4">
      <c r="A584" s="10">
        <v>41571</v>
      </c>
      <c r="B584" s="11" t="s">
        <v>76</v>
      </c>
      <c r="C584" s="11" t="s">
        <v>68</v>
      </c>
      <c r="D584" s="12">
        <v>342</v>
      </c>
    </row>
    <row r="585" spans="1:4">
      <c r="A585" s="15">
        <v>41567</v>
      </c>
      <c r="B585" s="16" t="s">
        <v>76</v>
      </c>
      <c r="C585" s="16" t="s">
        <v>70</v>
      </c>
      <c r="D585" s="17">
        <v>234</v>
      </c>
    </row>
  </sheetData>
  <pageMargins left="0.7" right="0.7" top="0.75" bottom="0.75" header="0.3" footer="0.3"/>
  <headerFooter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E16"/>
  <sheetViews>
    <sheetView tabSelected="1" workbookViewId="0">
      <selection activeCell="P9" sqref="P9"/>
    </sheetView>
  </sheetViews>
  <sheetFormatPr defaultColWidth="9" defaultRowHeight="15" outlineLevelCol="4"/>
  <cols>
    <col min="1" max="4" width="15.7142857142857" customWidth="1"/>
  </cols>
  <sheetData>
    <row r="1" spans="1:1">
      <c r="A1" t="s">
        <v>96</v>
      </c>
    </row>
    <row r="2" spans="1:1">
      <c r="A2" t="s">
        <v>97</v>
      </c>
    </row>
    <row r="3" spans="1:1">
      <c r="A3" t="s">
        <v>98</v>
      </c>
    </row>
    <row r="4" spans="1:1">
      <c r="A4" t="s">
        <v>99</v>
      </c>
    </row>
    <row r="5" spans="1:1">
      <c r="A5" t="s">
        <v>100</v>
      </c>
    </row>
    <row r="8" spans="1:4">
      <c r="A8" s="1" t="s">
        <v>101</v>
      </c>
      <c r="B8" s="1" t="s">
        <v>102</v>
      </c>
      <c r="D8" s="2" t="s">
        <v>103</v>
      </c>
    </row>
    <row r="9" spans="1:5">
      <c r="A9" t="s">
        <v>104</v>
      </c>
      <c r="B9">
        <v>2.8</v>
      </c>
      <c r="D9" s="4">
        <f>AVERAGE(B9:B16)</f>
        <v>3.525</v>
      </c>
      <c r="E9" t="s">
        <v>105</v>
      </c>
    </row>
    <row r="10" spans="1:2">
      <c r="A10" t="s">
        <v>106</v>
      </c>
      <c r="B10">
        <v>2.7</v>
      </c>
    </row>
    <row r="11" spans="1:2">
      <c r="A11" t="s">
        <v>107</v>
      </c>
      <c r="B11">
        <v>3.7</v>
      </c>
    </row>
    <row r="12" spans="1:2">
      <c r="A12" t="s">
        <v>107</v>
      </c>
      <c r="B12" s="3">
        <v>4</v>
      </c>
    </row>
    <row r="13" spans="1:2">
      <c r="A13" t="s">
        <v>108</v>
      </c>
      <c r="B13">
        <v>3.1</v>
      </c>
    </row>
    <row r="14" spans="1:2">
      <c r="A14" t="s">
        <v>109</v>
      </c>
      <c r="B14">
        <v>4.2</v>
      </c>
    </row>
    <row r="15" spans="1:2">
      <c r="A15" t="s">
        <v>110</v>
      </c>
      <c r="B15">
        <v>3.8</v>
      </c>
    </row>
    <row r="16" spans="1:2">
      <c r="A16" t="s">
        <v>111</v>
      </c>
      <c r="B16">
        <v>3.9</v>
      </c>
    </row>
  </sheetData>
  <pageMargins left="0.7" right="0.7" top="0.75" bottom="0.75" header="0.3" footer="0.3"/>
  <headerFooter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E15"/>
  <sheetViews>
    <sheetView workbookViewId="0">
      <selection activeCell="D9" sqref="D9"/>
    </sheetView>
  </sheetViews>
  <sheetFormatPr defaultColWidth="9" defaultRowHeight="15" outlineLevelCol="4"/>
  <cols>
    <col min="1" max="4" width="15.7142857142857" customWidth="1"/>
    <col min="5" max="16384" width="9.14285714285714"/>
  </cols>
  <sheetData>
    <row r="1" spans="1:1">
      <c r="A1" t="s">
        <v>96</v>
      </c>
    </row>
    <row r="2" spans="1:1">
      <c r="A2" t="s">
        <v>97</v>
      </c>
    </row>
    <row r="3" spans="1:1">
      <c r="A3" t="s">
        <v>98</v>
      </c>
    </row>
    <row r="4" spans="1:1">
      <c r="A4" t="s">
        <v>99</v>
      </c>
    </row>
    <row r="5" spans="1:1">
      <c r="A5" t="s">
        <v>100</v>
      </c>
    </row>
    <row r="8" spans="1:4">
      <c r="A8" s="1" t="s">
        <v>101</v>
      </c>
      <c r="B8" s="1" t="s">
        <v>102</v>
      </c>
      <c r="D8" s="2" t="s">
        <v>103</v>
      </c>
    </row>
    <row r="9" spans="1:5">
      <c r="A9" t="s">
        <v>106</v>
      </c>
      <c r="B9" s="3">
        <v>2.7</v>
      </c>
      <c r="D9" s="4">
        <f>AVERAGE(GradeTableAnswer[Grade])</f>
        <v>3.44285714285714</v>
      </c>
      <c r="E9" t="s">
        <v>105</v>
      </c>
    </row>
    <row r="10" spans="1:2">
      <c r="A10" t="s">
        <v>104</v>
      </c>
      <c r="B10" s="3">
        <v>2.8</v>
      </c>
    </row>
    <row r="11" spans="1:2">
      <c r="A11" t="s">
        <v>108</v>
      </c>
      <c r="B11" s="3">
        <v>3.1</v>
      </c>
    </row>
    <row r="12" spans="1:2">
      <c r="A12" t="s">
        <v>107</v>
      </c>
      <c r="B12" s="3">
        <v>3.7</v>
      </c>
    </row>
    <row r="13" spans="1:2">
      <c r="A13" t="s">
        <v>112</v>
      </c>
      <c r="B13" s="3">
        <v>3.8</v>
      </c>
    </row>
    <row r="14" spans="1:2">
      <c r="A14" t="s">
        <v>107</v>
      </c>
      <c r="B14" s="3">
        <v>4</v>
      </c>
    </row>
    <row r="15" spans="1:2">
      <c r="A15" t="s">
        <v>113</v>
      </c>
      <c r="B15" s="3">
        <v>4</v>
      </c>
    </row>
  </sheetData>
  <pageMargins left="0.7" right="0.7" top="0.75" bottom="0.75" header="0.3" footer="0.3"/>
  <headerFooter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Cover</vt:lpstr>
      <vt:lpstr>VLOOKUP DVL</vt:lpstr>
      <vt:lpstr>VLOOKUP DVL (an)</vt:lpstr>
      <vt:lpstr>Chart</vt:lpstr>
      <vt:lpstr>Chart (an)</vt:lpstr>
      <vt:lpstr>PivotTable</vt:lpstr>
      <vt:lpstr>PivotTable (an)</vt:lpstr>
      <vt:lpstr>SUM</vt:lpstr>
      <vt:lpstr>SUM (an)</vt:lpstr>
      <vt:lpstr>New Column &amp; VLOOKUP</vt:lpstr>
      <vt:lpstr>New Column &amp; VLOOKUP (an)</vt:lpstr>
      <vt:lpstr>HW==&gt;&gt;</vt:lpstr>
      <vt:lpstr>HW(1)</vt:lpstr>
      <vt:lpstr>HW(1an)</vt:lpstr>
      <vt:lpstr>HW(2)</vt:lpstr>
      <vt:lpstr>HW(2an)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WPS_1644060671</cp:lastModifiedBy>
  <dcterms:created xsi:type="dcterms:W3CDTF">2017-11-06T17:31:00Z</dcterms:created>
  <dcterms:modified xsi:type="dcterms:W3CDTF">2023-06-04T16:23:47Z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AB2EA8D4EC87432B971E189E1584AF20</vt:lpwstr>
  </property>
  <property fmtid="{D5CDD505-2E9C-101B-9397-08002B2CF9AE}" pid="3" name="KSOProductBuildVer">
    <vt:lpwstr>1033-11.2.0.11537</vt:lpwstr>
  </property>
</Properties>
</file>