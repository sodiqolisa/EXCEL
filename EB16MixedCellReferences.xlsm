
<file path=[Content_Types].xml><?xml version="1.0" encoding="utf-8"?>
<Types xmlns="http://schemas.openxmlformats.org/package/2006/content-types"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490" windowHeight="7695" firstSheet="13" activeTab="19"/>
  </bookViews>
  <sheets>
    <sheet name="Cover" sheetId="1" r:id="rId1"/>
    <sheet name="Multiplication" sheetId="47" r:id="rId2"/>
    <sheet name="Multiplication (an)" sheetId="48" r:id="rId3"/>
    <sheet name="Video 02" sheetId="45" r:id="rId4"/>
    <sheet name="Budget" sheetId="46" r:id="rId5"/>
    <sheet name="Budget (an)" sheetId="49" r:id="rId6"/>
    <sheet name="Budget &amp; Assumption T." sheetId="62" r:id="rId7"/>
    <sheet name="Budget &amp; Assumption T. (an)" sheetId="63" r:id="rId8"/>
    <sheet name="Pension" sheetId="50" r:id="rId9"/>
    <sheet name="Pension (an)" sheetId="51" r:id="rId10"/>
    <sheet name="Payroll" sheetId="53" r:id="rId11"/>
    <sheet name="Payroll (an)" sheetId="52" r:id="rId12"/>
    <sheet name="HW==&gt;&gt;" sheetId="44" r:id="rId13"/>
    <sheet name="HW(1)" sheetId="54" r:id="rId14"/>
    <sheet name="HW(1an)" sheetId="55" r:id="rId15"/>
    <sheet name="HW(2)" sheetId="56" r:id="rId16"/>
    <sheet name="HW(2an)" sheetId="57" r:id="rId17"/>
    <sheet name="HW(3)" sheetId="58" r:id="rId18"/>
    <sheet name="HW(3an)" sheetId="59" r:id="rId19"/>
    <sheet name="HW(4)" sheetId="60" r:id="rId20"/>
    <sheet name="HW(4an)" sheetId="61" r:id="rId21"/>
  </sheets>
  <externalReferences>
    <externalReference r:id="rId22"/>
  </externalReferences>
  <definedNames>
    <definedName name="zAnswerDate">'[1]Func &amp; Defined Names (an)'!$A$35:$A$2033</definedName>
    <definedName name="zAnswerHousePrice">'[1]HW(2an)'!$A$20:$A$10875</definedName>
    <definedName name="zAnswerRegion">'[1]Func &amp; Defined Names (an)'!$B$35:$B$2033</definedName>
    <definedName name="zAnswerSales">'[1]Func &amp; Defined Names (an)'!$G$35:$G$2033</definedName>
  </definedNames>
  <calcPr calcId="144525"/>
</workbook>
</file>

<file path=xl/sharedStrings.xml><?xml version="1.0" encoding="utf-8"?>
<sst xmlns="http://schemas.openxmlformats.org/spreadsheetml/2006/main" count="406" uniqueCount="116">
  <si>
    <t>Excel Basics 16: Mixed Cell References in Formulas &amp; Functions to Save Time</t>
  </si>
  <si>
    <t>Office 2016 Video #28</t>
  </si>
  <si>
    <t>Examples:</t>
  </si>
  <si>
    <t>Example 1: Mixed Cell References in Multiplication Table</t>
  </si>
  <si>
    <t>Assumptions</t>
  </si>
  <si>
    <t>Start Number</t>
  </si>
  <si>
    <t>Increment</t>
  </si>
  <si>
    <t>Family Member</t>
  </si>
  <si>
    <t>Sister</t>
  </si>
  <si>
    <t>2018 NI Projections</t>
  </si>
  <si>
    <t>Jan</t>
  </si>
  <si>
    <t>Feb</t>
  </si>
  <si>
    <t>Mar</t>
  </si>
  <si>
    <t>Apr</t>
  </si>
  <si>
    <t>May</t>
  </si>
  <si>
    <t>Total</t>
  </si>
  <si>
    <t>Revenue</t>
  </si>
  <si>
    <t>Expenses</t>
  </si>
  <si>
    <t>Net Income</t>
  </si>
  <si>
    <t>Assumptions (Formula Inputs)</t>
  </si>
  <si>
    <t>Start Revenue for Jan</t>
  </si>
  <si>
    <t>Revenue % Increase</t>
  </si>
  <si>
    <t>Expense as % of Revenue</t>
  </si>
  <si>
    <t>Example 3: Mixed Cell References for Budget with Income Statement Accounts</t>
  </si>
  <si>
    <t>Jun</t>
  </si>
  <si>
    <t>Jul</t>
  </si>
  <si>
    <t>Aug</t>
  </si>
  <si>
    <t>Sep</t>
  </si>
  <si>
    <t>Oct</t>
  </si>
  <si>
    <t>Nov</t>
  </si>
  <si>
    <t>Dec</t>
  </si>
  <si>
    <t>Expense as % of Revenue:</t>
  </si>
  <si>
    <t>COGS</t>
  </si>
  <si>
    <t>Salaries and Wages</t>
  </si>
  <si>
    <t xml:space="preserve">Rent </t>
  </si>
  <si>
    <t xml:space="preserve">Supplies </t>
  </si>
  <si>
    <t xml:space="preserve">Depreciation </t>
  </si>
  <si>
    <t>Utilities</t>
  </si>
  <si>
    <t>Advertising</t>
  </si>
  <si>
    <t xml:space="preserve">Administration </t>
  </si>
  <si>
    <t>Phone and Internet</t>
  </si>
  <si>
    <t>Repairs &amp; Maintenance</t>
  </si>
  <si>
    <t>Travel</t>
  </si>
  <si>
    <t xml:space="preserve">Interest </t>
  </si>
  <si>
    <t xml:space="preserve">Tax </t>
  </si>
  <si>
    <t>Total Expenses</t>
  </si>
  <si>
    <t>Total of Expenses %</t>
  </si>
  <si>
    <t>Example 2: Mixed Cell References &amp; Assumption Tables.</t>
  </si>
  <si>
    <t>Goal: Calculate Expenses for Budgeting Process.</t>
  </si>
  <si>
    <t>Month</t>
  </si>
  <si>
    <t>Operating</t>
  </si>
  <si>
    <t>Administrative</t>
  </si>
  <si>
    <t>Other</t>
  </si>
  <si>
    <t>This Assumption Table can be used with Mixed Cell References because</t>
  </si>
  <si>
    <t>expenses in Assumption Table are oriented in the same direction as the formula table.</t>
  </si>
  <si>
    <t>Assumption Table (Formula Inputs):</t>
  </si>
  <si>
    <r>
      <rPr>
        <sz val="11"/>
        <color theme="1"/>
        <rFont val="Calibri"/>
        <charset val="134"/>
        <scheme val="minor"/>
      </rPr>
      <t xml:space="preserve">&lt;&lt;= Expenses are </t>
    </r>
    <r>
      <rPr>
        <b/>
        <sz val="11"/>
        <color theme="1"/>
        <rFont val="Calibri"/>
        <charset val="134"/>
        <scheme val="minor"/>
      </rPr>
      <t>Vertical</t>
    </r>
    <r>
      <rPr>
        <sz val="11"/>
        <color theme="1"/>
        <rFont val="Calibri"/>
        <charset val="134"/>
        <scheme val="minor"/>
      </rPr>
      <t xml:space="preserve"> in Assumption Table &amp; </t>
    </r>
    <r>
      <rPr>
        <b/>
        <sz val="11"/>
        <color theme="1"/>
        <rFont val="Calibri"/>
        <charset val="134"/>
        <scheme val="minor"/>
      </rPr>
      <t>Vertical</t>
    </r>
    <r>
      <rPr>
        <sz val="11"/>
        <color theme="1"/>
        <rFont val="Calibri"/>
        <charset val="134"/>
        <scheme val="minor"/>
      </rPr>
      <t xml:space="preserve"> in Formula Table</t>
    </r>
  </si>
  <si>
    <t>Horizontal / Horizontal works.</t>
  </si>
  <si>
    <t>Vertical / Vertical works.</t>
  </si>
  <si>
    <t>Horizontal / Vertical will NOT work.</t>
  </si>
  <si>
    <r>
      <rPr>
        <sz val="11"/>
        <color theme="1"/>
        <rFont val="Calibri"/>
        <charset val="134"/>
        <scheme val="minor"/>
      </rPr>
      <t xml:space="preserve">This Assumption Table can </t>
    </r>
    <r>
      <rPr>
        <b/>
        <i/>
        <u/>
        <sz val="11"/>
        <color theme="1"/>
        <rFont val="Calibri"/>
        <charset val="134"/>
        <scheme val="minor"/>
      </rPr>
      <t>NOT</t>
    </r>
    <r>
      <rPr>
        <sz val="11"/>
        <color theme="1"/>
        <rFont val="Calibri"/>
        <charset val="134"/>
        <scheme val="minor"/>
      </rPr>
      <t xml:space="preserve"> be used with Mixed Cell References</t>
    </r>
  </si>
  <si>
    <r>
      <rPr>
        <sz val="11"/>
        <color theme="1"/>
        <rFont val="Calibri"/>
        <charset val="134"/>
        <scheme val="minor"/>
      </rPr>
      <t xml:space="preserve">because expenses in Assumption Table are </t>
    </r>
    <r>
      <rPr>
        <b/>
        <i/>
        <u/>
        <sz val="11"/>
        <color theme="1"/>
        <rFont val="Calibri"/>
        <charset val="134"/>
        <scheme val="minor"/>
      </rPr>
      <t>NOT</t>
    </r>
    <r>
      <rPr>
        <sz val="11"/>
        <color theme="1"/>
        <rFont val="Calibri"/>
        <charset val="134"/>
        <scheme val="minor"/>
      </rPr>
      <t xml:space="preserve"> oriented in the same direction as the formula table.</t>
    </r>
  </si>
  <si>
    <t>Example 4: Mixed Cell References for Retirement Savings Table</t>
  </si>
  <si>
    <t>Yearly PMT</t>
  </si>
  <si>
    <t>What will your Pension be worth when you retire?</t>
  </si>
  <si>
    <t>Years/Rate</t>
  </si>
  <si>
    <t>Start rate</t>
  </si>
  <si>
    <t>increment</t>
  </si>
  <si>
    <t>Start years</t>
  </si>
  <si>
    <t>Example 5: Mixed Cell References &amp; Correct Assumption Table for Dynamic Payroll Table</t>
  </si>
  <si>
    <t>Employee Take Home Pay Table</t>
  </si>
  <si>
    <t>Names</t>
  </si>
  <si>
    <t>January
Sales</t>
  </si>
  <si>
    <t>Commission
on Sales</t>
  </si>
  <si>
    <t>Base
Salary</t>
  </si>
  <si>
    <t>Gross Pay</t>
  </si>
  <si>
    <t>Total Deductions</t>
  </si>
  <si>
    <t>Net Pay</t>
  </si>
  <si>
    <t>Steve</t>
  </si>
  <si>
    <t>Abdi</t>
  </si>
  <si>
    <t>Tyrone</t>
  </si>
  <si>
    <t>Aya</t>
  </si>
  <si>
    <t>Bobbi</t>
  </si>
  <si>
    <t>Totals</t>
  </si>
  <si>
    <t>Assumption Table</t>
  </si>
  <si>
    <t>Commission Rate</t>
  </si>
  <si>
    <t>FICA
Deduction</t>
  </si>
  <si>
    <t>Medicare Deduction</t>
  </si>
  <si>
    <t>Federal Withholdings</t>
  </si>
  <si>
    <t>Pension</t>
  </si>
  <si>
    <t>Using Mixed Cell References, complete the multiplication table.</t>
  </si>
  <si>
    <t>Mutiplication Table for my Little Sister</t>
  </si>
  <si>
    <t>Create the formulas to complete the Projected Net Income Statement.</t>
  </si>
  <si>
    <t>Assumption Table (Formula Inputs)</t>
  </si>
  <si>
    <t>Expense 1</t>
  </si>
  <si>
    <t>Expense 2</t>
  </si>
  <si>
    <t>Expense 3</t>
  </si>
  <si>
    <t>Expense 4</t>
  </si>
  <si>
    <t>Expense 5</t>
  </si>
  <si>
    <t>In the green cells create a formula that calculates the expenses as a percent of Income.</t>
  </si>
  <si>
    <t>Income</t>
  </si>
  <si>
    <t>Expense 6</t>
  </si>
  <si>
    <t>Expense 7</t>
  </si>
  <si>
    <t>Sales</t>
  </si>
  <si>
    <t>Ex1</t>
  </si>
  <si>
    <t>Ex2</t>
  </si>
  <si>
    <t>Ex3</t>
  </si>
  <si>
    <t>Ex4</t>
  </si>
  <si>
    <t>Ex5</t>
  </si>
  <si>
    <t>Ex6</t>
  </si>
  <si>
    <t>Ex7</t>
  </si>
  <si>
    <t>Ex8</t>
  </si>
  <si>
    <t>Ex9</t>
  </si>
  <si>
    <t>Ex10</t>
  </si>
  <si>
    <t>Ex11</t>
  </si>
  <si>
    <t>Total Ex</t>
  </si>
</sst>
</file>

<file path=xl/styles.xml><?xml version="1.0" encoding="utf-8"?>
<styleSheet xmlns="http://schemas.openxmlformats.org/spreadsheetml/2006/main">
  <numFmts count="9">
    <numFmt numFmtId="176" formatCode="&quot;$&quot;#,##0.00"/>
    <numFmt numFmtId="177" formatCode="_ * #,##0_ ;_ * \-#,##0_ ;_ * &quot;-&quot;_ ;_ @_ "/>
    <numFmt numFmtId="44" formatCode="_(&quot;$&quot;* #,##0.00_);_(&quot;$&quot;* \(#,##0.00\);_(&quot;$&quot;* &quot;-&quot;??_);_(@_)"/>
    <numFmt numFmtId="43" formatCode="_(* #,##0.00_);_(* \(#,##0.00\);_(* &quot;-&quot;??_);_(@_)"/>
    <numFmt numFmtId="42" formatCode="_(&quot;$&quot;* #,##0_);_(&quot;$&quot;* \(#,##0\);_(&quot;$&quot;* &quot;-&quot;_);_(@_)"/>
    <numFmt numFmtId="8" formatCode="&quot;$&quot;#,##0.00_);[Red]\(&quot;$&quot;#,##0.00\)"/>
    <numFmt numFmtId="178" formatCode="&quot;$&quot;#,##0"/>
    <numFmt numFmtId="179" formatCode="&quot;$&quot;#,##0.0"/>
    <numFmt numFmtId="180" formatCode="0.0%"/>
  </numFmts>
  <fonts count="43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0"/>
      <name val="Arial"/>
      <charset val="134"/>
    </font>
    <font>
      <sz val="10"/>
      <color theme="0"/>
      <name val="Arial"/>
      <charset val="134"/>
    </font>
    <font>
      <sz val="18"/>
      <color indexed="9"/>
      <name val="Kristen ITC"/>
      <charset val="134"/>
    </font>
    <font>
      <b/>
      <sz val="11"/>
      <color theme="1"/>
      <name val="Calibri"/>
      <charset val="134"/>
      <scheme val="minor"/>
    </font>
    <font>
      <b/>
      <sz val="14"/>
      <color indexed="9"/>
      <name val="Arial"/>
      <charset val="134"/>
    </font>
    <font>
      <b/>
      <sz val="10"/>
      <color theme="0"/>
      <name val="Arial"/>
      <charset val="134"/>
    </font>
    <font>
      <b/>
      <sz val="10"/>
      <color indexed="9"/>
      <name val="Arial"/>
      <charset val="134"/>
    </font>
    <font>
      <b/>
      <sz val="10"/>
      <name val="Arial"/>
      <charset val="134"/>
    </font>
    <font>
      <sz val="12"/>
      <color theme="0"/>
      <name val="Arial"/>
      <charset val="134"/>
    </font>
    <font>
      <sz val="12"/>
      <name val="Arial"/>
      <charset val="134"/>
    </font>
    <font>
      <b/>
      <sz val="28"/>
      <color theme="1"/>
      <name val="Calibri"/>
      <charset val="134"/>
      <scheme val="minor"/>
    </font>
    <font>
      <b/>
      <u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7"/>
      <color theme="1"/>
      <name val="Calibri"/>
      <charset val="134"/>
      <scheme val="minor"/>
    </font>
    <font>
      <u/>
      <sz val="11"/>
      <color theme="1"/>
      <name val="Calibri"/>
      <charset val="134"/>
      <scheme val="minor"/>
    </font>
    <font>
      <sz val="16"/>
      <color theme="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theme="1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FF000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sz val="10"/>
      <color indexed="9"/>
      <name val="Arial"/>
      <charset val="134"/>
    </font>
    <font>
      <u/>
      <sz val="10"/>
      <color theme="10"/>
      <name val="Arial"/>
      <charset val="134"/>
    </font>
    <font>
      <b/>
      <i/>
      <u/>
      <sz val="11"/>
      <color theme="1"/>
      <name val="Calibri"/>
      <charset val="134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6">
    <xf numFmtId="0" fontId="0" fillId="0" borderId="0"/>
    <xf numFmtId="0" fontId="20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/>
    <xf numFmtId="177" fontId="28" fillId="0" borderId="0" applyFont="0" applyFill="0" applyBorder="0" applyAlignment="0" applyProtection="0">
      <alignment vertical="center"/>
    </xf>
    <xf numFmtId="42" fontId="28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/>
    <xf numFmtId="9" fontId="0" fillId="0" borderId="0" applyFont="0" applyFill="0" applyBorder="0" applyAlignment="0" applyProtection="0"/>
    <xf numFmtId="0" fontId="32" fillId="0" borderId="0" applyNumberFormat="0" applyFill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4" fillId="20" borderId="28" applyNumberFormat="0" applyAlignment="0" applyProtection="0">
      <alignment vertical="center"/>
    </xf>
    <xf numFmtId="0" fontId="34" fillId="0" borderId="33" applyNumberFormat="0" applyFill="0" applyAlignment="0" applyProtection="0">
      <alignment vertical="center"/>
    </xf>
    <xf numFmtId="0" fontId="28" fillId="25" borderId="31" applyNumberFormat="0" applyFont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8" fillId="0" borderId="33" applyNumberFormat="0" applyFill="0" applyAlignment="0" applyProtection="0">
      <alignment vertical="center"/>
    </xf>
    <xf numFmtId="0" fontId="22" fillId="0" borderId="27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5" fillId="23" borderId="29" applyNumberFormat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37" fillId="39" borderId="0" applyNumberFormat="0" applyBorder="0" applyAlignment="0" applyProtection="0">
      <alignment vertical="center"/>
    </xf>
    <xf numFmtId="0" fontId="39" fillId="37" borderId="34" applyNumberFormat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36" fillId="37" borderId="29" applyNumberFormat="0" applyAlignment="0" applyProtection="0">
      <alignment vertical="center"/>
    </xf>
    <xf numFmtId="0" fontId="30" fillId="0" borderId="32" applyNumberFormat="0" applyFill="0" applyAlignment="0" applyProtection="0">
      <alignment vertical="center"/>
    </xf>
    <xf numFmtId="0" fontId="27" fillId="0" borderId="30" applyNumberFormat="0" applyFill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35" fillId="34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3" fillId="0" borderId="0"/>
    <xf numFmtId="0" fontId="20" fillId="22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44" fontId="3" fillId="0" borderId="0" applyFont="0" applyFill="0" applyBorder="0" applyAlignment="0" applyProtection="0"/>
    <xf numFmtId="0" fontId="26" fillId="32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6" fillId="46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9" fontId="3" fillId="0" borderId="0" applyFont="0" applyFill="0" applyBorder="0" applyAlignment="0" applyProtection="0"/>
    <xf numFmtId="0" fontId="26" fillId="27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6" fillId="47" borderId="0" applyNumberFormat="0" applyBorder="0" applyAlignment="0" applyProtection="0">
      <alignment vertical="center"/>
    </xf>
    <xf numFmtId="0" fontId="26" fillId="42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26" fillId="49" borderId="0" applyNumberFormat="0" applyBorder="0" applyAlignment="0" applyProtection="0">
      <alignment vertical="center"/>
    </xf>
    <xf numFmtId="0" fontId="1" fillId="6" borderId="3">
      <alignment wrapText="1"/>
    </xf>
    <xf numFmtId="0" fontId="40" fillId="44" borderId="3">
      <alignment wrapText="1"/>
    </xf>
    <xf numFmtId="0" fontId="41" fillId="0" borderId="0" applyNumberFormat="0" applyFill="0" applyBorder="0" applyAlignment="0" applyProtection="0">
      <alignment vertical="top"/>
      <protection locked="0"/>
    </xf>
    <xf numFmtId="0" fontId="0" fillId="0" borderId="0"/>
  </cellStyleXfs>
  <cellXfs count="126">
    <xf numFmtId="0" fontId="0" fillId="0" borderId="0" xfId="0"/>
    <xf numFmtId="0" fontId="0" fillId="2" borderId="1" xfId="0" applyFill="1" applyBorder="1" applyAlignment="1">
      <alignment horizontal="centerContinuous" wrapText="1"/>
    </xf>
    <xf numFmtId="0" fontId="0" fillId="2" borderId="2" xfId="0" applyFill="1" applyBorder="1" applyAlignment="1">
      <alignment horizontal="centerContinuous" wrapText="1"/>
    </xf>
    <xf numFmtId="0" fontId="0" fillId="0" borderId="3" xfId="0" applyBorder="1"/>
    <xf numFmtId="0" fontId="1" fillId="3" borderId="3" xfId="0" applyFont="1" applyFill="1" applyBorder="1"/>
    <xf numFmtId="44" fontId="0" fillId="0" borderId="3" xfId="5" applyFont="1" applyBorder="1"/>
    <xf numFmtId="43" fontId="0" fillId="4" borderId="3" xfId="2" applyFont="1" applyFill="1" applyBorder="1"/>
    <xf numFmtId="43" fontId="0" fillId="4" borderId="4" xfId="2" applyFont="1" applyFill="1" applyBorder="1"/>
    <xf numFmtId="0" fontId="1" fillId="3" borderId="4" xfId="0" applyFont="1" applyFill="1" applyBorder="1"/>
    <xf numFmtId="44" fontId="0" fillId="4" borderId="5" xfId="5" applyFont="1" applyFill="1" applyBorder="1"/>
    <xf numFmtId="0" fontId="1" fillId="3" borderId="6" xfId="0" applyFont="1" applyFill="1" applyBorder="1"/>
    <xf numFmtId="44" fontId="0" fillId="4" borderId="6" xfId="5" applyFont="1" applyFill="1" applyBorder="1"/>
    <xf numFmtId="0" fontId="0" fillId="2" borderId="7" xfId="0" applyFill="1" applyBorder="1" applyAlignment="1">
      <alignment horizontal="centerContinuous" wrapText="1"/>
    </xf>
    <xf numFmtId="0" fontId="1" fillId="5" borderId="3" xfId="0" applyFont="1" applyFill="1" applyBorder="1" applyAlignment="1">
      <alignment horizontal="centerContinuous"/>
    </xf>
    <xf numFmtId="10" fontId="0" fillId="0" borderId="3" xfId="0" applyNumberFormat="1" applyBorder="1"/>
    <xf numFmtId="10" fontId="0" fillId="0" borderId="0" xfId="0" applyNumberFormat="1"/>
    <xf numFmtId="176" fontId="0" fillId="0" borderId="3" xfId="0" applyNumberFormat="1" applyBorder="1"/>
    <xf numFmtId="176" fontId="0" fillId="4" borderId="3" xfId="0" applyNumberFormat="1" applyFill="1" applyBorder="1"/>
    <xf numFmtId="176" fontId="0" fillId="4" borderId="4" xfId="0" applyNumberFormat="1" applyFill="1" applyBorder="1"/>
    <xf numFmtId="176" fontId="0" fillId="4" borderId="6" xfId="0" applyNumberFormat="1" applyFill="1" applyBorder="1"/>
    <xf numFmtId="0" fontId="2" fillId="6" borderId="3" xfId="0" applyFont="1" applyFill="1" applyBorder="1"/>
    <xf numFmtId="8" fontId="0" fillId="0" borderId="3" xfId="0" applyNumberFormat="1" applyBorder="1"/>
    <xf numFmtId="8" fontId="0" fillId="4" borderId="3" xfId="0" applyNumberFormat="1" applyFill="1" applyBorder="1"/>
    <xf numFmtId="0" fontId="1" fillId="5" borderId="3" xfId="0" applyFont="1" applyFill="1" applyBorder="1" applyAlignment="1">
      <alignment horizontal="centerContinuous" wrapText="1"/>
    </xf>
    <xf numFmtId="9" fontId="0" fillId="0" borderId="3" xfId="6" applyFont="1" applyBorder="1"/>
    <xf numFmtId="0" fontId="3" fillId="0" borderId="3" xfId="32" applyBorder="1"/>
    <xf numFmtId="0" fontId="4" fillId="6" borderId="3" xfId="32" applyFont="1" applyFill="1" applyBorder="1"/>
    <xf numFmtId="8" fontId="3" fillId="0" borderId="3" xfId="32" applyNumberFormat="1" applyBorder="1"/>
    <xf numFmtId="0" fontId="4" fillId="6" borderId="3" xfId="32" applyFont="1" applyFill="1" applyBorder="1" applyAlignment="1">
      <alignment horizontal="left" indent="1"/>
    </xf>
    <xf numFmtId="8" fontId="3" fillId="4" borderId="3" xfId="32" applyNumberFormat="1" applyFill="1" applyBorder="1"/>
    <xf numFmtId="8" fontId="3" fillId="7" borderId="3" xfId="32" applyNumberFormat="1" applyFill="1" applyBorder="1"/>
    <xf numFmtId="8" fontId="3" fillId="8" borderId="3" xfId="32" applyNumberFormat="1" applyFill="1" applyBorder="1"/>
    <xf numFmtId="0" fontId="3" fillId="0" borderId="0" xfId="32"/>
    <xf numFmtId="0" fontId="4" fillId="5" borderId="1" xfId="32" applyFont="1" applyFill="1" applyBorder="1" applyAlignment="1">
      <alignment horizontal="centerContinuous" wrapText="1"/>
    </xf>
    <xf numFmtId="0" fontId="4" fillId="5" borderId="7" xfId="32" applyFont="1" applyFill="1" applyBorder="1" applyAlignment="1">
      <alignment horizontal="centerContinuous" wrapText="1"/>
    </xf>
    <xf numFmtId="10" fontId="0" fillId="0" borderId="3" xfId="45" applyNumberFormat="1" applyFont="1" applyBorder="1"/>
    <xf numFmtId="0" fontId="0" fillId="9" borderId="1" xfId="0" applyFill="1" applyBorder="1"/>
    <xf numFmtId="0" fontId="0" fillId="9" borderId="2" xfId="0" applyFill="1" applyBorder="1"/>
    <xf numFmtId="0" fontId="0" fillId="9" borderId="7" xfId="0" applyFill="1" applyBorder="1"/>
    <xf numFmtId="0" fontId="5" fillId="10" borderId="3" xfId="32" applyFont="1" applyFill="1" applyBorder="1" applyAlignment="1">
      <alignment horizontal="centerContinuous"/>
    </xf>
    <xf numFmtId="0" fontId="4" fillId="11" borderId="3" xfId="32" applyFont="1" applyFill="1" applyBorder="1"/>
    <xf numFmtId="0" fontId="3" fillId="4" borderId="3" xfId="32" applyFill="1" applyBorder="1"/>
    <xf numFmtId="0" fontId="6" fillId="0" borderId="0" xfId="0" applyFont="1"/>
    <xf numFmtId="0" fontId="7" fillId="10" borderId="8" xfId="0" applyFont="1" applyFill="1" applyBorder="1" applyAlignment="1">
      <alignment horizontal="centerContinuous"/>
    </xf>
    <xf numFmtId="0" fontId="1" fillId="6" borderId="3" xfId="0" applyFont="1" applyFill="1" applyBorder="1" applyAlignment="1">
      <alignment wrapText="1"/>
    </xf>
    <xf numFmtId="0" fontId="0" fillId="0" borderId="4" xfId="0" applyBorder="1"/>
    <xf numFmtId="176" fontId="0" fillId="0" borderId="4" xfId="0" applyNumberFormat="1" applyBorder="1"/>
    <xf numFmtId="0" fontId="0" fillId="0" borderId="6" xfId="0" applyBorder="1"/>
    <xf numFmtId="176" fontId="0" fillId="0" borderId="6" xfId="0" applyNumberFormat="1" applyBorder="1"/>
    <xf numFmtId="0" fontId="8" fillId="10" borderId="3" xfId="0" applyFont="1" applyFill="1" applyBorder="1" applyAlignment="1">
      <alignment horizontal="centerContinuous"/>
    </xf>
    <xf numFmtId="0" fontId="0" fillId="0" borderId="0" xfId="0" applyAlignment="1">
      <alignment wrapText="1"/>
    </xf>
    <xf numFmtId="0" fontId="9" fillId="12" borderId="3" xfId="0" applyFont="1" applyFill="1" applyBorder="1" applyAlignment="1">
      <alignment wrapText="1"/>
    </xf>
    <xf numFmtId="0" fontId="4" fillId="10" borderId="3" xfId="0" applyFont="1" applyFill="1" applyBorder="1" applyAlignment="1">
      <alignment horizontal="centerContinuous"/>
    </xf>
    <xf numFmtId="0" fontId="4" fillId="10" borderId="0" xfId="0" applyFont="1" applyFill="1" applyBorder="1" applyAlignment="1">
      <alignment horizontal="centerContinuous"/>
    </xf>
    <xf numFmtId="0" fontId="1" fillId="5" borderId="3" xfId="0" applyFont="1" applyFill="1" applyBorder="1" applyAlignment="1">
      <alignment wrapText="1"/>
    </xf>
    <xf numFmtId="10" fontId="0" fillId="0" borderId="3" xfId="0" applyNumberFormat="1" applyBorder="1" applyAlignment="1">
      <alignment wrapText="1"/>
    </xf>
    <xf numFmtId="10" fontId="0" fillId="0" borderId="0" xfId="0" applyNumberFormat="1" applyBorder="1" applyAlignment="1">
      <alignment wrapText="1"/>
    </xf>
    <xf numFmtId="10" fontId="0" fillId="0" borderId="0" xfId="45" applyNumberFormat="1" applyFont="1" applyBorder="1"/>
    <xf numFmtId="178" fontId="0" fillId="0" borderId="0" xfId="0" applyNumberFormat="1" applyAlignment="1">
      <alignment wrapText="1"/>
    </xf>
    <xf numFmtId="0" fontId="3" fillId="13" borderId="3" xfId="0" applyFont="1" applyFill="1" applyBorder="1"/>
    <xf numFmtId="0" fontId="1" fillId="10" borderId="3" xfId="0" applyFont="1" applyFill="1" applyBorder="1" applyAlignment="1">
      <alignment horizontal="centerContinuous"/>
    </xf>
    <xf numFmtId="0" fontId="10" fillId="0" borderId="3" xfId="0" applyFont="1" applyBorder="1"/>
    <xf numFmtId="9" fontId="3" fillId="13" borderId="3" xfId="0" applyNumberFormat="1" applyFont="1" applyFill="1" applyBorder="1"/>
    <xf numFmtId="9" fontId="0" fillId="0" borderId="0" xfId="0" applyNumberFormat="1"/>
    <xf numFmtId="0" fontId="1" fillId="6" borderId="3" xfId="0" applyFont="1" applyFill="1" applyBorder="1"/>
    <xf numFmtId="0" fontId="6" fillId="0" borderId="3" xfId="0" applyNumberFormat="1" applyFont="1" applyBorder="1"/>
    <xf numFmtId="178" fontId="0" fillId="0" borderId="3" xfId="0" applyNumberFormat="1" applyBorder="1"/>
    <xf numFmtId="0" fontId="1" fillId="6" borderId="3" xfId="0" applyFont="1" applyFill="1" applyBorder="1" applyAlignment="1">
      <alignment horizontal="left" indent="1"/>
    </xf>
    <xf numFmtId="178" fontId="0" fillId="4" borderId="3" xfId="0" applyNumberFormat="1" applyFill="1" applyBorder="1"/>
    <xf numFmtId="178" fontId="0" fillId="14" borderId="9" xfId="0" applyNumberFormat="1" applyFill="1" applyBorder="1"/>
    <xf numFmtId="178" fontId="0" fillId="14" borderId="4" xfId="0" applyNumberFormat="1" applyFill="1" applyBorder="1"/>
    <xf numFmtId="178" fontId="0" fillId="14" borderId="10" xfId="0" applyNumberFormat="1" applyFill="1" applyBorder="1"/>
    <xf numFmtId="178" fontId="0" fillId="14" borderId="6" xfId="0" applyNumberFormat="1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9" xfId="0" applyFill="1" applyBorder="1"/>
    <xf numFmtId="0" fontId="0" fillId="9" borderId="13" xfId="0" applyFill="1" applyBorder="1"/>
    <xf numFmtId="0" fontId="0" fillId="9" borderId="14" xfId="0" applyFill="1" applyBorder="1"/>
    <xf numFmtId="0" fontId="0" fillId="9" borderId="15" xfId="0" applyFill="1" applyBorder="1"/>
    <xf numFmtId="0" fontId="1" fillId="5" borderId="13" xfId="0" applyFont="1" applyFill="1" applyBorder="1"/>
    <xf numFmtId="0" fontId="1" fillId="5" borderId="15" xfId="0" applyFont="1" applyFill="1" applyBorder="1"/>
    <xf numFmtId="0" fontId="0" fillId="0" borderId="0" xfId="0" applyBorder="1"/>
    <xf numFmtId="10" fontId="0" fillId="0" borderId="0" xfId="0" applyNumberFormat="1" applyBorder="1"/>
    <xf numFmtId="0" fontId="0" fillId="5" borderId="14" xfId="0" applyFill="1" applyBorder="1"/>
    <xf numFmtId="0" fontId="1" fillId="5" borderId="1" xfId="0" applyFont="1" applyFill="1" applyBorder="1" applyAlignment="1">
      <alignment horizontal="centerContinuous"/>
    </xf>
    <xf numFmtId="0" fontId="1" fillId="5" borderId="7" xfId="0" applyFont="1" applyFill="1" applyBorder="1" applyAlignment="1">
      <alignment horizontal="centerContinuous"/>
    </xf>
    <xf numFmtId="0" fontId="0" fillId="15" borderId="3" xfId="0" applyFill="1" applyBorder="1"/>
    <xf numFmtId="176" fontId="0" fillId="16" borderId="3" xfId="0" applyNumberFormat="1" applyFill="1" applyBorder="1"/>
    <xf numFmtId="0" fontId="2" fillId="6" borderId="16" xfId="0" applyFont="1" applyFill="1" applyBorder="1"/>
    <xf numFmtId="0" fontId="0" fillId="0" borderId="17" xfId="0" applyNumberFormat="1" applyBorder="1"/>
    <xf numFmtId="0" fontId="0" fillId="0" borderId="3" xfId="0" applyBorder="1" applyAlignment="1">
      <alignment horizontal="left" indent="1"/>
    </xf>
    <xf numFmtId="0" fontId="2" fillId="6" borderId="3" xfId="0" applyFont="1" applyFill="1" applyBorder="1" applyAlignment="1">
      <alignment horizontal="left" indent="1"/>
    </xf>
    <xf numFmtId="0" fontId="0" fillId="0" borderId="3" xfId="0" applyFill="1" applyBorder="1" applyAlignment="1">
      <alignment horizontal="left" indent="1"/>
    </xf>
    <xf numFmtId="176" fontId="0" fillId="0" borderId="0" xfId="0" applyNumberFormat="1"/>
    <xf numFmtId="176" fontId="0" fillId="14" borderId="3" xfId="0" applyNumberFormat="1" applyFill="1" applyBorder="1"/>
    <xf numFmtId="0" fontId="0" fillId="0" borderId="18" xfId="0" applyNumberFormat="1" applyBorder="1"/>
    <xf numFmtId="8" fontId="0" fillId="0" borderId="3" xfId="0" applyNumberFormat="1" applyBorder="1"/>
    <xf numFmtId="8" fontId="0" fillId="4" borderId="3" xfId="0" applyNumberFormat="1" applyFill="1" applyBorder="1"/>
    <xf numFmtId="8" fontId="0" fillId="0" borderId="17" xfId="0" applyNumberFormat="1" applyBorder="1"/>
    <xf numFmtId="8" fontId="0" fillId="16" borderId="3" xfId="0" applyNumberFormat="1" applyFill="1" applyBorder="1"/>
    <xf numFmtId="8" fontId="0" fillId="14" borderId="3" xfId="0" applyNumberFormat="1" applyFill="1" applyBorder="1"/>
    <xf numFmtId="179" fontId="0" fillId="0" borderId="3" xfId="0" applyNumberFormat="1" applyBorder="1"/>
    <xf numFmtId="180" fontId="0" fillId="0" borderId="3" xfId="0" applyNumberFormat="1" applyBorder="1"/>
    <xf numFmtId="0" fontId="3" fillId="0" borderId="0" xfId="32" applyBorder="1"/>
    <xf numFmtId="0" fontId="11" fillId="12" borderId="3" xfId="32" applyFont="1" applyFill="1" applyBorder="1" applyAlignment="1">
      <alignment horizontal="centerContinuous"/>
    </xf>
    <xf numFmtId="0" fontId="12" fillId="12" borderId="3" xfId="32" applyFont="1" applyFill="1" applyBorder="1" applyAlignment="1">
      <alignment horizontal="centerContinuous"/>
    </xf>
    <xf numFmtId="0" fontId="0" fillId="6" borderId="0" xfId="0" applyFill="1"/>
    <xf numFmtId="0" fontId="13" fillId="17" borderId="19" xfId="0" applyFont="1" applyFill="1" applyBorder="1" applyAlignment="1">
      <alignment horizontal="centerContinuous"/>
    </xf>
    <xf numFmtId="0" fontId="0" fillId="17" borderId="20" xfId="0" applyFill="1" applyBorder="1" applyAlignment="1">
      <alignment horizontal="centerContinuous"/>
    </xf>
    <xf numFmtId="0" fontId="0" fillId="17" borderId="21" xfId="0" applyFill="1" applyBorder="1"/>
    <xf numFmtId="0" fontId="14" fillId="17" borderId="0" xfId="0" applyFont="1" applyFill="1" applyBorder="1"/>
    <xf numFmtId="0" fontId="15" fillId="17" borderId="0" xfId="0" applyFont="1" applyFill="1" applyBorder="1" applyAlignment="1">
      <alignment horizontal="centerContinuous"/>
    </xf>
    <xf numFmtId="0" fontId="0" fillId="17" borderId="0" xfId="0" applyFill="1" applyBorder="1" applyAlignment="1">
      <alignment horizontal="centerContinuous"/>
    </xf>
    <xf numFmtId="0" fontId="0" fillId="17" borderId="0" xfId="0" applyFill="1" applyBorder="1"/>
    <xf numFmtId="0" fontId="16" fillId="17" borderId="0" xfId="0" applyFont="1" applyFill="1" applyBorder="1" applyAlignment="1">
      <alignment horizontal="centerContinuous"/>
    </xf>
    <xf numFmtId="8" fontId="17" fillId="17" borderId="0" xfId="0" applyNumberFormat="1" applyFont="1" applyFill="1" applyBorder="1"/>
    <xf numFmtId="0" fontId="0" fillId="17" borderId="22" xfId="0" applyFill="1" applyBorder="1"/>
    <xf numFmtId="0" fontId="0" fillId="17" borderId="23" xfId="0" applyFill="1" applyBorder="1"/>
    <xf numFmtId="0" fontId="18" fillId="17" borderId="0" xfId="0" applyFont="1" applyFill="1" applyBorder="1"/>
    <xf numFmtId="0" fontId="17" fillId="17" borderId="0" xfId="0" applyFont="1" applyFill="1" applyBorder="1"/>
    <xf numFmtId="0" fontId="0" fillId="17" borderId="24" xfId="0" applyFill="1" applyBorder="1" applyAlignment="1">
      <alignment horizontal="centerContinuous"/>
    </xf>
    <xf numFmtId="0" fontId="0" fillId="17" borderId="25" xfId="0" applyFill="1" applyBorder="1" applyAlignment="1">
      <alignment horizontal="centerContinuous"/>
    </xf>
    <xf numFmtId="0" fontId="16" fillId="17" borderId="25" xfId="0" applyFont="1" applyFill="1" applyBorder="1" applyAlignment="1">
      <alignment horizontal="centerContinuous"/>
    </xf>
    <xf numFmtId="0" fontId="19" fillId="17" borderId="0" xfId="0" applyFont="1" applyFill="1" applyBorder="1"/>
    <xf numFmtId="0" fontId="0" fillId="17" borderId="25" xfId="0" applyFill="1" applyBorder="1"/>
    <xf numFmtId="0" fontId="0" fillId="17" borderId="26" xfId="0" applyFill="1" applyBorder="1"/>
  </cellXfs>
  <cellStyles count="56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Normal 2" xfId="32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Currency 2" xfId="39"/>
    <cellStyle name="Accent3" xfId="40" builtinId="37"/>
    <cellStyle name="20% - Accent3" xfId="41" builtinId="38"/>
    <cellStyle name="Accent4" xfId="42" builtinId="41"/>
    <cellStyle name="20% - Accent4" xfId="43" builtinId="42"/>
    <cellStyle name="40% - Accent4" xfId="44" builtinId="43"/>
    <cellStyle name="Percent 2" xfId="45"/>
    <cellStyle name="Accent5" xfId="46" builtinId="45"/>
    <cellStyle name="40% - Accent5" xfId="47" builtinId="47"/>
    <cellStyle name="60% - Accent5" xfId="48" builtinId="48"/>
    <cellStyle name="Accent6" xfId="49" builtinId="49"/>
    <cellStyle name="40% - Accent6" xfId="50" builtinId="51"/>
    <cellStyle name="60% - Accent6" xfId="51" builtinId="52"/>
    <cellStyle name="blue" xfId="52"/>
    <cellStyle name="blue 2" xfId="53"/>
    <cellStyle name="Hyperlink 2" xfId="54"/>
    <cellStyle name="Normal 3 2" xfId="55"/>
  </cellStyles>
  <tableStyles count="0" defaultTableStyle="TableStyleMedium2" defaultPivotStyle="PivotStyleLight16"/>
  <colors>
    <mruColors>
      <color rgb="000000FF"/>
      <color rgb="00CCFFCC"/>
      <color rgb="00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5" Type="http://schemas.openxmlformats.org/officeDocument/2006/relationships/sharedStrings" Target="sharedStrings.xml"/><Relationship Id="rId24" Type="http://schemas.openxmlformats.org/officeDocument/2006/relationships/styles" Target="styles.xml"/><Relationship Id="rId23" Type="http://schemas.openxmlformats.org/officeDocument/2006/relationships/theme" Target="theme/theme1.xml"/><Relationship Id="rId22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16</xdr:col>
      <xdr:colOff>313765</xdr:colOff>
      <xdr:row>18</xdr:row>
      <xdr:rowOff>163271</xdr:rowOff>
    </xdr:from>
    <xdr:to>
      <xdr:col>18</xdr:col>
      <xdr:colOff>311023</xdr:colOff>
      <xdr:row>24</xdr:row>
      <xdr:rowOff>55231</xdr:rowOff>
    </xdr:to>
    <xdr:pic>
      <xdr:nvPicPr>
        <xdr:cNvPr id="6" name="Picture 5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43640" y="4868545"/>
          <a:ext cx="1196975" cy="1605915"/>
        </a:xfrm>
        <a:prstGeom prst="rect">
          <a:avLst/>
        </a:prstGeom>
      </xdr:spPr>
    </xdr:pic>
    <xdr:clientData/>
  </xdr:twoCellAnchor>
  <xdr:twoCellAnchor editAs="oneCell">
    <xdr:from>
      <xdr:col>1</xdr:col>
      <xdr:colOff>123265</xdr:colOff>
      <xdr:row>13</xdr:row>
      <xdr:rowOff>10618</xdr:rowOff>
    </xdr:from>
    <xdr:to>
      <xdr:col>16</xdr:col>
      <xdr:colOff>22411</xdr:colOff>
      <xdr:row>24</xdr:row>
      <xdr:rowOff>89647</xdr:rowOff>
    </xdr:to>
    <xdr:pic>
      <xdr:nvPicPr>
        <xdr:cNvPr id="5" name="Picture 4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265" y="3286760"/>
          <a:ext cx="10328910" cy="3222625"/>
        </a:xfrm>
        <a:prstGeom prst="rect">
          <a:avLst/>
        </a:prstGeom>
      </xdr:spPr>
    </xdr:pic>
    <xdr:clientData/>
  </xdr:twoCellAnchor>
  <xdr:twoCellAnchor editAs="oneCell">
    <xdr:from>
      <xdr:col>8</xdr:col>
      <xdr:colOff>157623</xdr:colOff>
      <xdr:row>2</xdr:row>
      <xdr:rowOff>145679</xdr:rowOff>
    </xdr:from>
    <xdr:to>
      <xdr:col>10</xdr:col>
      <xdr:colOff>1804443</xdr:colOff>
      <xdr:row>8</xdr:row>
      <xdr:rowOff>124208</xdr:rowOff>
    </xdr:to>
    <xdr:pic>
      <xdr:nvPicPr>
        <xdr:cNvPr id="8" name="Picture 7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11" r="32103" b="31936"/>
        <a:stretch>
          <a:fillRect/>
        </a:stretch>
      </xdr:blipFill>
      <xdr:spPr>
        <a:xfrm>
          <a:off x="4958080" y="812165"/>
          <a:ext cx="2846705" cy="1416685"/>
        </a:xfrm>
        <a:prstGeom prst="rect">
          <a:avLst/>
        </a:prstGeom>
      </xdr:spPr>
    </xdr:pic>
    <xdr:clientData/>
  </xdr:twoCellAnchor>
  <xdr:twoCellAnchor editAs="oneCell">
    <xdr:from>
      <xdr:col>8</xdr:col>
      <xdr:colOff>571499</xdr:colOff>
      <xdr:row>16</xdr:row>
      <xdr:rowOff>222492</xdr:rowOff>
    </xdr:from>
    <xdr:to>
      <xdr:col>11</xdr:col>
      <xdr:colOff>396688</xdr:colOff>
      <xdr:row>19</xdr:row>
      <xdr:rowOff>145676</xdr:rowOff>
    </xdr:to>
    <xdr:pic>
      <xdr:nvPicPr>
        <xdr:cNvPr id="12" name="Picture 11"/>
        <xdr:cNvPicPr>
          <a:picLocks noChangeAspect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486" t="41681" b="30084"/>
        <a:stretch>
          <a:fillRect/>
        </a:stretch>
      </xdr:blipFill>
      <xdr:spPr>
        <a:xfrm>
          <a:off x="5371465" y="4356100"/>
          <a:ext cx="3054350" cy="780415"/>
        </a:xfrm>
        <a:prstGeom prst="rect">
          <a:avLst/>
        </a:prstGeom>
      </xdr:spPr>
    </xdr:pic>
    <xdr:clientData/>
  </xdr:twoCellAnchor>
  <xdr:twoCellAnchor editAs="oneCell">
    <xdr:from>
      <xdr:col>2</xdr:col>
      <xdr:colOff>339719</xdr:colOff>
      <xdr:row>2</xdr:row>
      <xdr:rowOff>139887</xdr:rowOff>
    </xdr:from>
    <xdr:to>
      <xdr:col>6</xdr:col>
      <xdr:colOff>283691</xdr:colOff>
      <xdr:row>5</xdr:row>
      <xdr:rowOff>225804</xdr:rowOff>
    </xdr:to>
    <xdr:pic>
      <xdr:nvPicPr>
        <xdr:cNvPr id="14" name="Picture 13"/>
        <xdr:cNvPicPr>
          <a:picLocks noChangeAspect="1"/>
        </xdr:cNvPicPr>
      </xdr:nvPicPr>
      <xdr:blipFill>
        <a:blip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8927" r="51667" b="29791"/>
        <a:stretch>
          <a:fillRect/>
        </a:stretch>
      </xdr:blipFill>
      <xdr:spPr>
        <a:xfrm>
          <a:off x="1539240" y="806450"/>
          <a:ext cx="2344420" cy="838200"/>
        </a:xfrm>
        <a:prstGeom prst="rect">
          <a:avLst/>
        </a:prstGeom>
      </xdr:spPr>
    </xdr:pic>
    <xdr:clientData/>
  </xdr:twoCellAnchor>
  <xdr:twoCellAnchor editAs="oneCell">
    <xdr:from>
      <xdr:col>12</xdr:col>
      <xdr:colOff>403412</xdr:colOff>
      <xdr:row>4</xdr:row>
      <xdr:rowOff>146410</xdr:rowOff>
    </xdr:from>
    <xdr:to>
      <xdr:col>17</xdr:col>
      <xdr:colOff>535848</xdr:colOff>
      <xdr:row>11</xdr:row>
      <xdr:rowOff>280147</xdr:rowOff>
    </xdr:to>
    <xdr:pic>
      <xdr:nvPicPr>
        <xdr:cNvPr id="16" name="Picture 15"/>
        <xdr:cNvPicPr>
          <a:picLocks noChangeAspect="1"/>
        </xdr:cNvPicPr>
      </xdr:nvPicPr>
      <xdr:blipFill>
        <a:blip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584"/>
        <a:stretch>
          <a:fillRect/>
        </a:stretch>
      </xdr:blipFill>
      <xdr:spPr>
        <a:xfrm>
          <a:off x="9032875" y="1279525"/>
          <a:ext cx="3132455" cy="17056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mgirvin\Desktop\Video35-39-Excel2013Basics17-21-MoreFormulas&amp;References%20(1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opics"/>
      <sheetName val="Search"/>
      <sheetName val="Search (an)"/>
      <sheetName val="Func &amp; Defined Names "/>
      <sheetName val="Func &amp; Defined Names (an)"/>
      <sheetName val="SUMIFS and COUNTIFS"/>
      <sheetName val="SUMIFS and COUNTIFS (an)"/>
      <sheetName val="Cell References"/>
      <sheetName val="CR(1)"/>
      <sheetName val="CR(1an)"/>
      <sheetName val="CR(2)"/>
      <sheetName val="CR(2an)"/>
      <sheetName val="CR(3)"/>
      <sheetName val="CR(3an)"/>
      <sheetName val="CR(4)"/>
      <sheetName val="CR(4an)"/>
      <sheetName val="AT(1)"/>
      <sheetName val="AT(1an)"/>
      <sheetName val="AT(2)"/>
      <sheetName val="AT(2an)"/>
      <sheetName val="HW==&gt;&gt;"/>
      <sheetName val="HW(1)"/>
      <sheetName val="HW(1an)"/>
      <sheetName val="HW(1an) (2)"/>
      <sheetName val="HW(2)"/>
      <sheetName val="HW(2an)"/>
      <sheetName val="HW(3)"/>
      <sheetName val="HW(3an)"/>
      <sheetName val="HW(4)"/>
      <sheetName val="HW(4an)"/>
      <sheetName val="HW(5)"/>
      <sheetName val="HW(5an)"/>
      <sheetName val="HW(6)"/>
      <sheetName val="HW(6an)"/>
      <sheetName val="HW(7)"/>
      <sheetName val="HW(7an)"/>
      <sheetName val="HW(8)"/>
      <sheetName val="HW(8an)"/>
      <sheetName val="HW(9)"/>
      <sheetName val="HW(9an)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FF00"/>
  </sheetPr>
  <dimension ref="A1:T27"/>
  <sheetViews>
    <sheetView zoomScale="98" zoomScaleNormal="98" workbookViewId="0">
      <selection activeCell="U40" sqref="U40"/>
    </sheetView>
  </sheetViews>
  <sheetFormatPr defaultColWidth="9" defaultRowHeight="15"/>
  <cols>
    <col min="11" max="11" width="30.4285714285714" customWidth="1"/>
  </cols>
  <sheetData>
    <row r="1" ht="15.75" spans="1:20">
      <c r="A1" s="106"/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</row>
    <row r="2" ht="36.75" spans="1:20">
      <c r="A2" s="106"/>
      <c r="B2" s="107" t="s">
        <v>0</v>
      </c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20"/>
      <c r="T2" s="106"/>
    </row>
    <row r="3" ht="15.75" spans="1:20">
      <c r="A3" s="106"/>
      <c r="B3" s="109"/>
      <c r="C3" s="110"/>
      <c r="D3" s="111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21"/>
      <c r="T3" s="106"/>
    </row>
    <row r="4" ht="21" spans="1:20">
      <c r="A4" s="106"/>
      <c r="B4" s="109"/>
      <c r="C4" s="110"/>
      <c r="D4" s="111"/>
      <c r="E4" s="112"/>
      <c r="F4" s="112"/>
      <c r="G4" s="112"/>
      <c r="H4" s="113"/>
      <c r="I4" s="113"/>
      <c r="J4" s="112"/>
      <c r="K4" s="112"/>
      <c r="L4" s="112"/>
      <c r="M4" s="112"/>
      <c r="N4" s="112"/>
      <c r="O4" s="118" t="s">
        <v>1</v>
      </c>
      <c r="P4" s="112"/>
      <c r="Q4" s="112"/>
      <c r="R4" s="112"/>
      <c r="S4" s="121"/>
      <c r="T4" s="106"/>
    </row>
    <row r="5" ht="22.5" spans="1:20">
      <c r="A5" s="106"/>
      <c r="B5" s="109"/>
      <c r="C5" s="110"/>
      <c r="D5" s="111"/>
      <c r="E5" s="114"/>
      <c r="F5" s="114"/>
      <c r="G5" s="114"/>
      <c r="H5" s="113"/>
      <c r="I5" s="113"/>
      <c r="J5" s="114"/>
      <c r="K5" s="114"/>
      <c r="L5" s="114"/>
      <c r="M5" s="114"/>
      <c r="N5" s="114"/>
      <c r="O5" s="114"/>
      <c r="P5" s="114"/>
      <c r="Q5" s="114"/>
      <c r="R5" s="114"/>
      <c r="S5" s="122"/>
      <c r="T5" s="106"/>
    </row>
    <row r="6" ht="22.5" spans="1:20">
      <c r="A6" s="106"/>
      <c r="B6" s="109"/>
      <c r="C6" s="110"/>
      <c r="D6" s="111"/>
      <c r="E6" s="114"/>
      <c r="F6" s="114"/>
      <c r="G6" s="114"/>
      <c r="H6" s="113"/>
      <c r="I6" s="113"/>
      <c r="J6" s="113"/>
      <c r="K6" s="113"/>
      <c r="L6" s="113"/>
      <c r="M6" s="113"/>
      <c r="N6" s="113"/>
      <c r="O6" s="113"/>
      <c r="P6" s="114"/>
      <c r="Q6" s="123"/>
      <c r="R6" s="113"/>
      <c r="S6" s="124"/>
      <c r="T6" s="106"/>
    </row>
    <row r="7" ht="15.75" spans="1:20">
      <c r="A7" s="106"/>
      <c r="B7" s="109"/>
      <c r="C7" s="110" t="s">
        <v>2</v>
      </c>
      <c r="D7" s="111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24"/>
      <c r="T7" s="106"/>
    </row>
    <row r="8" ht="15.75" spans="1:20">
      <c r="A8" s="106"/>
      <c r="B8" s="109">
        <v>1</v>
      </c>
      <c r="C8" s="115" t="str">
        <f>Multiplication!A1</f>
        <v>Example 1: Mixed Cell References in Multiplication Table</v>
      </c>
      <c r="D8" s="111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24"/>
      <c r="T8" s="106"/>
    </row>
    <row r="9" ht="15.75" spans="1:20">
      <c r="A9" s="106"/>
      <c r="B9" s="109">
        <v>2</v>
      </c>
      <c r="C9" s="115" t="str">
        <f>'Budget &amp; Assumption T.'!A1</f>
        <v>Example 2: Mixed Cell References &amp; Assumption Tables.</v>
      </c>
      <c r="D9" s="111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24"/>
      <c r="T9" s="106"/>
    </row>
    <row r="10" ht="15.75" spans="1:20">
      <c r="A10" s="106"/>
      <c r="B10" s="109">
        <v>3</v>
      </c>
      <c r="C10" s="115" t="str">
        <f>Budget!A1</f>
        <v>Example 3: Mixed Cell References for Budget with Income Statement Accounts</v>
      </c>
      <c r="D10" s="111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24"/>
      <c r="T10" s="106"/>
    </row>
    <row r="11" ht="15.75" spans="1:20">
      <c r="A11" s="106"/>
      <c r="B11" s="109">
        <v>4</v>
      </c>
      <c r="C11" s="115" t="str">
        <f>Pension!A1</f>
        <v>Example 4: Mixed Cell References for Retirement Savings Table</v>
      </c>
      <c r="D11" s="111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24"/>
      <c r="T11" s="106"/>
    </row>
    <row r="12" ht="22.5" spans="1:20">
      <c r="A12" s="106"/>
      <c r="B12" s="109">
        <v>5</v>
      </c>
      <c r="C12" s="115" t="str">
        <f>'Payroll (an)'!A1</f>
        <v>Example 5: Mixed Cell References &amp; Correct Assumption Table for Dynamic Payroll Table</v>
      </c>
      <c r="D12" s="114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24"/>
      <c r="T12" s="106"/>
    </row>
    <row r="13" ht="22.5" spans="1:20">
      <c r="A13" s="106"/>
      <c r="B13" s="109"/>
      <c r="C13" s="113"/>
      <c r="D13" s="113"/>
      <c r="E13" s="113"/>
      <c r="F13" s="113"/>
      <c r="G13" s="113"/>
      <c r="H13" s="113"/>
      <c r="I13" s="113"/>
      <c r="J13" s="119"/>
      <c r="K13" s="115"/>
      <c r="L13" s="119"/>
      <c r="M13" s="115"/>
      <c r="N13" s="114"/>
      <c r="O13" s="113"/>
      <c r="P13" s="113"/>
      <c r="Q13" s="113"/>
      <c r="R13" s="113"/>
      <c r="S13" s="124"/>
      <c r="T13" s="106"/>
    </row>
    <row r="14" ht="22.5" spans="1:20">
      <c r="A14" s="106"/>
      <c r="B14" s="109"/>
      <c r="C14" s="113"/>
      <c r="D14" s="113"/>
      <c r="E14" s="113"/>
      <c r="F14" s="113"/>
      <c r="G14" s="113"/>
      <c r="H14" s="113"/>
      <c r="I14" s="113"/>
      <c r="J14" s="119"/>
      <c r="K14" s="115"/>
      <c r="L14" s="119"/>
      <c r="M14" s="115"/>
      <c r="N14" s="114"/>
      <c r="O14" s="113"/>
      <c r="P14" s="113"/>
      <c r="Q14" s="113"/>
      <c r="R14" s="113"/>
      <c r="S14" s="124"/>
      <c r="T14" s="106"/>
    </row>
    <row r="15" ht="22.5" spans="1:20">
      <c r="A15" s="106"/>
      <c r="B15" s="109"/>
      <c r="C15" s="113"/>
      <c r="D15" s="113"/>
      <c r="E15" s="113"/>
      <c r="F15" s="113"/>
      <c r="G15" s="113"/>
      <c r="H15" s="113"/>
      <c r="I15" s="113"/>
      <c r="J15" s="119"/>
      <c r="K15" s="115"/>
      <c r="L15" s="119"/>
      <c r="M15" s="115"/>
      <c r="N15" s="114"/>
      <c r="O15" s="113"/>
      <c r="P15" s="113"/>
      <c r="Q15" s="113"/>
      <c r="R15" s="113"/>
      <c r="S15" s="124"/>
      <c r="T15" s="106"/>
    </row>
    <row r="16" ht="22.5" spans="1:20">
      <c r="A16" s="106"/>
      <c r="B16" s="109"/>
      <c r="C16" s="113"/>
      <c r="D16" s="113"/>
      <c r="E16" s="113"/>
      <c r="F16" s="113"/>
      <c r="G16" s="113"/>
      <c r="H16" s="113"/>
      <c r="I16" s="113"/>
      <c r="J16" s="119"/>
      <c r="K16" s="115"/>
      <c r="L16" s="113"/>
      <c r="M16" s="113"/>
      <c r="N16" s="114"/>
      <c r="O16" s="113"/>
      <c r="P16" s="113"/>
      <c r="Q16" s="113"/>
      <c r="R16" s="113"/>
      <c r="S16" s="124"/>
      <c r="T16" s="106"/>
    </row>
    <row r="17" ht="22.5" spans="1:20">
      <c r="A17" s="106"/>
      <c r="B17" s="109"/>
      <c r="C17" s="113"/>
      <c r="D17" s="113"/>
      <c r="E17" s="113"/>
      <c r="F17" s="113"/>
      <c r="G17" s="113"/>
      <c r="H17" s="113"/>
      <c r="I17" s="113"/>
      <c r="J17" s="119"/>
      <c r="K17" s="115"/>
      <c r="L17" s="113"/>
      <c r="M17" s="113"/>
      <c r="N17" s="114"/>
      <c r="O17" s="113"/>
      <c r="P17" s="113"/>
      <c r="Q17" s="113"/>
      <c r="R17" s="113"/>
      <c r="S17" s="124"/>
      <c r="T17" s="106"/>
    </row>
    <row r="18" ht="22.5" spans="1:20">
      <c r="A18" s="106"/>
      <c r="B18" s="109"/>
      <c r="C18" s="113"/>
      <c r="D18" s="113"/>
      <c r="E18" s="113"/>
      <c r="F18" s="113"/>
      <c r="G18" s="113"/>
      <c r="H18" s="113"/>
      <c r="I18" s="113"/>
      <c r="J18" s="119"/>
      <c r="K18" s="115"/>
      <c r="L18" s="113"/>
      <c r="M18" s="113"/>
      <c r="N18" s="114"/>
      <c r="O18" s="113"/>
      <c r="P18" s="113"/>
      <c r="Q18" s="113"/>
      <c r="R18" s="113"/>
      <c r="S18" s="124"/>
      <c r="T18" s="106"/>
    </row>
    <row r="19" ht="22.5" spans="1:20">
      <c r="A19" s="106"/>
      <c r="B19" s="109"/>
      <c r="C19" s="113"/>
      <c r="D19" s="113"/>
      <c r="E19" s="113"/>
      <c r="F19" s="113"/>
      <c r="G19" s="113"/>
      <c r="H19" s="113"/>
      <c r="I19" s="113"/>
      <c r="J19" s="119"/>
      <c r="K19" s="115"/>
      <c r="L19" s="113"/>
      <c r="M19" s="113"/>
      <c r="N19" s="114"/>
      <c r="O19" s="113"/>
      <c r="P19" s="113"/>
      <c r="Q19" s="113"/>
      <c r="R19" s="113"/>
      <c r="S19" s="124"/>
      <c r="T19" s="106"/>
    </row>
    <row r="20" ht="22.5" spans="1:20">
      <c r="A20" s="106"/>
      <c r="B20" s="109"/>
      <c r="C20" s="113"/>
      <c r="D20" s="113"/>
      <c r="E20" s="113"/>
      <c r="F20" s="113"/>
      <c r="G20" s="113"/>
      <c r="H20" s="113"/>
      <c r="I20" s="113"/>
      <c r="J20" s="119"/>
      <c r="K20" s="115"/>
      <c r="L20" s="113"/>
      <c r="M20" s="113"/>
      <c r="N20" s="114"/>
      <c r="O20" s="113"/>
      <c r="P20" s="113"/>
      <c r="Q20" s="113"/>
      <c r="R20" s="113"/>
      <c r="S20" s="124"/>
      <c r="T20" s="106"/>
    </row>
    <row r="21" ht="22.5" spans="1:20">
      <c r="A21" s="106"/>
      <c r="B21" s="109"/>
      <c r="C21" s="113"/>
      <c r="D21" s="113"/>
      <c r="E21" s="113"/>
      <c r="F21" s="113"/>
      <c r="G21" s="113"/>
      <c r="H21" s="113"/>
      <c r="I21" s="113"/>
      <c r="J21" s="119"/>
      <c r="K21" s="115"/>
      <c r="L21" s="113"/>
      <c r="M21" s="113"/>
      <c r="N21" s="114"/>
      <c r="O21" s="113"/>
      <c r="P21" s="113"/>
      <c r="Q21" s="113"/>
      <c r="R21" s="113"/>
      <c r="S21" s="124"/>
      <c r="T21" s="106"/>
    </row>
    <row r="22" ht="22.5" spans="1:20">
      <c r="A22" s="106"/>
      <c r="B22" s="109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4"/>
      <c r="O22" s="113"/>
      <c r="P22" s="113"/>
      <c r="Q22" s="113"/>
      <c r="R22" s="113"/>
      <c r="S22" s="124"/>
      <c r="T22" s="106"/>
    </row>
    <row r="23" ht="22.5" spans="1:20">
      <c r="A23" s="106"/>
      <c r="B23" s="109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4"/>
      <c r="O23" s="113"/>
      <c r="P23" s="113"/>
      <c r="Q23" s="113"/>
      <c r="R23" s="113"/>
      <c r="S23" s="124"/>
      <c r="T23" s="106"/>
    </row>
    <row r="24" ht="22.5" spans="1:20">
      <c r="A24" s="106"/>
      <c r="B24" s="109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4"/>
      <c r="O24" s="113"/>
      <c r="P24" s="113"/>
      <c r="Q24" s="113"/>
      <c r="R24" s="113"/>
      <c r="S24" s="124"/>
      <c r="T24" s="106"/>
    </row>
    <row r="25" ht="15.75" spans="1:20">
      <c r="A25" s="106"/>
      <c r="B25" s="116"/>
      <c r="C25" s="117"/>
      <c r="D25" s="117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25"/>
      <c r="T25" s="106"/>
    </row>
    <row r="26" ht="15.75" spans="1:20">
      <c r="A26" s="106"/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</row>
    <row r="27" spans="1:20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U33"/>
  <sheetViews>
    <sheetView workbookViewId="0">
      <selection activeCell="B5" sqref="B5:M16"/>
    </sheetView>
  </sheetViews>
  <sheetFormatPr defaultColWidth="9" defaultRowHeight="15"/>
  <cols>
    <col min="18" max="18" width="17.1428571428571" customWidth="1"/>
  </cols>
  <sheetData>
    <row r="1" spans="1:1">
      <c r="A1" s="42" t="s">
        <v>3</v>
      </c>
    </row>
    <row r="3" ht="26.25" spans="1:21">
      <c r="A3" s="39" t="str">
        <f>"Mutiplication Table for my Little "&amp;S31</f>
        <v>Mutiplication Table for my Little Sister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2"/>
      <c r="O3" s="32"/>
      <c r="P3" s="32"/>
      <c r="Q3" s="32"/>
      <c r="R3" s="32"/>
      <c r="S3" s="32"/>
      <c r="T3" s="32"/>
      <c r="U3" s="32"/>
    </row>
    <row r="4" spans="1:21">
      <c r="A4" s="40"/>
      <c r="B4" s="40">
        <f>S29</f>
        <v>1</v>
      </c>
      <c r="C4" s="40">
        <f t="shared" ref="C4:M4" si="0">B4+$S30</f>
        <v>2</v>
      </c>
      <c r="D4" s="40">
        <f t="shared" si="0"/>
        <v>3</v>
      </c>
      <c r="E4" s="40">
        <f t="shared" si="0"/>
        <v>4</v>
      </c>
      <c r="F4" s="40">
        <f t="shared" si="0"/>
        <v>5</v>
      </c>
      <c r="G4" s="40">
        <f t="shared" si="0"/>
        <v>6</v>
      </c>
      <c r="H4" s="40">
        <f t="shared" si="0"/>
        <v>7</v>
      </c>
      <c r="I4" s="40">
        <f t="shared" si="0"/>
        <v>8</v>
      </c>
      <c r="J4" s="40">
        <f t="shared" si="0"/>
        <v>9</v>
      </c>
      <c r="K4" s="40">
        <f t="shared" si="0"/>
        <v>10</v>
      </c>
      <c r="L4" s="40">
        <f t="shared" si="0"/>
        <v>11</v>
      </c>
      <c r="M4" s="40">
        <f t="shared" si="0"/>
        <v>12</v>
      </c>
      <c r="N4" s="32"/>
      <c r="O4" s="32"/>
      <c r="P4" s="32"/>
      <c r="Q4" s="32"/>
      <c r="R4" s="32"/>
      <c r="S4" s="32"/>
      <c r="T4" s="32"/>
      <c r="U4" s="32"/>
    </row>
    <row r="5" spans="1:21">
      <c r="A5" s="40">
        <f>B4</f>
        <v>1</v>
      </c>
      <c r="B5" s="41">
        <f>B$4*$A5</f>
        <v>1</v>
      </c>
      <c r="C5" s="41">
        <f t="shared" ref="C5:M5" si="1">C$4*$A5</f>
        <v>2</v>
      </c>
      <c r="D5" s="41">
        <f t="shared" si="1"/>
        <v>3</v>
      </c>
      <c r="E5" s="41">
        <f t="shared" si="1"/>
        <v>4</v>
      </c>
      <c r="F5" s="41">
        <f t="shared" si="1"/>
        <v>5</v>
      </c>
      <c r="G5" s="41">
        <f t="shared" si="1"/>
        <v>6</v>
      </c>
      <c r="H5" s="41">
        <f t="shared" si="1"/>
        <v>7</v>
      </c>
      <c r="I5" s="41">
        <f t="shared" si="1"/>
        <v>8</v>
      </c>
      <c r="J5" s="41">
        <f t="shared" si="1"/>
        <v>9</v>
      </c>
      <c r="K5" s="41">
        <f t="shared" si="1"/>
        <v>10</v>
      </c>
      <c r="L5" s="41">
        <f t="shared" si="1"/>
        <v>11</v>
      </c>
      <c r="M5" s="41">
        <f t="shared" si="1"/>
        <v>12</v>
      </c>
      <c r="N5" s="32"/>
      <c r="O5" s="32"/>
      <c r="P5" s="32"/>
      <c r="Q5" s="32"/>
      <c r="R5" s="32"/>
      <c r="S5" s="32"/>
      <c r="T5" s="32"/>
      <c r="U5" s="32"/>
    </row>
    <row r="6" spans="1:21">
      <c r="A6" s="40">
        <f t="shared" ref="A6:A16" si="2">A5+S$30</f>
        <v>2</v>
      </c>
      <c r="B6" s="41">
        <f t="shared" ref="B6:B16" si="3">B$4*$A6</f>
        <v>2</v>
      </c>
      <c r="C6" s="41">
        <f t="shared" ref="C6:M6" si="4">C$4*$A6</f>
        <v>4</v>
      </c>
      <c r="D6" s="41">
        <f t="shared" si="4"/>
        <v>6</v>
      </c>
      <c r="E6" s="41">
        <f t="shared" si="4"/>
        <v>8</v>
      </c>
      <c r="F6" s="41">
        <f t="shared" si="4"/>
        <v>10</v>
      </c>
      <c r="G6" s="41">
        <f t="shared" si="4"/>
        <v>12</v>
      </c>
      <c r="H6" s="41">
        <f t="shared" si="4"/>
        <v>14</v>
      </c>
      <c r="I6" s="41">
        <f t="shared" si="4"/>
        <v>16</v>
      </c>
      <c r="J6" s="41">
        <f t="shared" si="4"/>
        <v>18</v>
      </c>
      <c r="K6" s="41">
        <f t="shared" si="4"/>
        <v>20</v>
      </c>
      <c r="L6" s="41">
        <f t="shared" si="4"/>
        <v>22</v>
      </c>
      <c r="M6" s="41">
        <f t="shared" si="4"/>
        <v>24</v>
      </c>
      <c r="N6" s="32"/>
      <c r="O6" s="32"/>
      <c r="P6" s="32"/>
      <c r="Q6" s="32"/>
      <c r="R6" s="32"/>
      <c r="S6" s="32"/>
      <c r="T6" s="32"/>
      <c r="U6" s="32"/>
    </row>
    <row r="7" spans="1:21">
      <c r="A7" s="40">
        <f t="shared" si="2"/>
        <v>3</v>
      </c>
      <c r="B7" s="41">
        <f t="shared" si="3"/>
        <v>3</v>
      </c>
      <c r="C7" s="41">
        <f t="shared" ref="C7:M7" si="5">C$4*$A7</f>
        <v>6</v>
      </c>
      <c r="D7" s="41">
        <f t="shared" si="5"/>
        <v>9</v>
      </c>
      <c r="E7" s="41">
        <f t="shared" si="5"/>
        <v>12</v>
      </c>
      <c r="F7" s="41">
        <f t="shared" si="5"/>
        <v>15</v>
      </c>
      <c r="G7" s="41">
        <f t="shared" si="5"/>
        <v>18</v>
      </c>
      <c r="H7" s="41">
        <f t="shared" si="5"/>
        <v>21</v>
      </c>
      <c r="I7" s="41">
        <f t="shared" si="5"/>
        <v>24</v>
      </c>
      <c r="J7" s="41">
        <f t="shared" si="5"/>
        <v>27</v>
      </c>
      <c r="K7" s="41">
        <f t="shared" si="5"/>
        <v>30</v>
      </c>
      <c r="L7" s="41">
        <f t="shared" si="5"/>
        <v>33</v>
      </c>
      <c r="M7" s="41">
        <f t="shared" si="5"/>
        <v>36</v>
      </c>
      <c r="N7" s="32"/>
      <c r="O7" s="32"/>
      <c r="P7" s="32"/>
      <c r="Q7" s="32"/>
      <c r="R7" s="32"/>
      <c r="S7" s="32"/>
      <c r="T7" s="32"/>
      <c r="U7" s="32"/>
    </row>
    <row r="8" spans="1:21">
      <c r="A8" s="40">
        <f t="shared" si="2"/>
        <v>4</v>
      </c>
      <c r="B8" s="41">
        <f t="shared" si="3"/>
        <v>4</v>
      </c>
      <c r="C8" s="41">
        <f t="shared" ref="C8:M8" si="6">C$4*$A8</f>
        <v>8</v>
      </c>
      <c r="D8" s="41">
        <f t="shared" si="6"/>
        <v>12</v>
      </c>
      <c r="E8" s="41">
        <f t="shared" si="6"/>
        <v>16</v>
      </c>
      <c r="F8" s="41">
        <f t="shared" si="6"/>
        <v>20</v>
      </c>
      <c r="G8" s="41">
        <f t="shared" si="6"/>
        <v>24</v>
      </c>
      <c r="H8" s="41">
        <f t="shared" si="6"/>
        <v>28</v>
      </c>
      <c r="I8" s="41">
        <f t="shared" si="6"/>
        <v>32</v>
      </c>
      <c r="J8" s="41">
        <f t="shared" si="6"/>
        <v>36</v>
      </c>
      <c r="K8" s="41">
        <f t="shared" si="6"/>
        <v>40</v>
      </c>
      <c r="L8" s="41">
        <f t="shared" si="6"/>
        <v>44</v>
      </c>
      <c r="M8" s="41">
        <f t="shared" si="6"/>
        <v>48</v>
      </c>
      <c r="N8" s="32"/>
      <c r="O8" s="32"/>
      <c r="P8" s="32"/>
      <c r="Q8" s="32"/>
      <c r="R8" s="32"/>
      <c r="S8" s="32"/>
      <c r="T8" s="32"/>
      <c r="U8" s="32"/>
    </row>
    <row r="9" spans="1:21">
      <c r="A9" s="40">
        <f t="shared" si="2"/>
        <v>5</v>
      </c>
      <c r="B9" s="41">
        <f t="shared" si="3"/>
        <v>5</v>
      </c>
      <c r="C9" s="41">
        <f t="shared" ref="C9:M9" si="7">C$4*$A9</f>
        <v>10</v>
      </c>
      <c r="D9" s="41">
        <f t="shared" si="7"/>
        <v>15</v>
      </c>
      <c r="E9" s="41">
        <f t="shared" si="7"/>
        <v>20</v>
      </c>
      <c r="F9" s="41">
        <f t="shared" si="7"/>
        <v>25</v>
      </c>
      <c r="G9" s="41">
        <f t="shared" si="7"/>
        <v>30</v>
      </c>
      <c r="H9" s="41">
        <f t="shared" si="7"/>
        <v>35</v>
      </c>
      <c r="I9" s="41">
        <f t="shared" si="7"/>
        <v>40</v>
      </c>
      <c r="J9" s="41">
        <f t="shared" si="7"/>
        <v>45</v>
      </c>
      <c r="K9" s="41">
        <f t="shared" si="7"/>
        <v>50</v>
      </c>
      <c r="L9" s="41">
        <f t="shared" si="7"/>
        <v>55</v>
      </c>
      <c r="M9" s="41">
        <f t="shared" si="7"/>
        <v>60</v>
      </c>
      <c r="N9" s="32"/>
      <c r="O9" s="32"/>
      <c r="P9" s="32"/>
      <c r="Q9" s="32"/>
      <c r="R9" s="32"/>
      <c r="S9" s="32"/>
      <c r="T9" s="32"/>
      <c r="U9" s="32"/>
    </row>
    <row r="10" spans="1:21">
      <c r="A10" s="40">
        <f t="shared" si="2"/>
        <v>6</v>
      </c>
      <c r="B10" s="41">
        <f t="shared" si="3"/>
        <v>6</v>
      </c>
      <c r="C10" s="41">
        <f t="shared" ref="C10:M10" si="8">C$4*$A10</f>
        <v>12</v>
      </c>
      <c r="D10" s="41">
        <f t="shared" si="8"/>
        <v>18</v>
      </c>
      <c r="E10" s="41">
        <f t="shared" si="8"/>
        <v>24</v>
      </c>
      <c r="F10" s="41">
        <f t="shared" si="8"/>
        <v>30</v>
      </c>
      <c r="G10" s="41">
        <f t="shared" si="8"/>
        <v>36</v>
      </c>
      <c r="H10" s="41">
        <f t="shared" si="8"/>
        <v>42</v>
      </c>
      <c r="I10" s="41">
        <f t="shared" si="8"/>
        <v>48</v>
      </c>
      <c r="J10" s="41">
        <f t="shared" si="8"/>
        <v>54</v>
      </c>
      <c r="K10" s="41">
        <f t="shared" si="8"/>
        <v>60</v>
      </c>
      <c r="L10" s="41">
        <f t="shared" si="8"/>
        <v>66</v>
      </c>
      <c r="M10" s="41">
        <f t="shared" si="8"/>
        <v>72</v>
      </c>
      <c r="N10" s="32"/>
      <c r="O10" s="32"/>
      <c r="P10" s="32"/>
      <c r="Q10" s="32"/>
      <c r="R10" s="32"/>
      <c r="S10" s="32"/>
      <c r="T10" s="32"/>
      <c r="U10" s="32"/>
    </row>
    <row r="11" spans="1:21">
      <c r="A11" s="40">
        <f t="shared" si="2"/>
        <v>7</v>
      </c>
      <c r="B11" s="41">
        <f t="shared" si="3"/>
        <v>7</v>
      </c>
      <c r="C11" s="41">
        <f t="shared" ref="C11:M11" si="9">C$4*$A11</f>
        <v>14</v>
      </c>
      <c r="D11" s="41">
        <f t="shared" si="9"/>
        <v>21</v>
      </c>
      <c r="E11" s="41">
        <f t="shared" si="9"/>
        <v>28</v>
      </c>
      <c r="F11" s="41">
        <f t="shared" si="9"/>
        <v>35</v>
      </c>
      <c r="G11" s="41">
        <f t="shared" si="9"/>
        <v>42</v>
      </c>
      <c r="H11" s="41">
        <f t="shared" si="9"/>
        <v>49</v>
      </c>
      <c r="I11" s="41">
        <f t="shared" si="9"/>
        <v>56</v>
      </c>
      <c r="J11" s="41">
        <f t="shared" si="9"/>
        <v>63</v>
      </c>
      <c r="K11" s="41">
        <f t="shared" si="9"/>
        <v>70</v>
      </c>
      <c r="L11" s="41">
        <f t="shared" si="9"/>
        <v>77</v>
      </c>
      <c r="M11" s="41">
        <f t="shared" si="9"/>
        <v>84</v>
      </c>
      <c r="N11" s="32"/>
      <c r="O11" s="32"/>
      <c r="P11" s="32"/>
      <c r="Q11" s="32"/>
      <c r="R11" s="32"/>
      <c r="S11" s="32"/>
      <c r="T11" s="32"/>
      <c r="U11" s="32"/>
    </row>
    <row r="12" spans="1:21">
      <c r="A12" s="40">
        <f t="shared" si="2"/>
        <v>8</v>
      </c>
      <c r="B12" s="41">
        <f t="shared" si="3"/>
        <v>8</v>
      </c>
      <c r="C12" s="41">
        <f t="shared" ref="C12:M12" si="10">C$4*$A12</f>
        <v>16</v>
      </c>
      <c r="D12" s="41">
        <f t="shared" si="10"/>
        <v>24</v>
      </c>
      <c r="E12" s="41">
        <f t="shared" si="10"/>
        <v>32</v>
      </c>
      <c r="F12" s="41">
        <f t="shared" si="10"/>
        <v>40</v>
      </c>
      <c r="G12" s="41">
        <f t="shared" si="10"/>
        <v>48</v>
      </c>
      <c r="H12" s="41">
        <f t="shared" si="10"/>
        <v>56</v>
      </c>
      <c r="I12" s="41">
        <f t="shared" si="10"/>
        <v>64</v>
      </c>
      <c r="J12" s="41">
        <f t="shared" si="10"/>
        <v>72</v>
      </c>
      <c r="K12" s="41">
        <f t="shared" si="10"/>
        <v>80</v>
      </c>
      <c r="L12" s="41">
        <f t="shared" si="10"/>
        <v>88</v>
      </c>
      <c r="M12" s="41">
        <f t="shared" si="10"/>
        <v>96</v>
      </c>
      <c r="N12" s="32"/>
      <c r="O12" s="32"/>
      <c r="P12" s="32"/>
      <c r="Q12" s="32"/>
      <c r="R12" s="32"/>
      <c r="S12" s="32"/>
      <c r="T12" s="32"/>
      <c r="U12" s="32"/>
    </row>
    <row r="13" spans="1:21">
      <c r="A13" s="40">
        <f t="shared" si="2"/>
        <v>9</v>
      </c>
      <c r="B13" s="41">
        <f t="shared" si="3"/>
        <v>9</v>
      </c>
      <c r="C13" s="41">
        <f t="shared" ref="C13:M13" si="11">C$4*$A13</f>
        <v>18</v>
      </c>
      <c r="D13" s="41">
        <f t="shared" si="11"/>
        <v>27</v>
      </c>
      <c r="E13" s="41">
        <f t="shared" si="11"/>
        <v>36</v>
      </c>
      <c r="F13" s="41">
        <f t="shared" si="11"/>
        <v>45</v>
      </c>
      <c r="G13" s="41">
        <f t="shared" si="11"/>
        <v>54</v>
      </c>
      <c r="H13" s="41">
        <f t="shared" si="11"/>
        <v>63</v>
      </c>
      <c r="I13" s="41">
        <f t="shared" si="11"/>
        <v>72</v>
      </c>
      <c r="J13" s="41">
        <f t="shared" si="11"/>
        <v>81</v>
      </c>
      <c r="K13" s="41">
        <f t="shared" si="11"/>
        <v>90</v>
      </c>
      <c r="L13" s="41">
        <f t="shared" si="11"/>
        <v>99</v>
      </c>
      <c r="M13" s="41">
        <f t="shared" si="11"/>
        <v>108</v>
      </c>
      <c r="N13" s="32"/>
      <c r="O13" s="32"/>
      <c r="P13" s="32"/>
      <c r="Q13" s="32"/>
      <c r="R13" s="32"/>
      <c r="S13" s="32"/>
      <c r="T13" s="32"/>
      <c r="U13" s="32"/>
    </row>
    <row r="14" spans="1:21">
      <c r="A14" s="40">
        <f t="shared" si="2"/>
        <v>10</v>
      </c>
      <c r="B14" s="41">
        <f t="shared" si="3"/>
        <v>10</v>
      </c>
      <c r="C14" s="41">
        <f t="shared" ref="C14:M14" si="12">C$4*$A14</f>
        <v>20</v>
      </c>
      <c r="D14" s="41">
        <f t="shared" si="12"/>
        <v>30</v>
      </c>
      <c r="E14" s="41">
        <f t="shared" si="12"/>
        <v>40</v>
      </c>
      <c r="F14" s="41">
        <f t="shared" si="12"/>
        <v>50</v>
      </c>
      <c r="G14" s="41">
        <f t="shared" si="12"/>
        <v>60</v>
      </c>
      <c r="H14" s="41">
        <f t="shared" si="12"/>
        <v>70</v>
      </c>
      <c r="I14" s="41">
        <f t="shared" si="12"/>
        <v>80</v>
      </c>
      <c r="J14" s="41">
        <f t="shared" si="12"/>
        <v>90</v>
      </c>
      <c r="K14" s="41">
        <f t="shared" si="12"/>
        <v>100</v>
      </c>
      <c r="L14" s="41">
        <f t="shared" si="12"/>
        <v>110</v>
      </c>
      <c r="M14" s="41">
        <f t="shared" si="12"/>
        <v>120</v>
      </c>
      <c r="N14" s="32"/>
      <c r="O14" s="32"/>
      <c r="P14" s="32"/>
      <c r="Q14" s="32"/>
      <c r="R14" s="32"/>
      <c r="S14" s="32"/>
      <c r="T14" s="32"/>
      <c r="U14" s="32"/>
    </row>
    <row r="15" spans="1:21">
      <c r="A15" s="40">
        <f t="shared" si="2"/>
        <v>11</v>
      </c>
      <c r="B15" s="41">
        <f t="shared" si="3"/>
        <v>11</v>
      </c>
      <c r="C15" s="41">
        <f t="shared" ref="C15:M15" si="13">C$4*$A15</f>
        <v>22</v>
      </c>
      <c r="D15" s="41">
        <f t="shared" si="13"/>
        <v>33</v>
      </c>
      <c r="E15" s="41">
        <f t="shared" si="13"/>
        <v>44</v>
      </c>
      <c r="F15" s="41">
        <f t="shared" si="13"/>
        <v>55</v>
      </c>
      <c r="G15" s="41">
        <f t="shared" si="13"/>
        <v>66</v>
      </c>
      <c r="H15" s="41">
        <f t="shared" si="13"/>
        <v>77</v>
      </c>
      <c r="I15" s="41">
        <f t="shared" si="13"/>
        <v>88</v>
      </c>
      <c r="J15" s="41">
        <f t="shared" si="13"/>
        <v>99</v>
      </c>
      <c r="K15" s="41">
        <f t="shared" si="13"/>
        <v>110</v>
      </c>
      <c r="L15" s="41">
        <f t="shared" si="13"/>
        <v>121</v>
      </c>
      <c r="M15" s="41">
        <f t="shared" si="13"/>
        <v>132</v>
      </c>
      <c r="N15" s="32"/>
      <c r="O15" s="32"/>
      <c r="P15" s="32"/>
      <c r="Q15" s="32"/>
      <c r="R15" s="32"/>
      <c r="S15" s="32"/>
      <c r="T15" s="32"/>
      <c r="U15" s="32"/>
    </row>
    <row r="16" spans="1:21">
      <c r="A16" s="40">
        <f t="shared" si="2"/>
        <v>12</v>
      </c>
      <c r="B16" s="41">
        <f t="shared" si="3"/>
        <v>12</v>
      </c>
      <c r="C16" s="41">
        <f t="shared" ref="C16:M16" si="14">C$4*$A16</f>
        <v>24</v>
      </c>
      <c r="D16" s="41">
        <f t="shared" si="14"/>
        <v>36</v>
      </c>
      <c r="E16" s="41">
        <f t="shared" si="14"/>
        <v>48</v>
      </c>
      <c r="F16" s="41">
        <f t="shared" si="14"/>
        <v>60</v>
      </c>
      <c r="G16" s="41">
        <f t="shared" si="14"/>
        <v>72</v>
      </c>
      <c r="H16" s="41">
        <f t="shared" si="14"/>
        <v>84</v>
      </c>
      <c r="I16" s="41">
        <f t="shared" si="14"/>
        <v>96</v>
      </c>
      <c r="J16" s="41">
        <f t="shared" si="14"/>
        <v>108</v>
      </c>
      <c r="K16" s="41">
        <f t="shared" si="14"/>
        <v>120</v>
      </c>
      <c r="L16" s="41">
        <f t="shared" si="14"/>
        <v>132</v>
      </c>
      <c r="M16" s="41">
        <f t="shared" si="14"/>
        <v>144</v>
      </c>
      <c r="N16" s="32"/>
      <c r="O16" s="32"/>
      <c r="P16" s="32"/>
      <c r="Q16" s="32"/>
      <c r="R16" s="32"/>
      <c r="S16" s="32"/>
      <c r="T16" s="32"/>
      <c r="U16" s="32"/>
    </row>
    <row r="17" spans="1:21">
      <c r="A17" s="32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32"/>
      <c r="O17" s="32"/>
      <c r="P17" s="32"/>
      <c r="Q17" s="32"/>
      <c r="R17" s="32"/>
      <c r="S17" s="32"/>
      <c r="T17" s="32"/>
      <c r="U17" s="32"/>
    </row>
    <row r="18" spans="1:21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</row>
    <row r="19" spans="1:21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</row>
    <row r="20" spans="1:21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</row>
    <row r="21" spans="1:21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</row>
    <row r="22" spans="1:21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</row>
    <row r="23" spans="1:21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</row>
    <row r="24" spans="1:21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</row>
    <row r="25" spans="1:21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</row>
    <row r="26" spans="1:21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</row>
    <row r="27" spans="1:21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104" t="s">
        <v>4</v>
      </c>
      <c r="S28" s="105"/>
      <c r="T28" s="32"/>
      <c r="U28" s="32"/>
    </row>
    <row r="29" spans="1:21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25" t="s">
        <v>5</v>
      </c>
      <c r="S29" s="25">
        <v>1</v>
      </c>
      <c r="T29" s="32"/>
      <c r="U29" s="32"/>
    </row>
    <row r="30" spans="1:21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25" t="s">
        <v>6</v>
      </c>
      <c r="S30" s="25">
        <v>1</v>
      </c>
      <c r="T30" s="32"/>
      <c r="U30" s="32"/>
    </row>
    <row r="31" spans="1:21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25" t="s">
        <v>7</v>
      </c>
      <c r="S31" s="25" t="s">
        <v>8</v>
      </c>
      <c r="T31" s="32"/>
      <c r="U31" s="32"/>
    </row>
    <row r="32" spans="1:21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</row>
    <row r="33" spans="1:21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U33"/>
  <sheetViews>
    <sheetView zoomScale="160" zoomScaleNormal="160" workbookViewId="0">
      <selection activeCell="B5" sqref="B5:M16"/>
    </sheetView>
  </sheetViews>
  <sheetFormatPr defaultColWidth="9" defaultRowHeight="15"/>
  <cols>
    <col min="18" max="18" width="17.1428571428571" customWidth="1"/>
  </cols>
  <sheetData>
    <row r="1" spans="1:1">
      <c r="A1" s="42" t="s">
        <v>3</v>
      </c>
    </row>
    <row r="3" ht="26.25" spans="1:21">
      <c r="A3" s="39" t="str">
        <f>"Mutiplication Table for my Little "&amp;S31</f>
        <v>Mutiplication Table for my Little Sister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2"/>
      <c r="O3" s="32"/>
      <c r="P3" s="32"/>
      <c r="Q3" s="32"/>
      <c r="R3" s="32"/>
      <c r="S3" s="32"/>
      <c r="T3" s="32"/>
      <c r="U3" s="32"/>
    </row>
    <row r="4" spans="1:21">
      <c r="A4" s="40"/>
      <c r="B4" s="40">
        <f>S29</f>
        <v>1</v>
      </c>
      <c r="C4" s="40">
        <f t="shared" ref="C4:M4" si="0">B4+$S30</f>
        <v>2</v>
      </c>
      <c r="D4" s="40">
        <f t="shared" si="0"/>
        <v>3</v>
      </c>
      <c r="E4" s="40">
        <f t="shared" si="0"/>
        <v>4</v>
      </c>
      <c r="F4" s="40">
        <f t="shared" si="0"/>
        <v>5</v>
      </c>
      <c r="G4" s="40">
        <f t="shared" si="0"/>
        <v>6</v>
      </c>
      <c r="H4" s="40">
        <f t="shared" si="0"/>
        <v>7</v>
      </c>
      <c r="I4" s="40">
        <f t="shared" si="0"/>
        <v>8</v>
      </c>
      <c r="J4" s="40">
        <f t="shared" si="0"/>
        <v>9</v>
      </c>
      <c r="K4" s="40">
        <f t="shared" si="0"/>
        <v>10</v>
      </c>
      <c r="L4" s="40">
        <f t="shared" si="0"/>
        <v>11</v>
      </c>
      <c r="M4" s="40">
        <f t="shared" si="0"/>
        <v>12</v>
      </c>
      <c r="N4" s="32"/>
      <c r="O4" s="32"/>
      <c r="P4" s="32"/>
      <c r="Q4" s="32"/>
      <c r="R4" s="32"/>
      <c r="S4" s="32"/>
      <c r="T4" s="32"/>
      <c r="U4" s="32"/>
    </row>
    <row r="5" spans="1:21">
      <c r="A5" s="40">
        <f>B4</f>
        <v>1</v>
      </c>
      <c r="B5" s="41">
        <f t="shared" ref="B5:M16" si="1">B$4*$A5</f>
        <v>1</v>
      </c>
      <c r="C5" s="41">
        <f t="shared" si="1"/>
        <v>2</v>
      </c>
      <c r="D5" s="41">
        <f t="shared" si="1"/>
        <v>3</v>
      </c>
      <c r="E5" s="41">
        <f t="shared" si="1"/>
        <v>4</v>
      </c>
      <c r="F5" s="41">
        <f t="shared" si="1"/>
        <v>5</v>
      </c>
      <c r="G5" s="41">
        <f t="shared" si="1"/>
        <v>6</v>
      </c>
      <c r="H5" s="41">
        <f t="shared" si="1"/>
        <v>7</v>
      </c>
      <c r="I5" s="41">
        <f t="shared" si="1"/>
        <v>8</v>
      </c>
      <c r="J5" s="41">
        <f t="shared" si="1"/>
        <v>9</v>
      </c>
      <c r="K5" s="41">
        <f t="shared" si="1"/>
        <v>10</v>
      </c>
      <c r="L5" s="41">
        <f t="shared" si="1"/>
        <v>11</v>
      </c>
      <c r="M5" s="41">
        <f t="shared" si="1"/>
        <v>12</v>
      </c>
      <c r="N5" s="32"/>
      <c r="O5" s="32"/>
      <c r="P5" s="32"/>
      <c r="Q5" s="32"/>
      <c r="R5" s="32"/>
      <c r="S5" s="32"/>
      <c r="T5" s="32"/>
      <c r="U5" s="32"/>
    </row>
    <row r="6" spans="1:21">
      <c r="A6" s="40">
        <f t="shared" ref="A6:A16" si="2">A5+S$30</f>
        <v>2</v>
      </c>
      <c r="B6" s="41">
        <f t="shared" si="1"/>
        <v>2</v>
      </c>
      <c r="C6" s="41">
        <f t="shared" si="1"/>
        <v>4</v>
      </c>
      <c r="D6" s="41">
        <f t="shared" si="1"/>
        <v>6</v>
      </c>
      <c r="E6" s="41">
        <f t="shared" si="1"/>
        <v>8</v>
      </c>
      <c r="F6" s="41">
        <f t="shared" si="1"/>
        <v>10</v>
      </c>
      <c r="G6" s="41">
        <f t="shared" si="1"/>
        <v>12</v>
      </c>
      <c r="H6" s="41">
        <f t="shared" si="1"/>
        <v>14</v>
      </c>
      <c r="I6" s="41">
        <f t="shared" si="1"/>
        <v>16</v>
      </c>
      <c r="J6" s="41">
        <f t="shared" si="1"/>
        <v>18</v>
      </c>
      <c r="K6" s="41">
        <f t="shared" si="1"/>
        <v>20</v>
      </c>
      <c r="L6" s="41">
        <f t="shared" si="1"/>
        <v>22</v>
      </c>
      <c r="M6" s="41">
        <f t="shared" si="1"/>
        <v>24</v>
      </c>
      <c r="N6" s="32"/>
      <c r="O6" s="32"/>
      <c r="P6" s="32"/>
      <c r="Q6" s="32"/>
      <c r="R6" s="32"/>
      <c r="S6" s="32"/>
      <c r="T6" s="32"/>
      <c r="U6" s="32"/>
    </row>
    <row r="7" spans="1:21">
      <c r="A7" s="40">
        <f t="shared" si="2"/>
        <v>3</v>
      </c>
      <c r="B7" s="41">
        <f t="shared" si="1"/>
        <v>3</v>
      </c>
      <c r="C7" s="41">
        <f t="shared" si="1"/>
        <v>6</v>
      </c>
      <c r="D7" s="41">
        <f t="shared" si="1"/>
        <v>9</v>
      </c>
      <c r="E7" s="41">
        <f t="shared" si="1"/>
        <v>12</v>
      </c>
      <c r="F7" s="41">
        <f t="shared" si="1"/>
        <v>15</v>
      </c>
      <c r="G7" s="41">
        <f t="shared" si="1"/>
        <v>18</v>
      </c>
      <c r="H7" s="41">
        <f t="shared" si="1"/>
        <v>21</v>
      </c>
      <c r="I7" s="41">
        <f t="shared" si="1"/>
        <v>24</v>
      </c>
      <c r="J7" s="41">
        <f t="shared" si="1"/>
        <v>27</v>
      </c>
      <c r="K7" s="41">
        <f t="shared" si="1"/>
        <v>30</v>
      </c>
      <c r="L7" s="41">
        <f t="shared" si="1"/>
        <v>33</v>
      </c>
      <c r="M7" s="41">
        <f t="shared" si="1"/>
        <v>36</v>
      </c>
      <c r="N7" s="32"/>
      <c r="O7" s="32"/>
      <c r="P7" s="32"/>
      <c r="Q7" s="32"/>
      <c r="R7" s="32"/>
      <c r="S7" s="32"/>
      <c r="T7" s="32"/>
      <c r="U7" s="32"/>
    </row>
    <row r="8" spans="1:21">
      <c r="A8" s="40">
        <f t="shared" si="2"/>
        <v>4</v>
      </c>
      <c r="B8" s="41">
        <f t="shared" si="1"/>
        <v>4</v>
      </c>
      <c r="C8" s="41">
        <f t="shared" si="1"/>
        <v>8</v>
      </c>
      <c r="D8" s="41">
        <f t="shared" si="1"/>
        <v>12</v>
      </c>
      <c r="E8" s="41">
        <f t="shared" si="1"/>
        <v>16</v>
      </c>
      <c r="F8" s="41">
        <f t="shared" si="1"/>
        <v>20</v>
      </c>
      <c r="G8" s="41">
        <f t="shared" si="1"/>
        <v>24</v>
      </c>
      <c r="H8" s="41">
        <f t="shared" si="1"/>
        <v>28</v>
      </c>
      <c r="I8" s="41">
        <f t="shared" si="1"/>
        <v>32</v>
      </c>
      <c r="J8" s="41">
        <f t="shared" si="1"/>
        <v>36</v>
      </c>
      <c r="K8" s="41">
        <f t="shared" si="1"/>
        <v>40</v>
      </c>
      <c r="L8" s="41">
        <f t="shared" si="1"/>
        <v>44</v>
      </c>
      <c r="M8" s="41">
        <f t="shared" si="1"/>
        <v>48</v>
      </c>
      <c r="N8" s="32"/>
      <c r="O8" s="32"/>
      <c r="P8" s="32"/>
      <c r="Q8" s="32"/>
      <c r="R8" s="32"/>
      <c r="S8" s="32"/>
      <c r="T8" s="32"/>
      <c r="U8" s="32"/>
    </row>
    <row r="9" spans="1:21">
      <c r="A9" s="40">
        <f t="shared" si="2"/>
        <v>5</v>
      </c>
      <c r="B9" s="41">
        <f t="shared" si="1"/>
        <v>5</v>
      </c>
      <c r="C9" s="41">
        <f t="shared" si="1"/>
        <v>10</v>
      </c>
      <c r="D9" s="41">
        <f t="shared" si="1"/>
        <v>15</v>
      </c>
      <c r="E9" s="41">
        <f t="shared" si="1"/>
        <v>20</v>
      </c>
      <c r="F9" s="41">
        <f t="shared" si="1"/>
        <v>25</v>
      </c>
      <c r="G9" s="41">
        <f t="shared" si="1"/>
        <v>30</v>
      </c>
      <c r="H9" s="41">
        <f t="shared" si="1"/>
        <v>35</v>
      </c>
      <c r="I9" s="41">
        <f t="shared" si="1"/>
        <v>40</v>
      </c>
      <c r="J9" s="41">
        <f t="shared" si="1"/>
        <v>45</v>
      </c>
      <c r="K9" s="41">
        <f t="shared" si="1"/>
        <v>50</v>
      </c>
      <c r="L9" s="41">
        <f t="shared" si="1"/>
        <v>55</v>
      </c>
      <c r="M9" s="41">
        <f t="shared" si="1"/>
        <v>60</v>
      </c>
      <c r="N9" s="32"/>
      <c r="O9" s="32"/>
      <c r="P9" s="32"/>
      <c r="Q9" s="32"/>
      <c r="R9" s="32"/>
      <c r="S9" s="32"/>
      <c r="T9" s="32"/>
      <c r="U9" s="32"/>
    </row>
    <row r="10" spans="1:21">
      <c r="A10" s="40">
        <f t="shared" si="2"/>
        <v>6</v>
      </c>
      <c r="B10" s="41">
        <f t="shared" si="1"/>
        <v>6</v>
      </c>
      <c r="C10" s="41">
        <f t="shared" si="1"/>
        <v>12</v>
      </c>
      <c r="D10" s="41">
        <f t="shared" si="1"/>
        <v>18</v>
      </c>
      <c r="E10" s="41">
        <f t="shared" si="1"/>
        <v>24</v>
      </c>
      <c r="F10" s="41">
        <f t="shared" si="1"/>
        <v>30</v>
      </c>
      <c r="G10" s="41">
        <f t="shared" si="1"/>
        <v>36</v>
      </c>
      <c r="H10" s="41">
        <f t="shared" si="1"/>
        <v>42</v>
      </c>
      <c r="I10" s="41">
        <f t="shared" si="1"/>
        <v>48</v>
      </c>
      <c r="J10" s="41">
        <f t="shared" si="1"/>
        <v>54</v>
      </c>
      <c r="K10" s="41">
        <f t="shared" si="1"/>
        <v>60</v>
      </c>
      <c r="L10" s="41">
        <f t="shared" si="1"/>
        <v>66</v>
      </c>
      <c r="M10" s="41">
        <f t="shared" si="1"/>
        <v>72</v>
      </c>
      <c r="N10" s="32"/>
      <c r="O10" s="32"/>
      <c r="P10" s="32"/>
      <c r="Q10" s="32"/>
      <c r="R10" s="32"/>
      <c r="S10" s="32"/>
      <c r="T10" s="32"/>
      <c r="U10" s="32"/>
    </row>
    <row r="11" spans="1:21">
      <c r="A11" s="40">
        <f t="shared" si="2"/>
        <v>7</v>
      </c>
      <c r="B11" s="41">
        <f t="shared" si="1"/>
        <v>7</v>
      </c>
      <c r="C11" s="41">
        <f t="shared" si="1"/>
        <v>14</v>
      </c>
      <c r="D11" s="41">
        <f t="shared" si="1"/>
        <v>21</v>
      </c>
      <c r="E11" s="41">
        <f t="shared" si="1"/>
        <v>28</v>
      </c>
      <c r="F11" s="41">
        <f t="shared" si="1"/>
        <v>35</v>
      </c>
      <c r="G11" s="41">
        <f t="shared" si="1"/>
        <v>42</v>
      </c>
      <c r="H11" s="41">
        <f t="shared" si="1"/>
        <v>49</v>
      </c>
      <c r="I11" s="41">
        <f t="shared" si="1"/>
        <v>56</v>
      </c>
      <c r="J11" s="41">
        <f t="shared" si="1"/>
        <v>63</v>
      </c>
      <c r="K11" s="41">
        <f t="shared" si="1"/>
        <v>70</v>
      </c>
      <c r="L11" s="41">
        <f t="shared" si="1"/>
        <v>77</v>
      </c>
      <c r="M11" s="41">
        <f t="shared" si="1"/>
        <v>84</v>
      </c>
      <c r="N11" s="32"/>
      <c r="O11" s="32"/>
      <c r="P11" s="32"/>
      <c r="Q11" s="32"/>
      <c r="R11" s="32"/>
      <c r="S11" s="32"/>
      <c r="T11" s="32"/>
      <c r="U11" s="32"/>
    </row>
    <row r="12" spans="1:21">
      <c r="A12" s="40">
        <f t="shared" si="2"/>
        <v>8</v>
      </c>
      <c r="B12" s="41">
        <f t="shared" si="1"/>
        <v>8</v>
      </c>
      <c r="C12" s="41">
        <f t="shared" si="1"/>
        <v>16</v>
      </c>
      <c r="D12" s="41">
        <f t="shared" si="1"/>
        <v>24</v>
      </c>
      <c r="E12" s="41">
        <f t="shared" si="1"/>
        <v>32</v>
      </c>
      <c r="F12" s="41">
        <f t="shared" si="1"/>
        <v>40</v>
      </c>
      <c r="G12" s="41">
        <f t="shared" si="1"/>
        <v>48</v>
      </c>
      <c r="H12" s="41">
        <f t="shared" si="1"/>
        <v>56</v>
      </c>
      <c r="I12" s="41">
        <f t="shared" si="1"/>
        <v>64</v>
      </c>
      <c r="J12" s="41">
        <f t="shared" si="1"/>
        <v>72</v>
      </c>
      <c r="K12" s="41">
        <f t="shared" si="1"/>
        <v>80</v>
      </c>
      <c r="L12" s="41">
        <f t="shared" si="1"/>
        <v>88</v>
      </c>
      <c r="M12" s="41">
        <f t="shared" si="1"/>
        <v>96</v>
      </c>
      <c r="N12" s="32"/>
      <c r="O12" s="32"/>
      <c r="P12" s="32"/>
      <c r="Q12" s="32"/>
      <c r="R12" s="32"/>
      <c r="S12" s="32"/>
      <c r="T12" s="32"/>
      <c r="U12" s="32"/>
    </row>
    <row r="13" spans="1:21">
      <c r="A13" s="40">
        <f t="shared" si="2"/>
        <v>9</v>
      </c>
      <c r="B13" s="41">
        <f t="shared" si="1"/>
        <v>9</v>
      </c>
      <c r="C13" s="41">
        <f t="shared" si="1"/>
        <v>18</v>
      </c>
      <c r="D13" s="41">
        <f t="shared" si="1"/>
        <v>27</v>
      </c>
      <c r="E13" s="41">
        <f t="shared" si="1"/>
        <v>36</v>
      </c>
      <c r="F13" s="41">
        <f t="shared" si="1"/>
        <v>45</v>
      </c>
      <c r="G13" s="41">
        <f t="shared" si="1"/>
        <v>54</v>
      </c>
      <c r="H13" s="41">
        <f t="shared" si="1"/>
        <v>63</v>
      </c>
      <c r="I13" s="41">
        <f t="shared" si="1"/>
        <v>72</v>
      </c>
      <c r="J13" s="41">
        <f t="shared" si="1"/>
        <v>81</v>
      </c>
      <c r="K13" s="41">
        <f t="shared" si="1"/>
        <v>90</v>
      </c>
      <c r="L13" s="41">
        <f t="shared" si="1"/>
        <v>99</v>
      </c>
      <c r="M13" s="41">
        <f t="shared" si="1"/>
        <v>108</v>
      </c>
      <c r="N13" s="32"/>
      <c r="O13" s="32"/>
      <c r="P13" s="32"/>
      <c r="Q13" s="32"/>
      <c r="R13" s="32"/>
      <c r="S13" s="32"/>
      <c r="T13" s="32"/>
      <c r="U13" s="32"/>
    </row>
    <row r="14" spans="1:21">
      <c r="A14" s="40">
        <f t="shared" si="2"/>
        <v>10</v>
      </c>
      <c r="B14" s="41">
        <f t="shared" si="1"/>
        <v>10</v>
      </c>
      <c r="C14" s="41">
        <f t="shared" si="1"/>
        <v>20</v>
      </c>
      <c r="D14" s="41">
        <f t="shared" si="1"/>
        <v>30</v>
      </c>
      <c r="E14" s="41">
        <f t="shared" si="1"/>
        <v>40</v>
      </c>
      <c r="F14" s="41">
        <f t="shared" si="1"/>
        <v>50</v>
      </c>
      <c r="G14" s="41">
        <f t="shared" si="1"/>
        <v>60</v>
      </c>
      <c r="H14" s="41">
        <f t="shared" si="1"/>
        <v>70</v>
      </c>
      <c r="I14" s="41">
        <f t="shared" si="1"/>
        <v>80</v>
      </c>
      <c r="J14" s="41">
        <f t="shared" si="1"/>
        <v>90</v>
      </c>
      <c r="K14" s="41">
        <f t="shared" si="1"/>
        <v>100</v>
      </c>
      <c r="L14" s="41">
        <f t="shared" si="1"/>
        <v>110</v>
      </c>
      <c r="M14" s="41">
        <f t="shared" si="1"/>
        <v>120</v>
      </c>
      <c r="N14" s="32"/>
      <c r="O14" s="32"/>
      <c r="P14" s="32"/>
      <c r="Q14" s="32"/>
      <c r="R14" s="32"/>
      <c r="S14" s="32"/>
      <c r="T14" s="32"/>
      <c r="U14" s="32"/>
    </row>
    <row r="15" spans="1:21">
      <c r="A15" s="40">
        <f t="shared" si="2"/>
        <v>11</v>
      </c>
      <c r="B15" s="41">
        <f t="shared" si="1"/>
        <v>11</v>
      </c>
      <c r="C15" s="41">
        <f t="shared" si="1"/>
        <v>22</v>
      </c>
      <c r="D15" s="41">
        <f t="shared" si="1"/>
        <v>33</v>
      </c>
      <c r="E15" s="41">
        <f t="shared" si="1"/>
        <v>44</v>
      </c>
      <c r="F15" s="41">
        <f t="shared" si="1"/>
        <v>55</v>
      </c>
      <c r="G15" s="41">
        <f t="shared" si="1"/>
        <v>66</v>
      </c>
      <c r="H15" s="41">
        <f t="shared" si="1"/>
        <v>77</v>
      </c>
      <c r="I15" s="41">
        <f t="shared" si="1"/>
        <v>88</v>
      </c>
      <c r="J15" s="41">
        <f t="shared" si="1"/>
        <v>99</v>
      </c>
      <c r="K15" s="41">
        <f t="shared" si="1"/>
        <v>110</v>
      </c>
      <c r="L15" s="41">
        <f t="shared" si="1"/>
        <v>121</v>
      </c>
      <c r="M15" s="41">
        <f t="shared" si="1"/>
        <v>132</v>
      </c>
      <c r="N15" s="32"/>
      <c r="O15" s="32"/>
      <c r="P15" s="32"/>
      <c r="Q15" s="32"/>
      <c r="R15" s="32"/>
      <c r="S15" s="32"/>
      <c r="T15" s="32"/>
      <c r="U15" s="32"/>
    </row>
    <row r="16" spans="1:21">
      <c r="A16" s="40">
        <f t="shared" si="2"/>
        <v>12</v>
      </c>
      <c r="B16" s="41">
        <f t="shared" si="1"/>
        <v>12</v>
      </c>
      <c r="C16" s="41">
        <f t="shared" si="1"/>
        <v>24</v>
      </c>
      <c r="D16" s="41">
        <f t="shared" si="1"/>
        <v>36</v>
      </c>
      <c r="E16" s="41">
        <f t="shared" si="1"/>
        <v>48</v>
      </c>
      <c r="F16" s="41">
        <f t="shared" si="1"/>
        <v>60</v>
      </c>
      <c r="G16" s="41">
        <f t="shared" si="1"/>
        <v>72</v>
      </c>
      <c r="H16" s="41">
        <f t="shared" si="1"/>
        <v>84</v>
      </c>
      <c r="I16" s="41">
        <f t="shared" si="1"/>
        <v>96</v>
      </c>
      <c r="J16" s="41">
        <f t="shared" si="1"/>
        <v>108</v>
      </c>
      <c r="K16" s="41">
        <f t="shared" si="1"/>
        <v>120</v>
      </c>
      <c r="L16" s="41">
        <f t="shared" si="1"/>
        <v>132</v>
      </c>
      <c r="M16" s="41">
        <f t="shared" si="1"/>
        <v>144</v>
      </c>
      <c r="N16" s="32"/>
      <c r="O16" s="32"/>
      <c r="P16" s="32"/>
      <c r="Q16" s="32"/>
      <c r="R16" s="32"/>
      <c r="S16" s="32"/>
      <c r="T16" s="32"/>
      <c r="U16" s="32"/>
    </row>
    <row r="17" spans="1:21">
      <c r="A17" s="32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32"/>
      <c r="O17" s="32"/>
      <c r="P17" s="32"/>
      <c r="Q17" s="32"/>
      <c r="R17" s="32"/>
      <c r="S17" s="32"/>
      <c r="T17" s="32"/>
      <c r="U17" s="32"/>
    </row>
    <row r="18" spans="1:21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</row>
    <row r="19" spans="1:21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</row>
    <row r="20" spans="1:21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</row>
    <row r="21" spans="1:21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</row>
    <row r="22" spans="1:21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</row>
    <row r="23" spans="1:21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</row>
    <row r="24" spans="1:21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</row>
    <row r="25" spans="1:21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</row>
    <row r="26" spans="1:21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</row>
    <row r="27" spans="1:21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104" t="s">
        <v>4</v>
      </c>
      <c r="S28" s="105"/>
      <c r="T28" s="32"/>
      <c r="U28" s="32"/>
    </row>
    <row r="29" spans="1:21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25" t="s">
        <v>5</v>
      </c>
      <c r="S29" s="25">
        <v>1</v>
      </c>
      <c r="T29" s="32"/>
      <c r="U29" s="32"/>
    </row>
    <row r="30" spans="1:21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25" t="s">
        <v>6</v>
      </c>
      <c r="S30" s="25">
        <v>1</v>
      </c>
      <c r="T30" s="32"/>
      <c r="U30" s="32"/>
    </row>
    <row r="31" spans="1:21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25" t="s">
        <v>7</v>
      </c>
      <c r="S31" s="25" t="s">
        <v>8</v>
      </c>
      <c r="T31" s="32"/>
      <c r="U31" s="32"/>
    </row>
    <row r="32" spans="1:21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</row>
    <row r="33" spans="1:21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G9"/>
  <sheetViews>
    <sheetView zoomScale="190" zoomScaleNormal="190" workbookViewId="0">
      <selection activeCell="G4" sqref="G4"/>
    </sheetView>
  </sheetViews>
  <sheetFormatPr defaultColWidth="9" defaultRowHeight="15" outlineLevelCol="6"/>
  <cols>
    <col min="1" max="1" width="22.8571428571429" customWidth="1"/>
    <col min="2" max="7" width="9.71428571428571" customWidth="1"/>
  </cols>
  <sheetData>
    <row r="1" spans="1:7">
      <c r="A1" s="86" t="s">
        <v>9</v>
      </c>
      <c r="B1" s="64" t="s">
        <v>10</v>
      </c>
      <c r="C1" s="64" t="s">
        <v>11</v>
      </c>
      <c r="D1" s="64" t="s">
        <v>12</v>
      </c>
      <c r="E1" s="64" t="s">
        <v>13</v>
      </c>
      <c r="F1" s="64" t="s">
        <v>14</v>
      </c>
      <c r="G1" s="64" t="s">
        <v>15</v>
      </c>
    </row>
    <row r="2" spans="1:7">
      <c r="A2" s="64" t="s">
        <v>16</v>
      </c>
      <c r="B2" s="101">
        <f>B7</f>
        <v>6500</v>
      </c>
      <c r="C2" s="101">
        <f>B2*$B$8</f>
        <v>6890</v>
      </c>
      <c r="D2" s="101">
        <f t="shared" ref="D2:F2" si="0">C2*$B$8</f>
        <v>7303.4</v>
      </c>
      <c r="E2" s="101">
        <f t="shared" si="0"/>
        <v>7741.604</v>
      </c>
      <c r="F2" s="101">
        <f t="shared" si="0"/>
        <v>8206.10024</v>
      </c>
      <c r="G2" s="101">
        <f>SUM(B2:F2)</f>
        <v>36641.10424</v>
      </c>
    </row>
    <row r="3" spans="1:7">
      <c r="A3" s="64" t="s">
        <v>17</v>
      </c>
      <c r="B3" s="101">
        <f>B2*$B$9</f>
        <v>5525</v>
      </c>
      <c r="C3" s="101">
        <f t="shared" ref="C3:F3" si="1">C2*$B$9</f>
        <v>5856.5</v>
      </c>
      <c r="D3" s="101">
        <f t="shared" si="1"/>
        <v>6207.89</v>
      </c>
      <c r="E3" s="101">
        <f t="shared" si="1"/>
        <v>6580.3634</v>
      </c>
      <c r="F3" s="101">
        <f t="shared" si="1"/>
        <v>6975.185204</v>
      </c>
      <c r="G3" s="101">
        <f t="shared" ref="G3:G4" si="2">SUM(B3:F3)</f>
        <v>31144.938604</v>
      </c>
    </row>
    <row r="4" spans="1:7">
      <c r="A4" s="64" t="s">
        <v>18</v>
      </c>
      <c r="B4" s="101">
        <f>B2-B3</f>
        <v>975</v>
      </c>
      <c r="C4" s="101">
        <f t="shared" ref="C4:F4" si="3">C2-C3</f>
        <v>1033.5</v>
      </c>
      <c r="D4" s="101">
        <f t="shared" si="3"/>
        <v>1095.51</v>
      </c>
      <c r="E4" s="101">
        <f t="shared" si="3"/>
        <v>1161.2406</v>
      </c>
      <c r="F4" s="101">
        <f t="shared" si="3"/>
        <v>1230.915036</v>
      </c>
      <c r="G4" s="101">
        <f t="shared" si="2"/>
        <v>5496.165636</v>
      </c>
    </row>
    <row r="6" spans="1:2">
      <c r="A6" s="84" t="s">
        <v>19</v>
      </c>
      <c r="B6" s="85"/>
    </row>
    <row r="7" spans="1:2">
      <c r="A7" s="3" t="s">
        <v>20</v>
      </c>
      <c r="B7" s="66">
        <v>6500</v>
      </c>
    </row>
    <row r="8" spans="1:2">
      <c r="A8" s="3" t="s">
        <v>21</v>
      </c>
      <c r="B8" s="102">
        <v>1.06</v>
      </c>
    </row>
    <row r="9" spans="1:2">
      <c r="A9" s="3" t="s">
        <v>22</v>
      </c>
      <c r="B9" s="102">
        <v>0.85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Q35"/>
  <sheetViews>
    <sheetView zoomScale="90" zoomScaleNormal="90" topLeftCell="A4" workbookViewId="0">
      <selection activeCell="M23" sqref="M23"/>
    </sheetView>
  </sheetViews>
  <sheetFormatPr defaultColWidth="9" defaultRowHeight="15"/>
  <cols>
    <col min="1" max="1" width="25.4285714285714" customWidth="1"/>
    <col min="4" max="4" width="24.7142857142857" customWidth="1"/>
    <col min="5" max="16" width="9.85714285714286" customWidth="1"/>
    <col min="17" max="17" width="10.8571428571429" customWidth="1"/>
  </cols>
  <sheetData>
    <row r="1" spans="1:1">
      <c r="A1" s="42" t="s">
        <v>23</v>
      </c>
    </row>
    <row r="3" spans="1:2">
      <c r="A3" s="84" t="s">
        <v>19</v>
      </c>
      <c r="B3" s="85"/>
    </row>
    <row r="4" spans="1:17">
      <c r="A4" s="3" t="s">
        <v>20</v>
      </c>
      <c r="B4" s="3">
        <v>5000</v>
      </c>
      <c r="D4" s="86" t="s">
        <v>9</v>
      </c>
      <c r="E4" s="20" t="s">
        <v>10</v>
      </c>
      <c r="F4" s="20" t="s">
        <v>11</v>
      </c>
      <c r="G4" s="20" t="s">
        <v>12</v>
      </c>
      <c r="H4" s="20" t="s">
        <v>13</v>
      </c>
      <c r="I4" s="20" t="s">
        <v>14</v>
      </c>
      <c r="J4" s="20" t="s">
        <v>24</v>
      </c>
      <c r="K4" s="20" t="s">
        <v>25</v>
      </c>
      <c r="L4" s="20" t="s">
        <v>26</v>
      </c>
      <c r="M4" s="20" t="s">
        <v>27</v>
      </c>
      <c r="N4" s="20" t="s">
        <v>28</v>
      </c>
      <c r="O4" s="20" t="s">
        <v>29</v>
      </c>
      <c r="P4" s="20" t="s">
        <v>30</v>
      </c>
      <c r="Q4" s="20" t="s">
        <v>15</v>
      </c>
    </row>
    <row r="5" spans="1:17">
      <c r="A5" s="3" t="s">
        <v>21</v>
      </c>
      <c r="B5" s="3">
        <v>0.015</v>
      </c>
      <c r="D5" s="20" t="s">
        <v>16</v>
      </c>
      <c r="E5" s="96">
        <v>5000</v>
      </c>
      <c r="F5" s="97">
        <f>ROUND(E5*(1+$B5),2)</f>
        <v>5075</v>
      </c>
      <c r="G5" s="97">
        <f>ROUND(F5*(1+$B5),2)</f>
        <v>5151.13</v>
      </c>
      <c r="H5" s="97">
        <f>ROUND(G5*(1+$B5),2)</f>
        <v>5228.4</v>
      </c>
      <c r="I5" s="97">
        <f t="shared" ref="I5:P5" si="0">ROUND(H5*(1+$B5),2)</f>
        <v>5306.83</v>
      </c>
      <c r="J5" s="97">
        <f t="shared" si="0"/>
        <v>5386.43</v>
      </c>
      <c r="K5" s="97">
        <f t="shared" si="0"/>
        <v>5467.23</v>
      </c>
      <c r="L5" s="97">
        <f t="shared" si="0"/>
        <v>5549.24</v>
      </c>
      <c r="M5" s="97">
        <f t="shared" si="0"/>
        <v>5632.48</v>
      </c>
      <c r="N5" s="97">
        <f t="shared" si="0"/>
        <v>5716.97</v>
      </c>
      <c r="O5" s="97">
        <f t="shared" si="0"/>
        <v>5802.72</v>
      </c>
      <c r="P5" s="97">
        <f t="shared" si="0"/>
        <v>5889.76</v>
      </c>
      <c r="Q5" s="100">
        <f>SUM(E5:P5)</f>
        <v>65206.19</v>
      </c>
    </row>
    <row r="6" spans="1:17">
      <c r="A6" s="3" t="s">
        <v>31</v>
      </c>
      <c r="B6" s="3"/>
      <c r="D6" s="88" t="s">
        <v>17</v>
      </c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100"/>
    </row>
    <row r="7" spans="1:17">
      <c r="A7" s="90" t="s">
        <v>32</v>
      </c>
      <c r="B7" s="3">
        <v>0.375</v>
      </c>
      <c r="D7" s="91" t="s">
        <v>32</v>
      </c>
      <c r="E7" s="97">
        <f>ROUND(E$5*$B7,2)</f>
        <v>1875</v>
      </c>
      <c r="F7" s="97">
        <f t="shared" ref="F7:P7" si="1">ROUND(F$5*$B7,2)</f>
        <v>1903.13</v>
      </c>
      <c r="G7" s="97">
        <f t="shared" si="1"/>
        <v>1931.67</v>
      </c>
      <c r="H7" s="97">
        <f t="shared" si="1"/>
        <v>1960.65</v>
      </c>
      <c r="I7" s="97">
        <f t="shared" si="1"/>
        <v>1990.06</v>
      </c>
      <c r="J7" s="97">
        <f t="shared" si="1"/>
        <v>2019.91</v>
      </c>
      <c r="K7" s="97">
        <f t="shared" si="1"/>
        <v>2050.21</v>
      </c>
      <c r="L7" s="97">
        <f t="shared" si="1"/>
        <v>2080.97</v>
      </c>
      <c r="M7" s="97">
        <f t="shared" si="1"/>
        <v>2112.18</v>
      </c>
      <c r="N7" s="97">
        <f t="shared" si="1"/>
        <v>2143.86</v>
      </c>
      <c r="O7" s="97">
        <f t="shared" si="1"/>
        <v>2176.02</v>
      </c>
      <c r="P7" s="97">
        <f t="shared" si="1"/>
        <v>2208.66</v>
      </c>
      <c r="Q7" s="100">
        <f t="shared" ref="Q6:Q21" si="2">SUM(E7:P7)</f>
        <v>24452.32</v>
      </c>
    </row>
    <row r="8" spans="1:17">
      <c r="A8" s="90" t="s">
        <v>33</v>
      </c>
      <c r="B8" s="3">
        <v>0.135</v>
      </c>
      <c r="D8" s="91" t="s">
        <v>33</v>
      </c>
      <c r="E8" s="97">
        <f t="shared" ref="E8:E19" si="3">ROUND(E$5*$B8,2)</f>
        <v>675</v>
      </c>
      <c r="F8" s="97">
        <f t="shared" ref="F8:P8" si="4">ROUND(F$5*$B8,2)</f>
        <v>685.13</v>
      </c>
      <c r="G8" s="97">
        <f t="shared" si="4"/>
        <v>695.4</v>
      </c>
      <c r="H8" s="97">
        <f t="shared" si="4"/>
        <v>705.83</v>
      </c>
      <c r="I8" s="97">
        <f t="shared" si="4"/>
        <v>716.42</v>
      </c>
      <c r="J8" s="97">
        <f t="shared" si="4"/>
        <v>727.17</v>
      </c>
      <c r="K8" s="97">
        <f t="shared" si="4"/>
        <v>738.08</v>
      </c>
      <c r="L8" s="97">
        <f t="shared" si="4"/>
        <v>749.15</v>
      </c>
      <c r="M8" s="97">
        <f t="shared" si="4"/>
        <v>760.38</v>
      </c>
      <c r="N8" s="97">
        <f t="shared" si="4"/>
        <v>771.79</v>
      </c>
      <c r="O8" s="97">
        <f t="shared" si="4"/>
        <v>783.37</v>
      </c>
      <c r="P8" s="97">
        <f t="shared" si="4"/>
        <v>795.12</v>
      </c>
      <c r="Q8" s="100">
        <f t="shared" si="2"/>
        <v>8802.84</v>
      </c>
    </row>
    <row r="9" spans="1:17">
      <c r="A9" s="90" t="s">
        <v>34</v>
      </c>
      <c r="B9" s="3">
        <v>0.075</v>
      </c>
      <c r="D9" s="91" t="s">
        <v>34</v>
      </c>
      <c r="E9" s="97">
        <f t="shared" si="3"/>
        <v>375</v>
      </c>
      <c r="F9" s="97">
        <f t="shared" ref="F9:P9" si="5">ROUND(F$5*$B9,2)</f>
        <v>380.63</v>
      </c>
      <c r="G9" s="97">
        <f t="shared" si="5"/>
        <v>386.33</v>
      </c>
      <c r="H9" s="97">
        <f t="shared" si="5"/>
        <v>392.13</v>
      </c>
      <c r="I9" s="97">
        <f t="shared" si="5"/>
        <v>398.01</v>
      </c>
      <c r="J9" s="97">
        <f t="shared" si="5"/>
        <v>403.98</v>
      </c>
      <c r="K9" s="97">
        <f t="shared" si="5"/>
        <v>410.04</v>
      </c>
      <c r="L9" s="97">
        <f t="shared" si="5"/>
        <v>416.19</v>
      </c>
      <c r="M9" s="97">
        <f t="shared" si="5"/>
        <v>422.44</v>
      </c>
      <c r="N9" s="97">
        <f t="shared" si="5"/>
        <v>428.77</v>
      </c>
      <c r="O9" s="97">
        <f t="shared" si="5"/>
        <v>435.2</v>
      </c>
      <c r="P9" s="97">
        <f t="shared" si="5"/>
        <v>441.73</v>
      </c>
      <c r="Q9" s="100">
        <f t="shared" si="2"/>
        <v>4890.45</v>
      </c>
    </row>
    <row r="10" spans="1:17">
      <c r="A10" s="90" t="s">
        <v>35</v>
      </c>
      <c r="B10" s="3">
        <v>0.015</v>
      </c>
      <c r="D10" s="91" t="s">
        <v>35</v>
      </c>
      <c r="E10" s="97">
        <f t="shared" si="3"/>
        <v>75</v>
      </c>
      <c r="F10" s="97">
        <f t="shared" ref="F10:P10" si="6">ROUND(F$5*$B10,2)</f>
        <v>76.13</v>
      </c>
      <c r="G10" s="97">
        <f t="shared" si="6"/>
        <v>77.27</v>
      </c>
      <c r="H10" s="97">
        <f t="shared" si="6"/>
        <v>78.43</v>
      </c>
      <c r="I10" s="97">
        <f t="shared" si="6"/>
        <v>79.6</v>
      </c>
      <c r="J10" s="97">
        <f t="shared" si="6"/>
        <v>80.8</v>
      </c>
      <c r="K10" s="97">
        <f t="shared" si="6"/>
        <v>82.01</v>
      </c>
      <c r="L10" s="97">
        <f t="shared" si="6"/>
        <v>83.24</v>
      </c>
      <c r="M10" s="97">
        <f t="shared" si="6"/>
        <v>84.49</v>
      </c>
      <c r="N10" s="97">
        <f t="shared" si="6"/>
        <v>85.75</v>
      </c>
      <c r="O10" s="97">
        <f t="shared" si="6"/>
        <v>87.04</v>
      </c>
      <c r="P10" s="97">
        <f t="shared" si="6"/>
        <v>88.35</v>
      </c>
      <c r="Q10" s="100">
        <f t="shared" si="2"/>
        <v>978.11</v>
      </c>
    </row>
    <row r="11" spans="1:17">
      <c r="A11" s="90" t="s">
        <v>36</v>
      </c>
      <c r="B11" s="3">
        <v>0.0475</v>
      </c>
      <c r="D11" s="91" t="s">
        <v>36</v>
      </c>
      <c r="E11" s="97">
        <f t="shared" si="3"/>
        <v>237.5</v>
      </c>
      <c r="F11" s="97">
        <f t="shared" ref="F11:P11" si="7">ROUND(F$5*$B11,2)</f>
        <v>241.06</v>
      </c>
      <c r="G11" s="97">
        <f t="shared" si="7"/>
        <v>244.68</v>
      </c>
      <c r="H11" s="97">
        <f t="shared" si="7"/>
        <v>248.35</v>
      </c>
      <c r="I11" s="97">
        <f t="shared" si="7"/>
        <v>252.07</v>
      </c>
      <c r="J11" s="97">
        <f t="shared" si="7"/>
        <v>255.86</v>
      </c>
      <c r="K11" s="97">
        <f t="shared" si="7"/>
        <v>259.69</v>
      </c>
      <c r="L11" s="97">
        <f t="shared" si="7"/>
        <v>263.59</v>
      </c>
      <c r="M11" s="97">
        <f t="shared" si="7"/>
        <v>267.54</v>
      </c>
      <c r="N11" s="97">
        <f t="shared" si="7"/>
        <v>271.56</v>
      </c>
      <c r="O11" s="97">
        <f t="shared" si="7"/>
        <v>275.63</v>
      </c>
      <c r="P11" s="97">
        <f t="shared" si="7"/>
        <v>279.76</v>
      </c>
      <c r="Q11" s="100">
        <f t="shared" si="2"/>
        <v>3097.29</v>
      </c>
    </row>
    <row r="12" spans="1:17">
      <c r="A12" s="90" t="s">
        <v>37</v>
      </c>
      <c r="B12" s="3">
        <v>0.035</v>
      </c>
      <c r="D12" s="91" t="s">
        <v>37</v>
      </c>
      <c r="E12" s="97">
        <f t="shared" si="3"/>
        <v>175</v>
      </c>
      <c r="F12" s="97">
        <f t="shared" ref="F12:P12" si="8">ROUND(F$5*$B12,2)</f>
        <v>177.63</v>
      </c>
      <c r="G12" s="97">
        <f t="shared" si="8"/>
        <v>180.29</v>
      </c>
      <c r="H12" s="97">
        <f t="shared" si="8"/>
        <v>182.99</v>
      </c>
      <c r="I12" s="97">
        <f t="shared" si="8"/>
        <v>185.74</v>
      </c>
      <c r="J12" s="97">
        <f t="shared" si="8"/>
        <v>188.53</v>
      </c>
      <c r="K12" s="97">
        <f t="shared" si="8"/>
        <v>191.35</v>
      </c>
      <c r="L12" s="97">
        <f t="shared" si="8"/>
        <v>194.22</v>
      </c>
      <c r="M12" s="97">
        <f t="shared" si="8"/>
        <v>197.14</v>
      </c>
      <c r="N12" s="97">
        <f t="shared" si="8"/>
        <v>200.09</v>
      </c>
      <c r="O12" s="97">
        <f t="shared" si="8"/>
        <v>203.1</v>
      </c>
      <c r="P12" s="97">
        <f t="shared" si="8"/>
        <v>206.14</v>
      </c>
      <c r="Q12" s="100">
        <f t="shared" si="2"/>
        <v>2282.22</v>
      </c>
    </row>
    <row r="13" spans="1:17">
      <c r="A13" s="90" t="s">
        <v>38</v>
      </c>
      <c r="B13" s="3">
        <v>0.0375</v>
      </c>
      <c r="D13" s="91" t="s">
        <v>38</v>
      </c>
      <c r="E13" s="97">
        <f t="shared" si="3"/>
        <v>187.5</v>
      </c>
      <c r="F13" s="97">
        <f t="shared" ref="F13:P13" si="9">ROUND(F$5*$B13,2)</f>
        <v>190.31</v>
      </c>
      <c r="G13" s="97">
        <f t="shared" si="9"/>
        <v>193.17</v>
      </c>
      <c r="H13" s="97">
        <f t="shared" si="9"/>
        <v>196.07</v>
      </c>
      <c r="I13" s="97">
        <f t="shared" si="9"/>
        <v>199.01</v>
      </c>
      <c r="J13" s="97">
        <f t="shared" si="9"/>
        <v>201.99</v>
      </c>
      <c r="K13" s="97">
        <f t="shared" si="9"/>
        <v>205.02</v>
      </c>
      <c r="L13" s="97">
        <f t="shared" si="9"/>
        <v>208.1</v>
      </c>
      <c r="M13" s="97">
        <f t="shared" si="9"/>
        <v>211.22</v>
      </c>
      <c r="N13" s="97">
        <f t="shared" si="9"/>
        <v>214.39</v>
      </c>
      <c r="O13" s="97">
        <f t="shared" si="9"/>
        <v>217.6</v>
      </c>
      <c r="P13" s="97">
        <f t="shared" si="9"/>
        <v>220.87</v>
      </c>
      <c r="Q13" s="100">
        <f t="shared" si="2"/>
        <v>2445.25</v>
      </c>
    </row>
    <row r="14" spans="1:17">
      <c r="A14" s="90" t="s">
        <v>39</v>
      </c>
      <c r="B14" s="3">
        <v>0.025</v>
      </c>
      <c r="D14" s="91" t="s">
        <v>39</v>
      </c>
      <c r="E14" s="97">
        <f t="shared" si="3"/>
        <v>125</v>
      </c>
      <c r="F14" s="97">
        <f t="shared" ref="F14:P14" si="10">ROUND(F$5*$B14,2)</f>
        <v>126.88</v>
      </c>
      <c r="G14" s="97">
        <f t="shared" si="10"/>
        <v>128.78</v>
      </c>
      <c r="H14" s="97">
        <f t="shared" si="10"/>
        <v>130.71</v>
      </c>
      <c r="I14" s="97">
        <f t="shared" si="10"/>
        <v>132.67</v>
      </c>
      <c r="J14" s="97">
        <f t="shared" si="10"/>
        <v>134.66</v>
      </c>
      <c r="K14" s="97">
        <f t="shared" si="10"/>
        <v>136.68</v>
      </c>
      <c r="L14" s="97">
        <f t="shared" si="10"/>
        <v>138.73</v>
      </c>
      <c r="M14" s="97">
        <f t="shared" si="10"/>
        <v>140.81</v>
      </c>
      <c r="N14" s="97">
        <f t="shared" si="10"/>
        <v>142.92</v>
      </c>
      <c r="O14" s="97">
        <f t="shared" si="10"/>
        <v>145.07</v>
      </c>
      <c r="P14" s="97">
        <f t="shared" si="10"/>
        <v>147.24</v>
      </c>
      <c r="Q14" s="100">
        <f t="shared" si="2"/>
        <v>1630.15</v>
      </c>
    </row>
    <row r="15" spans="1:17">
      <c r="A15" s="90" t="s">
        <v>40</v>
      </c>
      <c r="B15" s="3">
        <v>0.015</v>
      </c>
      <c r="D15" s="91" t="s">
        <v>40</v>
      </c>
      <c r="E15" s="97">
        <f t="shared" si="3"/>
        <v>75</v>
      </c>
      <c r="F15" s="97">
        <f t="shared" ref="F15:P15" si="11">ROUND(F$5*$B15,2)</f>
        <v>76.13</v>
      </c>
      <c r="G15" s="97">
        <f t="shared" si="11"/>
        <v>77.27</v>
      </c>
      <c r="H15" s="97">
        <f t="shared" si="11"/>
        <v>78.43</v>
      </c>
      <c r="I15" s="97">
        <f t="shared" si="11"/>
        <v>79.6</v>
      </c>
      <c r="J15" s="97">
        <f t="shared" si="11"/>
        <v>80.8</v>
      </c>
      <c r="K15" s="97">
        <f t="shared" si="11"/>
        <v>82.01</v>
      </c>
      <c r="L15" s="97">
        <f t="shared" si="11"/>
        <v>83.24</v>
      </c>
      <c r="M15" s="97">
        <f t="shared" si="11"/>
        <v>84.49</v>
      </c>
      <c r="N15" s="97">
        <f t="shared" si="11"/>
        <v>85.75</v>
      </c>
      <c r="O15" s="97">
        <f t="shared" si="11"/>
        <v>87.04</v>
      </c>
      <c r="P15" s="97">
        <f t="shared" si="11"/>
        <v>88.35</v>
      </c>
      <c r="Q15" s="100">
        <f t="shared" si="2"/>
        <v>978.11</v>
      </c>
    </row>
    <row r="16" spans="1:17">
      <c r="A16" s="90" t="s">
        <v>41</v>
      </c>
      <c r="B16" s="3">
        <v>0.01</v>
      </c>
      <c r="D16" s="91" t="s">
        <v>41</v>
      </c>
      <c r="E16" s="97">
        <f t="shared" si="3"/>
        <v>50</v>
      </c>
      <c r="F16" s="97">
        <f t="shared" ref="F16:P16" si="12">ROUND(F$5*$B16,2)</f>
        <v>50.75</v>
      </c>
      <c r="G16" s="97">
        <f t="shared" si="12"/>
        <v>51.51</v>
      </c>
      <c r="H16" s="97">
        <f t="shared" si="12"/>
        <v>52.28</v>
      </c>
      <c r="I16" s="97">
        <f t="shared" si="12"/>
        <v>53.07</v>
      </c>
      <c r="J16" s="97">
        <f t="shared" si="12"/>
        <v>53.86</v>
      </c>
      <c r="K16" s="97">
        <f t="shared" si="12"/>
        <v>54.67</v>
      </c>
      <c r="L16" s="97">
        <f t="shared" si="12"/>
        <v>55.49</v>
      </c>
      <c r="M16" s="97">
        <f t="shared" si="12"/>
        <v>56.32</v>
      </c>
      <c r="N16" s="97">
        <f t="shared" si="12"/>
        <v>57.17</v>
      </c>
      <c r="O16" s="97">
        <f t="shared" si="12"/>
        <v>58.03</v>
      </c>
      <c r="P16" s="97">
        <f t="shared" si="12"/>
        <v>58.9</v>
      </c>
      <c r="Q16" s="100">
        <f t="shared" si="2"/>
        <v>652.05</v>
      </c>
    </row>
    <row r="17" spans="1:17">
      <c r="A17" s="90" t="s">
        <v>42</v>
      </c>
      <c r="B17" s="3">
        <v>0.01</v>
      </c>
      <c r="D17" s="91" t="s">
        <v>42</v>
      </c>
      <c r="E17" s="97">
        <f t="shared" si="3"/>
        <v>50</v>
      </c>
      <c r="F17" s="97">
        <f t="shared" ref="F17:P17" si="13">ROUND(F$5*$B17,2)</f>
        <v>50.75</v>
      </c>
      <c r="G17" s="97">
        <f t="shared" si="13"/>
        <v>51.51</v>
      </c>
      <c r="H17" s="97">
        <f t="shared" si="13"/>
        <v>52.28</v>
      </c>
      <c r="I17" s="97">
        <f t="shared" si="13"/>
        <v>53.07</v>
      </c>
      <c r="J17" s="97">
        <f t="shared" si="13"/>
        <v>53.86</v>
      </c>
      <c r="K17" s="97">
        <f t="shared" si="13"/>
        <v>54.67</v>
      </c>
      <c r="L17" s="97">
        <f t="shared" si="13"/>
        <v>55.49</v>
      </c>
      <c r="M17" s="97">
        <f t="shared" si="13"/>
        <v>56.32</v>
      </c>
      <c r="N17" s="97">
        <f t="shared" si="13"/>
        <v>57.17</v>
      </c>
      <c r="O17" s="97">
        <f t="shared" si="13"/>
        <v>58.03</v>
      </c>
      <c r="P17" s="97">
        <f t="shared" si="13"/>
        <v>58.9</v>
      </c>
      <c r="Q17" s="100">
        <f t="shared" si="2"/>
        <v>652.05</v>
      </c>
    </row>
    <row r="18" spans="1:17">
      <c r="A18" s="90" t="s">
        <v>43</v>
      </c>
      <c r="B18" s="3">
        <v>0.025</v>
      </c>
      <c r="D18" s="91" t="s">
        <v>43</v>
      </c>
      <c r="E18" s="97">
        <f t="shared" si="3"/>
        <v>125</v>
      </c>
      <c r="F18" s="97">
        <f t="shared" ref="F18:P18" si="14">ROUND(F$5*$B18,2)</f>
        <v>126.88</v>
      </c>
      <c r="G18" s="97">
        <f t="shared" si="14"/>
        <v>128.78</v>
      </c>
      <c r="H18" s="97">
        <f t="shared" si="14"/>
        <v>130.71</v>
      </c>
      <c r="I18" s="97">
        <f t="shared" si="14"/>
        <v>132.67</v>
      </c>
      <c r="J18" s="97">
        <f t="shared" si="14"/>
        <v>134.66</v>
      </c>
      <c r="K18" s="97">
        <f t="shared" si="14"/>
        <v>136.68</v>
      </c>
      <c r="L18" s="97">
        <f t="shared" si="14"/>
        <v>138.73</v>
      </c>
      <c r="M18" s="97">
        <f t="shared" si="14"/>
        <v>140.81</v>
      </c>
      <c r="N18" s="97">
        <f t="shared" si="14"/>
        <v>142.92</v>
      </c>
      <c r="O18" s="97">
        <f t="shared" si="14"/>
        <v>145.07</v>
      </c>
      <c r="P18" s="97">
        <f t="shared" si="14"/>
        <v>147.24</v>
      </c>
      <c r="Q18" s="100">
        <f t="shared" si="2"/>
        <v>1630.15</v>
      </c>
    </row>
    <row r="19" spans="1:17">
      <c r="A19" s="90" t="s">
        <v>44</v>
      </c>
      <c r="B19" s="3">
        <v>0.0875</v>
      </c>
      <c r="D19" s="91" t="s">
        <v>44</v>
      </c>
      <c r="E19" s="97">
        <f t="shared" si="3"/>
        <v>437.5</v>
      </c>
      <c r="F19" s="97">
        <f t="shared" ref="F19:P19" si="15">ROUND(F$5*$B19,2)</f>
        <v>444.06</v>
      </c>
      <c r="G19" s="97">
        <f t="shared" si="15"/>
        <v>450.72</v>
      </c>
      <c r="H19" s="97">
        <f t="shared" si="15"/>
        <v>457.49</v>
      </c>
      <c r="I19" s="97">
        <f t="shared" si="15"/>
        <v>464.35</v>
      </c>
      <c r="J19" s="97">
        <f t="shared" si="15"/>
        <v>471.31</v>
      </c>
      <c r="K19" s="97">
        <f t="shared" si="15"/>
        <v>478.38</v>
      </c>
      <c r="L19" s="97">
        <f t="shared" si="15"/>
        <v>485.56</v>
      </c>
      <c r="M19" s="97">
        <f t="shared" si="15"/>
        <v>492.84</v>
      </c>
      <c r="N19" s="97">
        <f t="shared" si="15"/>
        <v>500.23</v>
      </c>
      <c r="O19" s="97">
        <f t="shared" si="15"/>
        <v>507.74</v>
      </c>
      <c r="P19" s="97">
        <f t="shared" si="15"/>
        <v>515.35</v>
      </c>
      <c r="Q19" s="100">
        <f t="shared" si="2"/>
        <v>5705.53</v>
      </c>
    </row>
    <row r="20" spans="4:17">
      <c r="D20" s="20" t="s">
        <v>45</v>
      </c>
      <c r="E20" s="99">
        <f>SUM(E7:E19)</f>
        <v>4462.5</v>
      </c>
      <c r="F20" s="99">
        <f t="shared" ref="F20:P20" si="16">SUM(F7:F19)</f>
        <v>4529.47</v>
      </c>
      <c r="G20" s="99">
        <f t="shared" si="16"/>
        <v>4597.38</v>
      </c>
      <c r="H20" s="99">
        <f t="shared" si="16"/>
        <v>4666.35</v>
      </c>
      <c r="I20" s="99">
        <f t="shared" si="16"/>
        <v>4736.34</v>
      </c>
      <c r="J20" s="99">
        <f t="shared" si="16"/>
        <v>4807.39</v>
      </c>
      <c r="K20" s="99">
        <f t="shared" si="16"/>
        <v>4879.49</v>
      </c>
      <c r="L20" s="99">
        <f t="shared" si="16"/>
        <v>4952.7</v>
      </c>
      <c r="M20" s="99">
        <f t="shared" si="16"/>
        <v>5026.98</v>
      </c>
      <c r="N20" s="99">
        <f t="shared" si="16"/>
        <v>5102.37</v>
      </c>
      <c r="O20" s="99">
        <f t="shared" si="16"/>
        <v>5178.94</v>
      </c>
      <c r="P20" s="99">
        <f t="shared" si="16"/>
        <v>5256.61</v>
      </c>
      <c r="Q20" s="100">
        <f t="shared" si="2"/>
        <v>58196.52</v>
      </c>
    </row>
    <row r="21" spans="1:17">
      <c r="A21" s="92" t="s">
        <v>46</v>
      </c>
      <c r="B21" s="3">
        <f>SUM(B7:B19)</f>
        <v>0.8925</v>
      </c>
      <c r="D21" s="20" t="s">
        <v>18</v>
      </c>
      <c r="E21" s="97">
        <f>E5-E20</f>
        <v>537.5</v>
      </c>
      <c r="F21" s="97">
        <f t="shared" ref="F21:O21" si="17">F5-F20</f>
        <v>545.529999999999</v>
      </c>
      <c r="G21" s="97">
        <f t="shared" si="17"/>
        <v>553.749999999999</v>
      </c>
      <c r="H21" s="97">
        <f t="shared" si="17"/>
        <v>562.049999999999</v>
      </c>
      <c r="I21" s="97">
        <f t="shared" si="17"/>
        <v>570.49</v>
      </c>
      <c r="J21" s="97">
        <f t="shared" si="17"/>
        <v>579.04</v>
      </c>
      <c r="K21" s="97">
        <f t="shared" si="17"/>
        <v>587.739999999999</v>
      </c>
      <c r="L21" s="97">
        <f t="shared" si="17"/>
        <v>596.540000000001</v>
      </c>
      <c r="M21" s="97">
        <f t="shared" si="17"/>
        <v>605.5</v>
      </c>
      <c r="N21" s="97">
        <f t="shared" si="17"/>
        <v>614.599999999999</v>
      </c>
      <c r="O21" s="97">
        <f t="shared" si="17"/>
        <v>623.780000000002</v>
      </c>
      <c r="P21" s="97">
        <f>P5-P20</f>
        <v>633.150000000001</v>
      </c>
      <c r="Q21" s="100">
        <f t="shared" si="2"/>
        <v>7009.67</v>
      </c>
    </row>
    <row r="34" spans="5:16">
      <c r="E34" s="93">
        <v>4462.5</v>
      </c>
      <c r="F34" s="93">
        <v>4529.4375</v>
      </c>
      <c r="G34" s="93">
        <v>4597.3790625</v>
      </c>
      <c r="H34" s="93">
        <v>4666.3397484375</v>
      </c>
      <c r="I34" s="93">
        <v>4736.33484466406</v>
      </c>
      <c r="J34" s="93">
        <v>4807.37986733402</v>
      </c>
      <c r="K34" s="93">
        <v>4879.49056534403</v>
      </c>
      <c r="L34" s="93">
        <v>4952.68292382419</v>
      </c>
      <c r="M34" s="93">
        <v>5026.97316768155</v>
      </c>
      <c r="N34" s="93">
        <v>5102.37776519678</v>
      </c>
      <c r="O34" s="93">
        <v>5178.91343167473</v>
      </c>
      <c r="P34" s="93">
        <v>5256.59713314985</v>
      </c>
    </row>
    <row r="35" spans="5:16">
      <c r="E35" s="93">
        <v>537.5</v>
      </c>
      <c r="F35" s="93">
        <v>545.5625</v>
      </c>
      <c r="G35" s="93">
        <v>553.745937500001</v>
      </c>
      <c r="H35" s="93">
        <v>562.0521265625</v>
      </c>
      <c r="I35" s="93">
        <v>570.482908460937</v>
      </c>
      <c r="J35" s="93">
        <v>579.040152087852</v>
      </c>
      <c r="K35" s="93">
        <v>587.725754369169</v>
      </c>
      <c r="L35" s="93">
        <v>596.541640684707</v>
      </c>
      <c r="M35" s="93">
        <v>605.489765294978</v>
      </c>
      <c r="N35" s="93">
        <v>614.572111774401</v>
      </c>
      <c r="O35" s="93">
        <v>623.790693451017</v>
      </c>
      <c r="P35" s="93">
        <v>633.147553852782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Q35"/>
  <sheetViews>
    <sheetView zoomScale="80" zoomScaleNormal="80" workbookViewId="0">
      <selection activeCell="E7" sqref="E7"/>
    </sheetView>
  </sheetViews>
  <sheetFormatPr defaultColWidth="9" defaultRowHeight="15"/>
  <cols>
    <col min="1" max="1" width="25.4285714285714" customWidth="1"/>
    <col min="4" max="4" width="24.7142857142857" customWidth="1"/>
    <col min="5" max="16" width="9.85714285714286" customWidth="1"/>
    <col min="17" max="17" width="10.8571428571429" customWidth="1"/>
  </cols>
  <sheetData>
    <row r="1" spans="1:1">
      <c r="A1" s="42" t="s">
        <v>23</v>
      </c>
    </row>
    <row r="3" spans="1:2">
      <c r="A3" s="84" t="s">
        <v>19</v>
      </c>
      <c r="B3" s="85"/>
    </row>
    <row r="4" spans="1:17">
      <c r="A4" s="3" t="s">
        <v>20</v>
      </c>
      <c r="B4" s="3">
        <v>5000</v>
      </c>
      <c r="D4" s="86" t="s">
        <v>9</v>
      </c>
      <c r="E4" s="20" t="s">
        <v>10</v>
      </c>
      <c r="F4" s="20" t="s">
        <v>11</v>
      </c>
      <c r="G4" s="20" t="s">
        <v>12</v>
      </c>
      <c r="H4" s="20" t="s">
        <v>13</v>
      </c>
      <c r="I4" s="20" t="s">
        <v>14</v>
      </c>
      <c r="J4" s="20" t="s">
        <v>24</v>
      </c>
      <c r="K4" s="20" t="s">
        <v>25</v>
      </c>
      <c r="L4" s="20" t="s">
        <v>26</v>
      </c>
      <c r="M4" s="20" t="s">
        <v>27</v>
      </c>
      <c r="N4" s="20" t="s">
        <v>28</v>
      </c>
      <c r="O4" s="20" t="s">
        <v>29</v>
      </c>
      <c r="P4" s="20" t="s">
        <v>30</v>
      </c>
      <c r="Q4" s="20" t="s">
        <v>15</v>
      </c>
    </row>
    <row r="5" spans="1:17">
      <c r="A5" s="3" t="s">
        <v>21</v>
      </c>
      <c r="B5" s="3">
        <v>0.015</v>
      </c>
      <c r="D5" s="20" t="s">
        <v>16</v>
      </c>
      <c r="E5" s="87">
        <f>B4</f>
        <v>5000</v>
      </c>
      <c r="F5" s="17">
        <f>ROUND(E5*(1+$B5),2)</f>
        <v>5075</v>
      </c>
      <c r="G5" s="17">
        <f t="shared" ref="G5:P5" si="0">ROUND(F5*(1+$B5),2)</f>
        <v>5151.13</v>
      </c>
      <c r="H5" s="17">
        <f t="shared" si="0"/>
        <v>5228.4</v>
      </c>
      <c r="I5" s="17">
        <f t="shared" si="0"/>
        <v>5306.83</v>
      </c>
      <c r="J5" s="17">
        <f t="shared" si="0"/>
        <v>5386.43</v>
      </c>
      <c r="K5" s="17">
        <f t="shared" si="0"/>
        <v>5467.23</v>
      </c>
      <c r="L5" s="17">
        <f t="shared" si="0"/>
        <v>5549.24</v>
      </c>
      <c r="M5" s="17">
        <f t="shared" si="0"/>
        <v>5632.48</v>
      </c>
      <c r="N5" s="17">
        <f t="shared" si="0"/>
        <v>5716.97</v>
      </c>
      <c r="O5" s="17">
        <f t="shared" si="0"/>
        <v>5802.72</v>
      </c>
      <c r="P5" s="17">
        <f t="shared" si="0"/>
        <v>5889.76</v>
      </c>
      <c r="Q5" s="94">
        <f>SUM(E5:P5)</f>
        <v>65206.19</v>
      </c>
    </row>
    <row r="6" spans="1:17">
      <c r="A6" s="3" t="s">
        <v>31</v>
      </c>
      <c r="B6" s="3"/>
      <c r="D6" s="88" t="s">
        <v>17</v>
      </c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95"/>
    </row>
    <row r="7" spans="1:17">
      <c r="A7" s="90" t="s">
        <v>32</v>
      </c>
      <c r="B7" s="3">
        <v>0.375</v>
      </c>
      <c r="D7" s="91" t="s">
        <v>32</v>
      </c>
      <c r="E7" s="17">
        <f t="shared" ref="E7:P19" si="1">ROUND(E$5*$B7,2)</f>
        <v>1875</v>
      </c>
      <c r="F7" s="17">
        <f t="shared" si="1"/>
        <v>1903.13</v>
      </c>
      <c r="G7" s="17">
        <f t="shared" si="1"/>
        <v>1931.67</v>
      </c>
      <c r="H7" s="17">
        <f t="shared" si="1"/>
        <v>1960.65</v>
      </c>
      <c r="I7" s="17">
        <f t="shared" si="1"/>
        <v>1990.06</v>
      </c>
      <c r="J7" s="17">
        <f t="shared" si="1"/>
        <v>2019.91</v>
      </c>
      <c r="K7" s="17">
        <f t="shared" si="1"/>
        <v>2050.21</v>
      </c>
      <c r="L7" s="17">
        <f t="shared" si="1"/>
        <v>2080.97</v>
      </c>
      <c r="M7" s="17">
        <f t="shared" si="1"/>
        <v>2112.18</v>
      </c>
      <c r="N7" s="17">
        <f t="shared" si="1"/>
        <v>2143.86</v>
      </c>
      <c r="O7" s="17">
        <f t="shared" si="1"/>
        <v>2176.02</v>
      </c>
      <c r="P7" s="17">
        <f t="shared" si="1"/>
        <v>2208.66</v>
      </c>
      <c r="Q7" s="94">
        <f>SUM(E7:P7)</f>
        <v>24452.32</v>
      </c>
    </row>
    <row r="8" spans="1:17">
      <c r="A8" s="90" t="s">
        <v>33</v>
      </c>
      <c r="B8" s="3">
        <v>0.135</v>
      </c>
      <c r="D8" s="91" t="s">
        <v>33</v>
      </c>
      <c r="E8" s="17">
        <f t="shared" si="1"/>
        <v>675</v>
      </c>
      <c r="F8" s="17">
        <f t="shared" si="1"/>
        <v>685.13</v>
      </c>
      <c r="G8" s="17">
        <f t="shared" si="1"/>
        <v>695.4</v>
      </c>
      <c r="H8" s="17">
        <f t="shared" si="1"/>
        <v>705.83</v>
      </c>
      <c r="I8" s="17">
        <f t="shared" si="1"/>
        <v>716.42</v>
      </c>
      <c r="J8" s="17">
        <f t="shared" si="1"/>
        <v>727.17</v>
      </c>
      <c r="K8" s="17">
        <f t="shared" si="1"/>
        <v>738.08</v>
      </c>
      <c r="L8" s="17">
        <f t="shared" si="1"/>
        <v>749.15</v>
      </c>
      <c r="M8" s="17">
        <f t="shared" si="1"/>
        <v>760.38</v>
      </c>
      <c r="N8" s="17">
        <f t="shared" si="1"/>
        <v>771.79</v>
      </c>
      <c r="O8" s="17">
        <f t="shared" si="1"/>
        <v>783.37</v>
      </c>
      <c r="P8" s="17">
        <f t="shared" si="1"/>
        <v>795.12</v>
      </c>
      <c r="Q8" s="94">
        <f t="shared" ref="Q8:Q21" si="2">SUM(E8:P8)</f>
        <v>8802.84</v>
      </c>
    </row>
    <row r="9" spans="1:17">
      <c r="A9" s="90" t="s">
        <v>34</v>
      </c>
      <c r="B9" s="3">
        <v>0.075</v>
      </c>
      <c r="D9" s="91" t="s">
        <v>34</v>
      </c>
      <c r="E9" s="17">
        <f t="shared" si="1"/>
        <v>375</v>
      </c>
      <c r="F9" s="17">
        <f t="shared" si="1"/>
        <v>380.63</v>
      </c>
      <c r="G9" s="17">
        <f t="shared" si="1"/>
        <v>386.33</v>
      </c>
      <c r="H9" s="17">
        <f t="shared" si="1"/>
        <v>392.13</v>
      </c>
      <c r="I9" s="17">
        <f t="shared" si="1"/>
        <v>398.01</v>
      </c>
      <c r="J9" s="17">
        <f t="shared" si="1"/>
        <v>403.98</v>
      </c>
      <c r="K9" s="17">
        <f t="shared" si="1"/>
        <v>410.04</v>
      </c>
      <c r="L9" s="17">
        <f t="shared" si="1"/>
        <v>416.19</v>
      </c>
      <c r="M9" s="17">
        <f t="shared" si="1"/>
        <v>422.44</v>
      </c>
      <c r="N9" s="17">
        <f t="shared" si="1"/>
        <v>428.77</v>
      </c>
      <c r="O9" s="17">
        <f t="shared" si="1"/>
        <v>435.2</v>
      </c>
      <c r="P9" s="17">
        <f t="shared" si="1"/>
        <v>441.73</v>
      </c>
      <c r="Q9" s="94">
        <f t="shared" si="2"/>
        <v>4890.45</v>
      </c>
    </row>
    <row r="10" spans="1:17">
      <c r="A10" s="90" t="s">
        <v>35</v>
      </c>
      <c r="B10" s="3">
        <v>0.015</v>
      </c>
      <c r="D10" s="91" t="s">
        <v>35</v>
      </c>
      <c r="E10" s="17">
        <f t="shared" si="1"/>
        <v>75</v>
      </c>
      <c r="F10" s="17">
        <f t="shared" si="1"/>
        <v>76.13</v>
      </c>
      <c r="G10" s="17">
        <f t="shared" si="1"/>
        <v>77.27</v>
      </c>
      <c r="H10" s="17">
        <f t="shared" si="1"/>
        <v>78.43</v>
      </c>
      <c r="I10" s="17">
        <f t="shared" si="1"/>
        <v>79.6</v>
      </c>
      <c r="J10" s="17">
        <f t="shared" si="1"/>
        <v>80.8</v>
      </c>
      <c r="K10" s="17">
        <f t="shared" si="1"/>
        <v>82.01</v>
      </c>
      <c r="L10" s="17">
        <f t="shared" si="1"/>
        <v>83.24</v>
      </c>
      <c r="M10" s="17">
        <f t="shared" si="1"/>
        <v>84.49</v>
      </c>
      <c r="N10" s="17">
        <f t="shared" si="1"/>
        <v>85.75</v>
      </c>
      <c r="O10" s="17">
        <f t="shared" si="1"/>
        <v>87.04</v>
      </c>
      <c r="P10" s="17">
        <f t="shared" si="1"/>
        <v>88.35</v>
      </c>
      <c r="Q10" s="94">
        <f t="shared" si="2"/>
        <v>978.11</v>
      </c>
    </row>
    <row r="11" spans="1:17">
      <c r="A11" s="90" t="s">
        <v>36</v>
      </c>
      <c r="B11" s="3">
        <v>0.0475</v>
      </c>
      <c r="D11" s="91" t="s">
        <v>36</v>
      </c>
      <c r="E11" s="17">
        <f t="shared" si="1"/>
        <v>237.5</v>
      </c>
      <c r="F11" s="17">
        <f t="shared" si="1"/>
        <v>241.06</v>
      </c>
      <c r="G11" s="17">
        <f t="shared" si="1"/>
        <v>244.68</v>
      </c>
      <c r="H11" s="17">
        <f t="shared" si="1"/>
        <v>248.35</v>
      </c>
      <c r="I11" s="17">
        <f t="shared" si="1"/>
        <v>252.07</v>
      </c>
      <c r="J11" s="17">
        <f t="shared" si="1"/>
        <v>255.86</v>
      </c>
      <c r="K11" s="17">
        <f t="shared" si="1"/>
        <v>259.69</v>
      </c>
      <c r="L11" s="17">
        <f t="shared" si="1"/>
        <v>263.59</v>
      </c>
      <c r="M11" s="17">
        <f t="shared" si="1"/>
        <v>267.54</v>
      </c>
      <c r="N11" s="17">
        <f t="shared" si="1"/>
        <v>271.56</v>
      </c>
      <c r="O11" s="17">
        <f t="shared" si="1"/>
        <v>275.63</v>
      </c>
      <c r="P11" s="17">
        <f t="shared" si="1"/>
        <v>279.76</v>
      </c>
      <c r="Q11" s="94">
        <f t="shared" si="2"/>
        <v>3097.29</v>
      </c>
    </row>
    <row r="12" spans="1:17">
      <c r="A12" s="90" t="s">
        <v>37</v>
      </c>
      <c r="B12" s="3">
        <v>0.035</v>
      </c>
      <c r="D12" s="91" t="s">
        <v>37</v>
      </c>
      <c r="E12" s="17">
        <f t="shared" si="1"/>
        <v>175</v>
      </c>
      <c r="F12" s="17">
        <f t="shared" si="1"/>
        <v>177.63</v>
      </c>
      <c r="G12" s="17">
        <f t="shared" si="1"/>
        <v>180.29</v>
      </c>
      <c r="H12" s="17">
        <f t="shared" si="1"/>
        <v>182.99</v>
      </c>
      <c r="I12" s="17">
        <f t="shared" si="1"/>
        <v>185.74</v>
      </c>
      <c r="J12" s="17">
        <f t="shared" si="1"/>
        <v>188.53</v>
      </c>
      <c r="K12" s="17">
        <f t="shared" si="1"/>
        <v>191.35</v>
      </c>
      <c r="L12" s="17">
        <f t="shared" si="1"/>
        <v>194.22</v>
      </c>
      <c r="M12" s="17">
        <f t="shared" si="1"/>
        <v>197.14</v>
      </c>
      <c r="N12" s="17">
        <f t="shared" si="1"/>
        <v>200.09</v>
      </c>
      <c r="O12" s="17">
        <f t="shared" si="1"/>
        <v>203.1</v>
      </c>
      <c r="P12" s="17">
        <f t="shared" si="1"/>
        <v>206.14</v>
      </c>
      <c r="Q12" s="94">
        <f t="shared" si="2"/>
        <v>2282.22</v>
      </c>
    </row>
    <row r="13" spans="1:17">
      <c r="A13" s="90" t="s">
        <v>38</v>
      </c>
      <c r="B13" s="3">
        <v>0.0375</v>
      </c>
      <c r="D13" s="91" t="s">
        <v>38</v>
      </c>
      <c r="E13" s="17">
        <f t="shared" si="1"/>
        <v>187.5</v>
      </c>
      <c r="F13" s="17">
        <f t="shared" si="1"/>
        <v>190.31</v>
      </c>
      <c r="G13" s="17">
        <f t="shared" si="1"/>
        <v>193.17</v>
      </c>
      <c r="H13" s="17">
        <f t="shared" si="1"/>
        <v>196.07</v>
      </c>
      <c r="I13" s="17">
        <f t="shared" si="1"/>
        <v>199.01</v>
      </c>
      <c r="J13" s="17">
        <f t="shared" si="1"/>
        <v>201.99</v>
      </c>
      <c r="K13" s="17">
        <f t="shared" si="1"/>
        <v>205.02</v>
      </c>
      <c r="L13" s="17">
        <f t="shared" si="1"/>
        <v>208.1</v>
      </c>
      <c r="M13" s="17">
        <f t="shared" si="1"/>
        <v>211.22</v>
      </c>
      <c r="N13" s="17">
        <f t="shared" si="1"/>
        <v>214.39</v>
      </c>
      <c r="O13" s="17">
        <f t="shared" si="1"/>
        <v>217.6</v>
      </c>
      <c r="P13" s="17">
        <f t="shared" si="1"/>
        <v>220.87</v>
      </c>
      <c r="Q13" s="94">
        <f t="shared" si="2"/>
        <v>2445.25</v>
      </c>
    </row>
    <row r="14" spans="1:17">
      <c r="A14" s="90" t="s">
        <v>39</v>
      </c>
      <c r="B14" s="3">
        <v>0.025</v>
      </c>
      <c r="D14" s="91" t="s">
        <v>39</v>
      </c>
      <c r="E14" s="17">
        <f t="shared" si="1"/>
        <v>125</v>
      </c>
      <c r="F14" s="17">
        <f t="shared" si="1"/>
        <v>126.88</v>
      </c>
      <c r="G14" s="17">
        <f t="shared" si="1"/>
        <v>128.78</v>
      </c>
      <c r="H14" s="17">
        <f t="shared" si="1"/>
        <v>130.71</v>
      </c>
      <c r="I14" s="17">
        <f t="shared" si="1"/>
        <v>132.67</v>
      </c>
      <c r="J14" s="17">
        <f t="shared" si="1"/>
        <v>134.66</v>
      </c>
      <c r="K14" s="17">
        <f t="shared" si="1"/>
        <v>136.68</v>
      </c>
      <c r="L14" s="17">
        <f t="shared" si="1"/>
        <v>138.73</v>
      </c>
      <c r="M14" s="17">
        <f t="shared" si="1"/>
        <v>140.81</v>
      </c>
      <c r="N14" s="17">
        <f t="shared" si="1"/>
        <v>142.92</v>
      </c>
      <c r="O14" s="17">
        <f t="shared" si="1"/>
        <v>145.07</v>
      </c>
      <c r="P14" s="17">
        <f t="shared" si="1"/>
        <v>147.24</v>
      </c>
      <c r="Q14" s="94">
        <f t="shared" si="2"/>
        <v>1630.15</v>
      </c>
    </row>
    <row r="15" spans="1:17">
      <c r="A15" s="90" t="s">
        <v>40</v>
      </c>
      <c r="B15" s="3">
        <v>0.015</v>
      </c>
      <c r="D15" s="91" t="s">
        <v>40</v>
      </c>
      <c r="E15" s="17">
        <f t="shared" si="1"/>
        <v>75</v>
      </c>
      <c r="F15" s="17">
        <f t="shared" si="1"/>
        <v>76.13</v>
      </c>
      <c r="G15" s="17">
        <f t="shared" si="1"/>
        <v>77.27</v>
      </c>
      <c r="H15" s="17">
        <f t="shared" si="1"/>
        <v>78.43</v>
      </c>
      <c r="I15" s="17">
        <f t="shared" si="1"/>
        <v>79.6</v>
      </c>
      <c r="J15" s="17">
        <f t="shared" si="1"/>
        <v>80.8</v>
      </c>
      <c r="K15" s="17">
        <f t="shared" si="1"/>
        <v>82.01</v>
      </c>
      <c r="L15" s="17">
        <f t="shared" si="1"/>
        <v>83.24</v>
      </c>
      <c r="M15" s="17">
        <f t="shared" si="1"/>
        <v>84.49</v>
      </c>
      <c r="N15" s="17">
        <f t="shared" si="1"/>
        <v>85.75</v>
      </c>
      <c r="O15" s="17">
        <f t="shared" si="1"/>
        <v>87.04</v>
      </c>
      <c r="P15" s="17">
        <f t="shared" si="1"/>
        <v>88.35</v>
      </c>
      <c r="Q15" s="94">
        <f t="shared" si="2"/>
        <v>978.11</v>
      </c>
    </row>
    <row r="16" spans="1:17">
      <c r="A16" s="90" t="s">
        <v>41</v>
      </c>
      <c r="B16" s="3">
        <v>0.01</v>
      </c>
      <c r="D16" s="91" t="s">
        <v>41</v>
      </c>
      <c r="E16" s="17">
        <f t="shared" si="1"/>
        <v>50</v>
      </c>
      <c r="F16" s="17">
        <f t="shared" si="1"/>
        <v>50.75</v>
      </c>
      <c r="G16" s="17">
        <f t="shared" si="1"/>
        <v>51.51</v>
      </c>
      <c r="H16" s="17">
        <f t="shared" si="1"/>
        <v>52.28</v>
      </c>
      <c r="I16" s="17">
        <f t="shared" si="1"/>
        <v>53.07</v>
      </c>
      <c r="J16" s="17">
        <f t="shared" si="1"/>
        <v>53.86</v>
      </c>
      <c r="K16" s="17">
        <f t="shared" si="1"/>
        <v>54.67</v>
      </c>
      <c r="L16" s="17">
        <f t="shared" si="1"/>
        <v>55.49</v>
      </c>
      <c r="M16" s="17">
        <f t="shared" si="1"/>
        <v>56.32</v>
      </c>
      <c r="N16" s="17">
        <f t="shared" si="1"/>
        <v>57.17</v>
      </c>
      <c r="O16" s="17">
        <f t="shared" si="1"/>
        <v>58.03</v>
      </c>
      <c r="P16" s="17">
        <f t="shared" si="1"/>
        <v>58.9</v>
      </c>
      <c r="Q16" s="94">
        <f t="shared" si="2"/>
        <v>652.05</v>
      </c>
    </row>
    <row r="17" spans="1:17">
      <c r="A17" s="90" t="s">
        <v>42</v>
      </c>
      <c r="B17" s="3">
        <v>0.01</v>
      </c>
      <c r="D17" s="91" t="s">
        <v>42</v>
      </c>
      <c r="E17" s="17">
        <f t="shared" si="1"/>
        <v>50</v>
      </c>
      <c r="F17" s="17">
        <f t="shared" si="1"/>
        <v>50.75</v>
      </c>
      <c r="G17" s="17">
        <f t="shared" si="1"/>
        <v>51.51</v>
      </c>
      <c r="H17" s="17">
        <f t="shared" si="1"/>
        <v>52.28</v>
      </c>
      <c r="I17" s="17">
        <f t="shared" si="1"/>
        <v>53.07</v>
      </c>
      <c r="J17" s="17">
        <f t="shared" si="1"/>
        <v>53.86</v>
      </c>
      <c r="K17" s="17">
        <f t="shared" si="1"/>
        <v>54.67</v>
      </c>
      <c r="L17" s="17">
        <f t="shared" si="1"/>
        <v>55.49</v>
      </c>
      <c r="M17" s="17">
        <f t="shared" si="1"/>
        <v>56.32</v>
      </c>
      <c r="N17" s="17">
        <f t="shared" si="1"/>
        <v>57.17</v>
      </c>
      <c r="O17" s="17">
        <f t="shared" si="1"/>
        <v>58.03</v>
      </c>
      <c r="P17" s="17">
        <f t="shared" si="1"/>
        <v>58.9</v>
      </c>
      <c r="Q17" s="94">
        <f t="shared" si="2"/>
        <v>652.05</v>
      </c>
    </row>
    <row r="18" spans="1:17">
      <c r="A18" s="90" t="s">
        <v>43</v>
      </c>
      <c r="B18" s="3">
        <v>0.025</v>
      </c>
      <c r="D18" s="91" t="s">
        <v>43</v>
      </c>
      <c r="E18" s="17">
        <f t="shared" si="1"/>
        <v>125</v>
      </c>
      <c r="F18" s="17">
        <f t="shared" si="1"/>
        <v>126.88</v>
      </c>
      <c r="G18" s="17">
        <f t="shared" si="1"/>
        <v>128.78</v>
      </c>
      <c r="H18" s="17">
        <f t="shared" si="1"/>
        <v>130.71</v>
      </c>
      <c r="I18" s="17">
        <f t="shared" si="1"/>
        <v>132.67</v>
      </c>
      <c r="J18" s="17">
        <f t="shared" si="1"/>
        <v>134.66</v>
      </c>
      <c r="K18" s="17">
        <f t="shared" si="1"/>
        <v>136.68</v>
      </c>
      <c r="L18" s="17">
        <f t="shared" si="1"/>
        <v>138.73</v>
      </c>
      <c r="M18" s="17">
        <f t="shared" si="1"/>
        <v>140.81</v>
      </c>
      <c r="N18" s="17">
        <f t="shared" si="1"/>
        <v>142.92</v>
      </c>
      <c r="O18" s="17">
        <f t="shared" si="1"/>
        <v>145.07</v>
      </c>
      <c r="P18" s="17">
        <f t="shared" si="1"/>
        <v>147.24</v>
      </c>
      <c r="Q18" s="94">
        <f t="shared" si="2"/>
        <v>1630.15</v>
      </c>
    </row>
    <row r="19" spans="1:17">
      <c r="A19" s="90" t="s">
        <v>44</v>
      </c>
      <c r="B19" s="3">
        <v>0.0875</v>
      </c>
      <c r="D19" s="91" t="s">
        <v>44</v>
      </c>
      <c r="E19" s="17">
        <f t="shared" si="1"/>
        <v>437.5</v>
      </c>
      <c r="F19" s="17">
        <f t="shared" si="1"/>
        <v>444.06</v>
      </c>
      <c r="G19" s="17">
        <f t="shared" si="1"/>
        <v>450.72</v>
      </c>
      <c r="H19" s="17">
        <f t="shared" si="1"/>
        <v>457.49</v>
      </c>
      <c r="I19" s="17">
        <f t="shared" si="1"/>
        <v>464.35</v>
      </c>
      <c r="J19" s="17">
        <f t="shared" si="1"/>
        <v>471.31</v>
      </c>
      <c r="K19" s="17">
        <f t="shared" si="1"/>
        <v>478.38</v>
      </c>
      <c r="L19" s="17">
        <f t="shared" si="1"/>
        <v>485.56</v>
      </c>
      <c r="M19" s="17">
        <f t="shared" si="1"/>
        <v>492.84</v>
      </c>
      <c r="N19" s="17">
        <f t="shared" si="1"/>
        <v>500.23</v>
      </c>
      <c r="O19" s="17">
        <f t="shared" si="1"/>
        <v>507.74</v>
      </c>
      <c r="P19" s="17">
        <f t="shared" si="1"/>
        <v>515.35</v>
      </c>
      <c r="Q19" s="94">
        <f t="shared" si="2"/>
        <v>5705.53</v>
      </c>
    </row>
    <row r="20" spans="4:17">
      <c r="D20" s="20" t="s">
        <v>45</v>
      </c>
      <c r="E20" s="87">
        <f>SUM(E7:E19)</f>
        <v>4462.5</v>
      </c>
      <c r="F20" s="87">
        <f t="shared" ref="F20:P20" si="3">SUM(F7:F19)</f>
        <v>4529.47</v>
      </c>
      <c r="G20" s="87">
        <f t="shared" si="3"/>
        <v>4597.38</v>
      </c>
      <c r="H20" s="87">
        <f t="shared" si="3"/>
        <v>4666.35</v>
      </c>
      <c r="I20" s="87">
        <f t="shared" si="3"/>
        <v>4736.34</v>
      </c>
      <c r="J20" s="87">
        <f t="shared" si="3"/>
        <v>4807.39</v>
      </c>
      <c r="K20" s="87">
        <f t="shared" si="3"/>
        <v>4879.49</v>
      </c>
      <c r="L20" s="87">
        <f t="shared" si="3"/>
        <v>4952.7</v>
      </c>
      <c r="M20" s="87">
        <f t="shared" si="3"/>
        <v>5026.98</v>
      </c>
      <c r="N20" s="87">
        <f t="shared" si="3"/>
        <v>5102.37</v>
      </c>
      <c r="O20" s="87">
        <f t="shared" si="3"/>
        <v>5178.94</v>
      </c>
      <c r="P20" s="87">
        <f t="shared" si="3"/>
        <v>5256.61</v>
      </c>
      <c r="Q20" s="94">
        <f t="shared" si="2"/>
        <v>58196.52</v>
      </c>
    </row>
    <row r="21" spans="1:17">
      <c r="A21" s="92" t="s">
        <v>46</v>
      </c>
      <c r="B21" s="3">
        <f>SUM(B7:B19)</f>
        <v>0.8925</v>
      </c>
      <c r="D21" s="20" t="s">
        <v>18</v>
      </c>
      <c r="E21" s="17">
        <f>E5-E20</f>
        <v>537.5</v>
      </c>
      <c r="F21" s="17">
        <f t="shared" ref="F21:P21" si="4">F5-F20</f>
        <v>545.529999999999</v>
      </c>
      <c r="G21" s="17">
        <f t="shared" si="4"/>
        <v>553.749999999999</v>
      </c>
      <c r="H21" s="17">
        <f t="shared" si="4"/>
        <v>562.049999999999</v>
      </c>
      <c r="I21" s="17">
        <f t="shared" si="4"/>
        <v>570.49</v>
      </c>
      <c r="J21" s="17">
        <f t="shared" si="4"/>
        <v>579.04</v>
      </c>
      <c r="K21" s="17">
        <f t="shared" si="4"/>
        <v>587.739999999999</v>
      </c>
      <c r="L21" s="17">
        <f t="shared" si="4"/>
        <v>596.540000000001</v>
      </c>
      <c r="M21" s="17">
        <f t="shared" si="4"/>
        <v>605.5</v>
      </c>
      <c r="N21" s="17">
        <f t="shared" si="4"/>
        <v>614.599999999999</v>
      </c>
      <c r="O21" s="17">
        <f t="shared" si="4"/>
        <v>623.780000000002</v>
      </c>
      <c r="P21" s="17">
        <f t="shared" si="4"/>
        <v>633.150000000001</v>
      </c>
      <c r="Q21" s="94">
        <f t="shared" si="2"/>
        <v>7009.67</v>
      </c>
    </row>
    <row r="34" spans="5:16">
      <c r="E34" s="93">
        <v>4462.5</v>
      </c>
      <c r="F34" s="93">
        <v>4529.4375</v>
      </c>
      <c r="G34" s="93">
        <v>4597.3790625</v>
      </c>
      <c r="H34" s="93">
        <v>4666.3397484375</v>
      </c>
      <c r="I34" s="93">
        <v>4736.33484466406</v>
      </c>
      <c r="J34" s="93">
        <v>4807.37986733402</v>
      </c>
      <c r="K34" s="93">
        <v>4879.49056534403</v>
      </c>
      <c r="L34" s="93">
        <v>4952.68292382419</v>
      </c>
      <c r="M34" s="93">
        <v>5026.97316768155</v>
      </c>
      <c r="N34" s="93">
        <v>5102.37776519678</v>
      </c>
      <c r="O34" s="93">
        <v>5178.91343167473</v>
      </c>
      <c r="P34" s="93">
        <v>5256.59713314985</v>
      </c>
    </row>
    <row r="35" spans="5:16">
      <c r="E35" s="93">
        <v>537.5</v>
      </c>
      <c r="F35" s="93">
        <v>545.5625</v>
      </c>
      <c r="G35" s="93">
        <v>553.745937500001</v>
      </c>
      <c r="H35" s="93">
        <v>562.0521265625</v>
      </c>
      <c r="I35" s="93">
        <v>570.482908460937</v>
      </c>
      <c r="J35" s="93">
        <v>579.040152087852</v>
      </c>
      <c r="K35" s="93">
        <v>587.725754369169</v>
      </c>
      <c r="L35" s="93">
        <v>596.541640684707</v>
      </c>
      <c r="M35" s="93">
        <v>605.489765294978</v>
      </c>
      <c r="N35" s="93">
        <v>614.572111774401</v>
      </c>
      <c r="O35" s="93">
        <v>623.790693451017</v>
      </c>
      <c r="P35" s="93">
        <v>633.147553852782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K25"/>
  <sheetViews>
    <sheetView zoomScale="130" zoomScaleNormal="130" topLeftCell="A9" workbookViewId="0">
      <selection activeCell="B6" sqref="B6:F9"/>
    </sheetView>
  </sheetViews>
  <sheetFormatPr defaultColWidth="9" defaultRowHeight="15"/>
  <cols>
    <col min="1" max="1" width="17.8571428571429" customWidth="1"/>
    <col min="2" max="2" width="14.2857142857143" customWidth="1"/>
    <col min="3" max="3" width="14.4285714285714" customWidth="1"/>
    <col min="4" max="4" width="12.8571428571429" customWidth="1"/>
    <col min="5" max="6" width="11" customWidth="1"/>
    <col min="7" max="7" width="11.2857142857143" customWidth="1"/>
    <col min="8" max="8" width="12.5714285714286" customWidth="1"/>
    <col min="9" max="9" width="11.2857142857143" customWidth="1"/>
    <col min="10" max="10" width="16.2857142857143" customWidth="1"/>
  </cols>
  <sheetData>
    <row r="1" spans="1:1">
      <c r="A1" s="42" t="s">
        <v>47</v>
      </c>
    </row>
    <row r="2" spans="1:1">
      <c r="A2" s="42" t="s">
        <v>48</v>
      </c>
    </row>
    <row r="4" spans="1:6">
      <c r="A4" s="64" t="s">
        <v>49</v>
      </c>
      <c r="B4" s="65" t="s">
        <v>10</v>
      </c>
      <c r="C4" s="65" t="s">
        <v>11</v>
      </c>
      <c r="D4" s="65" t="s">
        <v>12</v>
      </c>
      <c r="E4" s="65" t="s">
        <v>13</v>
      </c>
      <c r="F4" s="65" t="s">
        <v>14</v>
      </c>
    </row>
    <row r="5" spans="1:11">
      <c r="A5" s="64" t="s">
        <v>16</v>
      </c>
      <c r="B5" s="66">
        <v>65487</v>
      </c>
      <c r="C5" s="66">
        <v>75894</v>
      </c>
      <c r="D5" s="66">
        <v>65007</v>
      </c>
      <c r="E5" s="66">
        <v>95449</v>
      </c>
      <c r="F5" s="66">
        <v>99220</v>
      </c>
      <c r="J5" s="3" t="s">
        <v>32</v>
      </c>
      <c r="K5" s="14">
        <v>0.464559833127443</v>
      </c>
    </row>
    <row r="6" spans="1:11">
      <c r="A6" s="67" t="s">
        <v>32</v>
      </c>
      <c r="B6" s="68">
        <f>ROUND(B$5*$B16,2)</f>
        <v>30422.63</v>
      </c>
      <c r="C6" s="68">
        <f>ROUND(C$5*$B16,2)</f>
        <v>35257.3</v>
      </c>
      <c r="D6" s="68">
        <f>ROUND(D$5*$B16,2)</f>
        <v>30199.64</v>
      </c>
      <c r="E6" s="68">
        <f>ROUND(E$5*$B16,2)</f>
        <v>44341.77</v>
      </c>
      <c r="F6" s="68">
        <f>ROUND(F$5*$B16,2)</f>
        <v>46093.63</v>
      </c>
      <c r="J6" s="3" t="s">
        <v>50</v>
      </c>
      <c r="K6" s="14">
        <v>0.194789282893538</v>
      </c>
    </row>
    <row r="7" spans="1:11">
      <c r="A7" s="67" t="s">
        <v>50</v>
      </c>
      <c r="B7" s="68">
        <f>ROUND(B$5*$B17,2)</f>
        <v>12756.17</v>
      </c>
      <c r="C7" s="68">
        <f>ROUND(C$5*$B17,2)</f>
        <v>14783.34</v>
      </c>
      <c r="D7" s="68">
        <f>ROUND(D$5*$B17,2)</f>
        <v>12662.67</v>
      </c>
      <c r="E7" s="68">
        <f>ROUND(E$5*$B17,2)</f>
        <v>18592.44</v>
      </c>
      <c r="F7" s="68">
        <f>ROUND(F$5*$B17,2)</f>
        <v>19326.99</v>
      </c>
      <c r="J7" s="3" t="s">
        <v>51</v>
      </c>
      <c r="K7" s="14">
        <v>0.154387492658823</v>
      </c>
    </row>
    <row r="8" spans="1:11">
      <c r="A8" s="67" t="s">
        <v>51</v>
      </c>
      <c r="B8" s="68">
        <f>ROUND(B$5*$B18,2)</f>
        <v>10110.37</v>
      </c>
      <c r="C8" s="68">
        <f>ROUND(C$5*$B18,2)</f>
        <v>11717.08</v>
      </c>
      <c r="D8" s="68">
        <f>ROUND(D$5*$B18,2)</f>
        <v>10036.27</v>
      </c>
      <c r="E8" s="68">
        <f>ROUND(E$5*$B18,2)</f>
        <v>14736.13</v>
      </c>
      <c r="F8" s="68">
        <f>ROUND(F$5*$B18,2)</f>
        <v>15318.33</v>
      </c>
      <c r="J8" s="3" t="s">
        <v>52</v>
      </c>
      <c r="K8" s="14">
        <v>0.0403714129488244</v>
      </c>
    </row>
    <row r="9" spans="1:6">
      <c r="A9" s="67" t="s">
        <v>52</v>
      </c>
      <c r="B9" s="68">
        <f>ROUND(B$5*$B19,2)</f>
        <v>2643.8</v>
      </c>
      <c r="C9" s="68">
        <f>ROUND(C$5*$B19,2)</f>
        <v>3063.95</v>
      </c>
      <c r="D9" s="68">
        <f>ROUND(D$5*$B19,2)</f>
        <v>2624.42</v>
      </c>
      <c r="E9" s="68">
        <f>ROUND(E$5*$B19,2)</f>
        <v>3853.41</v>
      </c>
      <c r="F9" s="68">
        <f>ROUND(F$5*$B19,2)</f>
        <v>4005.65</v>
      </c>
    </row>
    <row r="10" ht="15.75" spans="1:6">
      <c r="A10" s="64" t="s">
        <v>45</v>
      </c>
      <c r="B10" s="69">
        <f>SUM(B6:B9)</f>
        <v>55932.97</v>
      </c>
      <c r="C10" s="70">
        <f>SUM(C6:C9)</f>
        <v>64821.67</v>
      </c>
      <c r="D10" s="70">
        <f>SUM(D6:D9)</f>
        <v>55523</v>
      </c>
      <c r="E10" s="70">
        <f>SUM(E6:E9)</f>
        <v>81523.75</v>
      </c>
      <c r="F10" s="70">
        <f>SUM(F6:F9)</f>
        <v>84744.6</v>
      </c>
    </row>
    <row r="11" ht="15.75" spans="1:6">
      <c r="A11" s="64" t="s">
        <v>18</v>
      </c>
      <c r="B11" s="71">
        <f>B5-B10</f>
        <v>9554.02999999999</v>
      </c>
      <c r="C11" s="72">
        <f>C5-C10</f>
        <v>11072.33</v>
      </c>
      <c r="D11" s="72">
        <f>D5-D10</f>
        <v>9484</v>
      </c>
      <c r="E11" s="72">
        <f>E5-E10</f>
        <v>13925.25</v>
      </c>
      <c r="F11" s="72">
        <f>F5-F10</f>
        <v>14475.4</v>
      </c>
    </row>
    <row r="12" ht="15.75"/>
    <row r="13" spans="1:6">
      <c r="A13" s="73" t="s">
        <v>53</v>
      </c>
      <c r="B13" s="74"/>
      <c r="C13" s="74"/>
      <c r="D13" s="74"/>
      <c r="E13" s="74"/>
      <c r="F13" s="75"/>
    </row>
    <row r="14" spans="1:6">
      <c r="A14" s="76" t="s">
        <v>54</v>
      </c>
      <c r="B14" s="77"/>
      <c r="C14" s="77"/>
      <c r="D14" s="77"/>
      <c r="E14" s="77"/>
      <c r="F14" s="78"/>
    </row>
    <row r="15" spans="1:2">
      <c r="A15" s="79" t="s">
        <v>55</v>
      </c>
      <c r="B15" s="80"/>
    </row>
    <row r="16" spans="1:4">
      <c r="A16" s="3" t="s">
        <v>32</v>
      </c>
      <c r="B16" s="14">
        <v>0.464559833127443</v>
      </c>
      <c r="D16" t="s">
        <v>56</v>
      </c>
    </row>
    <row r="17" spans="1:4">
      <c r="A17" s="3" t="s">
        <v>50</v>
      </c>
      <c r="B17" s="14">
        <v>0.194789282893538</v>
      </c>
      <c r="D17" t="s">
        <v>57</v>
      </c>
    </row>
    <row r="18" spans="1:4">
      <c r="A18" s="3" t="s">
        <v>51</v>
      </c>
      <c r="B18" s="14">
        <v>0.154387492658823</v>
      </c>
      <c r="D18" t="s">
        <v>58</v>
      </c>
    </row>
    <row r="19" spans="1:4">
      <c r="A19" s="3" t="s">
        <v>52</v>
      </c>
      <c r="B19" s="14">
        <v>0.0403714129488244</v>
      </c>
      <c r="D19" t="s">
        <v>59</v>
      </c>
    </row>
    <row r="20" spans="1:2">
      <c r="A20" s="81"/>
      <c r="B20" s="82"/>
    </row>
    <row r="21" spans="1:7">
      <c r="A21" s="73" t="s">
        <v>60</v>
      </c>
      <c r="B21" s="74"/>
      <c r="C21" s="74"/>
      <c r="D21" s="74"/>
      <c r="E21" s="74"/>
      <c r="F21" s="74"/>
      <c r="G21" s="75"/>
    </row>
    <row r="22" spans="1:7">
      <c r="A22" s="76" t="s">
        <v>61</v>
      </c>
      <c r="B22" s="77"/>
      <c r="C22" s="77"/>
      <c r="D22" s="77"/>
      <c r="E22" s="77"/>
      <c r="F22" s="77"/>
      <c r="G22" s="78"/>
    </row>
    <row r="23" spans="1:4">
      <c r="A23" s="79" t="s">
        <v>55</v>
      </c>
      <c r="B23" s="83"/>
      <c r="C23" s="83"/>
      <c r="D23" s="80"/>
    </row>
    <row r="24" spans="1:4">
      <c r="A24" s="3" t="s">
        <v>32</v>
      </c>
      <c r="B24" s="3" t="s">
        <v>50</v>
      </c>
      <c r="C24" s="3" t="s">
        <v>51</v>
      </c>
      <c r="D24" s="3" t="s">
        <v>52</v>
      </c>
    </row>
    <row r="25" spans="1:4">
      <c r="A25" s="14">
        <v>0.464559833127443</v>
      </c>
      <c r="B25" s="14">
        <v>0.194789282893538</v>
      </c>
      <c r="C25" s="14">
        <v>0.154387492658823</v>
      </c>
      <c r="D25" s="14">
        <v>0.0403714129488244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G25"/>
  <sheetViews>
    <sheetView zoomScale="130" zoomScaleNormal="130" workbookViewId="0">
      <selection activeCell="B6" sqref="B6"/>
    </sheetView>
  </sheetViews>
  <sheetFormatPr defaultColWidth="9" defaultRowHeight="15" outlineLevelCol="6"/>
  <cols>
    <col min="1" max="1" width="17.8571428571429" customWidth="1"/>
    <col min="2" max="2" width="14.2857142857143" customWidth="1"/>
    <col min="3" max="3" width="14.4285714285714" customWidth="1"/>
    <col min="4" max="4" width="12.8571428571429" customWidth="1"/>
    <col min="5" max="6" width="11" customWidth="1"/>
    <col min="7" max="7" width="11.2857142857143" customWidth="1"/>
    <col min="8" max="8" width="12.5714285714286" customWidth="1"/>
    <col min="9" max="9" width="11.2857142857143" customWidth="1"/>
    <col min="10" max="10" width="11.4285714285714" customWidth="1"/>
  </cols>
  <sheetData>
    <row r="1" spans="1:1">
      <c r="A1" s="42" t="s">
        <v>47</v>
      </c>
    </row>
    <row r="2" spans="1:1">
      <c r="A2" s="42" t="s">
        <v>48</v>
      </c>
    </row>
    <row r="4" spans="1:6">
      <c r="A4" s="64" t="s">
        <v>49</v>
      </c>
      <c r="B4" s="65" t="s">
        <v>10</v>
      </c>
      <c r="C4" s="65" t="s">
        <v>11</v>
      </c>
      <c r="D4" s="65" t="s">
        <v>12</v>
      </c>
      <c r="E4" s="65" t="s">
        <v>13</v>
      </c>
      <c r="F4" s="65" t="s">
        <v>14</v>
      </c>
    </row>
    <row r="5" spans="1:6">
      <c r="A5" s="64" t="s">
        <v>16</v>
      </c>
      <c r="B5" s="66">
        <v>65487</v>
      </c>
      <c r="C5" s="66">
        <v>75894</v>
      </c>
      <c r="D5" s="66">
        <v>65007</v>
      </c>
      <c r="E5" s="66">
        <v>95449</v>
      </c>
      <c r="F5" s="66">
        <v>99220</v>
      </c>
    </row>
    <row r="6" spans="1:6">
      <c r="A6" s="67" t="s">
        <v>32</v>
      </c>
      <c r="B6" s="68">
        <f>ROUND(B$5*$B16,2)</f>
        <v>30422.63</v>
      </c>
      <c r="C6" s="68">
        <f t="shared" ref="B6:F9" si="0">ROUND(C$5*$B16,2)</f>
        <v>35257.3</v>
      </c>
      <c r="D6" s="68">
        <f t="shared" si="0"/>
        <v>30199.64</v>
      </c>
      <c r="E6" s="68">
        <f t="shared" si="0"/>
        <v>44341.77</v>
      </c>
      <c r="F6" s="68">
        <f t="shared" si="0"/>
        <v>46093.63</v>
      </c>
    </row>
    <row r="7" spans="1:6">
      <c r="A7" s="67" t="s">
        <v>50</v>
      </c>
      <c r="B7" s="68">
        <f t="shared" si="0"/>
        <v>12756.17</v>
      </c>
      <c r="C7" s="68">
        <f t="shared" si="0"/>
        <v>14783.34</v>
      </c>
      <c r="D7" s="68">
        <f t="shared" si="0"/>
        <v>12662.67</v>
      </c>
      <c r="E7" s="68">
        <f t="shared" si="0"/>
        <v>18592.44</v>
      </c>
      <c r="F7" s="68">
        <f t="shared" si="0"/>
        <v>19326.99</v>
      </c>
    </row>
    <row r="8" spans="1:6">
      <c r="A8" s="67" t="s">
        <v>51</v>
      </c>
      <c r="B8" s="68">
        <f t="shared" si="0"/>
        <v>10110.37</v>
      </c>
      <c r="C8" s="68">
        <f t="shared" si="0"/>
        <v>11717.08</v>
      </c>
      <c r="D8" s="68">
        <f t="shared" si="0"/>
        <v>10036.27</v>
      </c>
      <c r="E8" s="68">
        <f t="shared" si="0"/>
        <v>14736.13</v>
      </c>
      <c r="F8" s="68">
        <f t="shared" si="0"/>
        <v>15318.33</v>
      </c>
    </row>
    <row r="9" spans="1:6">
      <c r="A9" s="67" t="s">
        <v>52</v>
      </c>
      <c r="B9" s="68">
        <f t="shared" si="0"/>
        <v>2643.8</v>
      </c>
      <c r="C9" s="68">
        <f t="shared" si="0"/>
        <v>3063.95</v>
      </c>
      <c r="D9" s="68">
        <f t="shared" si="0"/>
        <v>2624.42</v>
      </c>
      <c r="E9" s="68">
        <f t="shared" si="0"/>
        <v>3853.41</v>
      </c>
      <c r="F9" s="68">
        <f t="shared" si="0"/>
        <v>4005.65</v>
      </c>
    </row>
    <row r="10" ht="15.75" spans="1:6">
      <c r="A10" s="64" t="s">
        <v>45</v>
      </c>
      <c r="B10" s="69">
        <f>SUM(B6:B9)</f>
        <v>55932.97</v>
      </c>
      <c r="C10" s="70">
        <f>SUM(C6:C9)</f>
        <v>64821.67</v>
      </c>
      <c r="D10" s="70">
        <f>SUM(D6:D9)</f>
        <v>55523</v>
      </c>
      <c r="E10" s="70">
        <f>SUM(E6:E9)</f>
        <v>81523.75</v>
      </c>
      <c r="F10" s="70">
        <f>SUM(F6:F9)</f>
        <v>84744.6</v>
      </c>
    </row>
    <row r="11" ht="15.75" spans="1:6">
      <c r="A11" s="64" t="s">
        <v>18</v>
      </c>
      <c r="B11" s="71">
        <f>B5-B10</f>
        <v>9554.02999999999</v>
      </c>
      <c r="C11" s="72">
        <f>C5-C10</f>
        <v>11072.33</v>
      </c>
      <c r="D11" s="72">
        <f>D5-D10</f>
        <v>9484</v>
      </c>
      <c r="E11" s="72">
        <f>E5-E10</f>
        <v>13925.25</v>
      </c>
      <c r="F11" s="72">
        <f>F5-F10</f>
        <v>14475.4</v>
      </c>
    </row>
    <row r="12" ht="15.75"/>
    <row r="13" spans="1:6">
      <c r="A13" s="73" t="s">
        <v>53</v>
      </c>
      <c r="B13" s="74"/>
      <c r="C13" s="74"/>
      <c r="D13" s="74"/>
      <c r="E13" s="74"/>
      <c r="F13" s="75"/>
    </row>
    <row r="14" spans="1:6">
      <c r="A14" s="76" t="s">
        <v>54</v>
      </c>
      <c r="B14" s="77"/>
      <c r="C14" s="77"/>
      <c r="D14" s="77"/>
      <c r="E14" s="77"/>
      <c r="F14" s="78"/>
    </row>
    <row r="15" spans="1:2">
      <c r="A15" s="79" t="s">
        <v>55</v>
      </c>
      <c r="B15" s="80"/>
    </row>
    <row r="16" spans="1:4">
      <c r="A16" s="3" t="s">
        <v>32</v>
      </c>
      <c r="B16" s="14">
        <v>0.464559833127443</v>
      </c>
      <c r="D16" t="s">
        <v>56</v>
      </c>
    </row>
    <row r="17" spans="1:4">
      <c r="A17" s="3" t="s">
        <v>50</v>
      </c>
      <c r="B17" s="14">
        <v>0.194789282893538</v>
      </c>
      <c r="D17" t="s">
        <v>57</v>
      </c>
    </row>
    <row r="18" spans="1:4">
      <c r="A18" s="3" t="s">
        <v>51</v>
      </c>
      <c r="B18" s="14">
        <v>0.154387492658823</v>
      </c>
      <c r="D18" t="s">
        <v>58</v>
      </c>
    </row>
    <row r="19" spans="1:4">
      <c r="A19" s="3" t="s">
        <v>52</v>
      </c>
      <c r="B19" s="14">
        <v>0.0403714129488244</v>
      </c>
      <c r="D19" t="s">
        <v>59</v>
      </c>
    </row>
    <row r="20" spans="1:2">
      <c r="A20" s="81"/>
      <c r="B20" s="82"/>
    </row>
    <row r="21" spans="1:7">
      <c r="A21" s="73" t="s">
        <v>60</v>
      </c>
      <c r="B21" s="74"/>
      <c r="C21" s="74"/>
      <c r="D21" s="74"/>
      <c r="E21" s="74"/>
      <c r="F21" s="74"/>
      <c r="G21" s="75"/>
    </row>
    <row r="22" spans="1:7">
      <c r="A22" s="76" t="s">
        <v>61</v>
      </c>
      <c r="B22" s="77"/>
      <c r="C22" s="77"/>
      <c r="D22" s="77"/>
      <c r="E22" s="77"/>
      <c r="F22" s="77"/>
      <c r="G22" s="78"/>
    </row>
    <row r="23" spans="1:4">
      <c r="A23" s="79" t="s">
        <v>55</v>
      </c>
      <c r="B23" s="83"/>
      <c r="C23" s="83"/>
      <c r="D23" s="80"/>
    </row>
    <row r="24" spans="1:4">
      <c r="A24" s="3" t="str">
        <f t="array" ref="A24:D25">TRANSPOSE(A16:B19)</f>
        <v>COGS</v>
      </c>
      <c r="B24" s="3" t="str">
        <v>Operating</v>
      </c>
      <c r="C24" s="3" t="str">
        <v>Administrative</v>
      </c>
      <c r="D24" s="3" t="str">
        <v>Other</v>
      </c>
    </row>
    <row r="25" spans="1:4">
      <c r="A25" s="14">
        <v>0.464559833127443</v>
      </c>
      <c r="B25" s="14">
        <v>0.194789282893538</v>
      </c>
      <c r="C25" s="14">
        <v>0.154387492658823</v>
      </c>
      <c r="D25" s="14">
        <v>0.0403714129488244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G37"/>
  <sheetViews>
    <sheetView zoomScale="110" zoomScaleNormal="110" workbookViewId="0">
      <selection activeCell="G15" sqref="G15"/>
    </sheetView>
  </sheetViews>
  <sheetFormatPr defaultColWidth="9" defaultRowHeight="15" outlineLevelCol="6"/>
  <cols>
    <col min="1" max="1" width="12.5714285714286" customWidth="1"/>
    <col min="2" max="7" width="17.8571428571429" customWidth="1"/>
  </cols>
  <sheetData>
    <row r="1" spans="1:1">
      <c r="A1" s="42" t="s">
        <v>62</v>
      </c>
    </row>
    <row r="3" spans="1:2">
      <c r="A3" s="59" t="s">
        <v>63</v>
      </c>
      <c r="B3" s="16">
        <v>-3000</v>
      </c>
    </row>
    <row r="5" spans="1:7">
      <c r="A5" s="60" t="s">
        <v>64</v>
      </c>
      <c r="B5" s="60"/>
      <c r="C5" s="60"/>
      <c r="D5" s="60"/>
      <c r="E5" s="60"/>
      <c r="F5" s="60"/>
      <c r="G5" s="60"/>
    </row>
    <row r="6" spans="1:7">
      <c r="A6" s="61" t="s">
        <v>65</v>
      </c>
      <c r="B6" s="62">
        <f>B34</f>
        <v>0.03</v>
      </c>
      <c r="C6" s="62">
        <f>B6+$B35</f>
        <v>0.04</v>
      </c>
      <c r="D6" s="62">
        <f>C6+$B35</f>
        <v>0.05</v>
      </c>
      <c r="E6" s="62">
        <f>D6+$B35</f>
        <v>0.06</v>
      </c>
      <c r="F6" s="62">
        <f>E6+$B35</f>
        <v>0.07</v>
      </c>
      <c r="G6" s="62">
        <f>F6+$B35</f>
        <v>0.08</v>
      </c>
    </row>
    <row r="7" spans="1:7">
      <c r="A7" s="59">
        <f>B36</f>
        <v>10</v>
      </c>
      <c r="B7" s="17">
        <f>FV(B$6,$A7,$B$3)</f>
        <v>34391.6379344122</v>
      </c>
      <c r="C7" s="17">
        <f>FV(C$6,$A7,$B$3)</f>
        <v>36018.3213688758</v>
      </c>
      <c r="D7" s="17">
        <f>FV(D$6,$A7,$B$3)</f>
        <v>37733.6776066465</v>
      </c>
      <c r="E7" s="17">
        <f>FV(E$6,$A7,$B$3)</f>
        <v>39542.3848271427</v>
      </c>
      <c r="F7" s="17">
        <f>FV(F$6,$A7,$B$3)</f>
        <v>41449.3438838386</v>
      </c>
      <c r="G7" s="17">
        <f>FV(G$6,$A7,$B$3)</f>
        <v>43459.6873977296</v>
      </c>
    </row>
    <row r="8" spans="1:7">
      <c r="A8" s="59">
        <f t="shared" ref="A8:A15" si="0">A7+B$37</f>
        <v>15</v>
      </c>
      <c r="B8" s="17">
        <f t="shared" ref="B8:B15" si="1">FV(B$6,$A8,$B$3)</f>
        <v>55796.7416600765</v>
      </c>
      <c r="C8" s="17">
        <f>FV(C$6,$A8,$B$3)</f>
        <v>60070.7629130187</v>
      </c>
      <c r="D8" s="17">
        <f>FV(D$6,$A8,$B$3)</f>
        <v>64735.6907646821</v>
      </c>
      <c r="E8" s="17">
        <f>FV(E$6,$A8,$B$3)</f>
        <v>69827.9096549846</v>
      </c>
      <c r="F8" s="17">
        <f>FV(F$6,$A8,$B$3)</f>
        <v>75387.0660306573</v>
      </c>
      <c r="G8" s="17">
        <f>FV(G$6,$A8,$B$3)</f>
        <v>81456.3417824352</v>
      </c>
    </row>
    <row r="9" spans="1:7">
      <c r="A9" s="59">
        <f t="shared" si="0"/>
        <v>20</v>
      </c>
      <c r="B9" s="17">
        <f t="shared" si="1"/>
        <v>80611.1234669415</v>
      </c>
      <c r="C9" s="17">
        <f>FV(C$6,$A9,$B$3)</f>
        <v>89334.2357275066</v>
      </c>
      <c r="D9" s="17">
        <f>FV(D$6,$A9,$B$3)</f>
        <v>99197.8623086653</v>
      </c>
      <c r="E9" s="17">
        <f>FV(E$6,$A9,$B$3)</f>
        <v>110356.773610642</v>
      </c>
      <c r="F9" s="17">
        <f>FV(F$6,$A9,$B$3)</f>
        <v>122986.476963694</v>
      </c>
      <c r="G9" s="17">
        <f>FV(G$6,$A9,$B$3)</f>
        <v>137285.892894349</v>
      </c>
    </row>
    <row r="10" spans="1:7">
      <c r="A10" s="59">
        <f t="shared" si="0"/>
        <v>25</v>
      </c>
      <c r="B10" s="17">
        <f t="shared" si="1"/>
        <v>109377.792965422</v>
      </c>
      <c r="C10" s="17">
        <f>FV(C$6,$A10,$B$3)</f>
        <v>124937.724861557</v>
      </c>
      <c r="D10" s="17">
        <f>FV(D$6,$A10,$B$3)</f>
        <v>143181.296453963</v>
      </c>
      <c r="E10" s="17">
        <f>FV(E$6,$A10,$B$3)</f>
        <v>164593.535987174</v>
      </c>
      <c r="F10" s="17">
        <f>FV(F$6,$A10,$B$3)</f>
        <v>189747.113148124</v>
      </c>
      <c r="G10" s="17">
        <f>FV(G$6,$A10,$B$3)</f>
        <v>219317.819858225</v>
      </c>
    </row>
    <row r="11" spans="1:7">
      <c r="A11" s="59">
        <f t="shared" si="0"/>
        <v>30</v>
      </c>
      <c r="B11" s="17">
        <f t="shared" si="1"/>
        <v>142726.247118966</v>
      </c>
      <c r="C11" s="17">
        <f>FV(C$6,$A11,$B$3)</f>
        <v>168254.813252066</v>
      </c>
      <c r="D11" s="17">
        <f>FV(D$6,$A11,$B$3)</f>
        <v>199316.54250904</v>
      </c>
      <c r="E11" s="17">
        <f>FV(E$6,$A11,$B$3)</f>
        <v>237174.558645663</v>
      </c>
      <c r="F11" s="17">
        <f>FV(F$6,$A11,$B$3)</f>
        <v>283382.35897123</v>
      </c>
      <c r="G11" s="17">
        <f>FV(G$6,$A11,$B$3)</f>
        <v>339849.633340254</v>
      </c>
    </row>
    <row r="12" spans="1:7">
      <c r="A12" s="59">
        <f t="shared" si="0"/>
        <v>35</v>
      </c>
      <c r="B12" s="17">
        <f t="shared" si="1"/>
        <v>181386.245437153</v>
      </c>
      <c r="C12" s="17">
        <f>FV(C$6,$A12,$B$3)</f>
        <v>220956.674565896</v>
      </c>
      <c r="D12" s="17">
        <f>FV(D$6,$A12,$B$3)</f>
        <v>270960.922055535</v>
      </c>
      <c r="E12" s="17">
        <f>FV(E$6,$A12,$B$3)</f>
        <v>334304.339615617</v>
      </c>
      <c r="F12" s="17">
        <f>FV(F$6,$A12,$B$3)</f>
        <v>414710.635054948</v>
      </c>
      <c r="G12" s="17">
        <f>FV(G$6,$A12,$B$3)</f>
        <v>516950.411037021</v>
      </c>
    </row>
    <row r="13" spans="1:7">
      <c r="A13" s="59">
        <f t="shared" si="0"/>
        <v>40</v>
      </c>
      <c r="B13" s="17">
        <f t="shared" si="1"/>
        <v>226203.779199908</v>
      </c>
      <c r="C13" s="17">
        <f>FV(C$6,$A13,$B$3)</f>
        <v>285076.547095249</v>
      </c>
      <c r="D13" s="17">
        <f>FV(D$6,$A13,$B$3)</f>
        <v>362399.322727479</v>
      </c>
      <c r="E13" s="17">
        <f>FV(E$6,$A13,$B$3)</f>
        <v>464285.896856296</v>
      </c>
      <c r="F13" s="17">
        <f>FV(F$6,$A13,$B$3)</f>
        <v>598905.335966014</v>
      </c>
      <c r="G13" s="17">
        <f>FV(G$6,$A13,$B$3)</f>
        <v>777169.556129996</v>
      </c>
    </row>
    <row r="14" spans="1:7">
      <c r="A14" s="59">
        <f t="shared" si="0"/>
        <v>45</v>
      </c>
      <c r="B14" s="17">
        <f t="shared" si="1"/>
        <v>278159.584165135</v>
      </c>
      <c r="C14" s="17">
        <f>FV(C$6,$A14,$B$3)</f>
        <v>363088.176109605</v>
      </c>
      <c r="D14" s="17">
        <f>FV(D$6,$A14,$B$3)</f>
        <v>479100.467609569</v>
      </c>
      <c r="E14" s="17">
        <f>FV(E$6,$A14,$B$3)</f>
        <v>638230.541372051</v>
      </c>
      <c r="F14" s="17">
        <f>FV(F$6,$A14,$B$3)</f>
        <v>857247.932514598</v>
      </c>
      <c r="G14" s="17">
        <f>FV(G$6,$A14,$B$3)</f>
        <v>1159516.852136</v>
      </c>
    </row>
    <row r="15" spans="1:7">
      <c r="A15" s="59">
        <f t="shared" si="0"/>
        <v>50</v>
      </c>
      <c r="B15" s="17">
        <f t="shared" si="1"/>
        <v>338390.60187071</v>
      </c>
      <c r="C15" s="17">
        <f>FV(C$6,$A15,$B$3)</f>
        <v>458001.250970874</v>
      </c>
      <c r="D15" s="17">
        <f>FV(D$6,$A15,$B$3)</f>
        <v>628043.987145222</v>
      </c>
      <c r="E15" s="17">
        <f>FV(E$6,$A15,$B$3)</f>
        <v>871007.713749574</v>
      </c>
      <c r="F15" s="17">
        <f>FV(F$6,$A15,$B$3)</f>
        <v>1219586.78841735</v>
      </c>
      <c r="G15" s="17">
        <f>FV(G$6,$A15,$B$3)</f>
        <v>1721310.46924618</v>
      </c>
    </row>
    <row r="34" spans="1:2">
      <c r="A34" t="s">
        <v>66</v>
      </c>
      <c r="B34" s="63">
        <v>0.03</v>
      </c>
    </row>
    <row r="35" spans="1:2">
      <c r="A35" t="s">
        <v>67</v>
      </c>
      <c r="B35" s="63">
        <v>0.01</v>
      </c>
    </row>
    <row r="36" spans="1:2">
      <c r="A36" t="s">
        <v>68</v>
      </c>
      <c r="B36">
        <v>10</v>
      </c>
    </row>
    <row r="37" spans="1:2">
      <c r="A37" t="s">
        <v>6</v>
      </c>
      <c r="B37">
        <v>5</v>
      </c>
    </row>
  </sheetData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G37"/>
  <sheetViews>
    <sheetView zoomScale="160" zoomScaleNormal="160" workbookViewId="0">
      <selection activeCell="B7" sqref="B7"/>
    </sheetView>
  </sheetViews>
  <sheetFormatPr defaultColWidth="9" defaultRowHeight="15" outlineLevelCol="6"/>
  <cols>
    <col min="1" max="1" width="12.5714285714286" customWidth="1"/>
    <col min="2" max="7" width="17.8571428571429" customWidth="1"/>
  </cols>
  <sheetData>
    <row r="1" spans="1:1">
      <c r="A1" s="42" t="s">
        <v>62</v>
      </c>
    </row>
    <row r="3" spans="1:2">
      <c r="A3" s="59" t="s">
        <v>63</v>
      </c>
      <c r="B3" s="16">
        <v>-3000</v>
      </c>
    </row>
    <row r="5" spans="1:7">
      <c r="A5" s="60" t="s">
        <v>64</v>
      </c>
      <c r="B5" s="60"/>
      <c r="C5" s="60"/>
      <c r="D5" s="60"/>
      <c r="E5" s="60"/>
      <c r="F5" s="60"/>
      <c r="G5" s="60"/>
    </row>
    <row r="6" spans="1:7">
      <c r="A6" s="61" t="s">
        <v>65</v>
      </c>
      <c r="B6" s="62">
        <f>B34</f>
        <v>0.03</v>
      </c>
      <c r="C6" s="62">
        <f>B6+$B35</f>
        <v>0.04</v>
      </c>
      <c r="D6" s="62">
        <f>C6+$B35</f>
        <v>0.05</v>
      </c>
      <c r="E6" s="62">
        <f>D6+$B35</f>
        <v>0.06</v>
      </c>
      <c r="F6" s="62">
        <f>E6+$B35</f>
        <v>0.07</v>
      </c>
      <c r="G6" s="62">
        <f>F6+$B35</f>
        <v>0.08</v>
      </c>
    </row>
    <row r="7" spans="1:7">
      <c r="A7" s="59">
        <f>B36</f>
        <v>10</v>
      </c>
      <c r="B7" s="17">
        <f>FV(B$6,$A7,$B$3)</f>
        <v>34391.6379344122</v>
      </c>
      <c r="C7" s="17">
        <f t="shared" ref="C7:G15" si="0">FV(C$6,$A7,$B$3)</f>
        <v>36018.3213688758</v>
      </c>
      <c r="D7" s="17">
        <f t="shared" si="0"/>
        <v>37733.6776066465</v>
      </c>
      <c r="E7" s="17">
        <f t="shared" si="0"/>
        <v>39542.3848271427</v>
      </c>
      <c r="F7" s="17">
        <f t="shared" si="0"/>
        <v>41449.3438838385</v>
      </c>
      <c r="G7" s="17">
        <f t="shared" si="0"/>
        <v>43459.6873977295</v>
      </c>
    </row>
    <row r="8" spans="1:7">
      <c r="A8" s="59">
        <f t="shared" ref="A8:A15" si="1">A7+B$37</f>
        <v>15</v>
      </c>
      <c r="B8" s="17">
        <f t="shared" ref="B8:B15" si="2">FV(B$6,$A8,$B$3)</f>
        <v>55796.7416600764</v>
      </c>
      <c r="C8" s="17">
        <f t="shared" si="0"/>
        <v>60070.7629130188</v>
      </c>
      <c r="D8" s="17">
        <f t="shared" si="0"/>
        <v>64735.6907646821</v>
      </c>
      <c r="E8" s="17">
        <f t="shared" si="0"/>
        <v>69827.9096549846</v>
      </c>
      <c r="F8" s="17">
        <f t="shared" si="0"/>
        <v>75387.0660306572</v>
      </c>
      <c r="G8" s="17">
        <f t="shared" si="0"/>
        <v>81456.3417824352</v>
      </c>
    </row>
    <row r="9" spans="1:7">
      <c r="A9" s="59">
        <f t="shared" si="1"/>
        <v>20</v>
      </c>
      <c r="B9" s="17">
        <f t="shared" si="2"/>
        <v>80611.1234669413</v>
      </c>
      <c r="C9" s="17">
        <f t="shared" si="0"/>
        <v>89334.2357275066</v>
      </c>
      <c r="D9" s="17">
        <f t="shared" si="0"/>
        <v>99197.8623086652</v>
      </c>
      <c r="E9" s="17">
        <f t="shared" si="0"/>
        <v>110356.773610642</v>
      </c>
      <c r="F9" s="17">
        <f t="shared" si="0"/>
        <v>122986.476963693</v>
      </c>
      <c r="G9" s="17">
        <f t="shared" si="0"/>
        <v>137285.892894349</v>
      </c>
    </row>
    <row r="10" spans="1:7">
      <c r="A10" s="59">
        <f t="shared" si="1"/>
        <v>25</v>
      </c>
      <c r="B10" s="17">
        <f t="shared" si="2"/>
        <v>109377.792965421</v>
      </c>
      <c r="C10" s="17">
        <f t="shared" si="0"/>
        <v>124937.724861557</v>
      </c>
      <c r="D10" s="17">
        <f t="shared" si="0"/>
        <v>143181.296453963</v>
      </c>
      <c r="E10" s="17">
        <f t="shared" si="0"/>
        <v>164593.535987174</v>
      </c>
      <c r="F10" s="17">
        <f t="shared" si="0"/>
        <v>189747.113148124</v>
      </c>
      <c r="G10" s="17">
        <f t="shared" si="0"/>
        <v>219317.819858225</v>
      </c>
    </row>
    <row r="11" spans="1:7">
      <c r="A11" s="59">
        <f t="shared" si="1"/>
        <v>30</v>
      </c>
      <c r="B11" s="17">
        <f t="shared" si="2"/>
        <v>142726.247118966</v>
      </c>
      <c r="C11" s="17">
        <f t="shared" si="0"/>
        <v>168254.813252066</v>
      </c>
      <c r="D11" s="17">
        <f t="shared" si="0"/>
        <v>199316.54250904</v>
      </c>
      <c r="E11" s="17">
        <f t="shared" si="0"/>
        <v>237174.558645663</v>
      </c>
      <c r="F11" s="17">
        <f t="shared" si="0"/>
        <v>283382.35897123</v>
      </c>
      <c r="G11" s="17">
        <f t="shared" si="0"/>
        <v>339849.633340254</v>
      </c>
    </row>
    <row r="12" spans="1:7">
      <c r="A12" s="59">
        <f t="shared" si="1"/>
        <v>35</v>
      </c>
      <c r="B12" s="17">
        <f t="shared" si="2"/>
        <v>181386.245437152</v>
      </c>
      <c r="C12" s="17">
        <f t="shared" si="0"/>
        <v>220956.674565896</v>
      </c>
      <c r="D12" s="17">
        <f t="shared" si="0"/>
        <v>270960.922055535</v>
      </c>
      <c r="E12" s="17">
        <f t="shared" si="0"/>
        <v>334304.339615617</v>
      </c>
      <c r="F12" s="17">
        <f t="shared" si="0"/>
        <v>414710.635054947</v>
      </c>
      <c r="G12" s="17">
        <f t="shared" si="0"/>
        <v>516950.411037021</v>
      </c>
    </row>
    <row r="13" spans="1:7">
      <c r="A13" s="59">
        <f t="shared" si="1"/>
        <v>40</v>
      </c>
      <c r="B13" s="17">
        <f t="shared" si="2"/>
        <v>226203.779199907</v>
      </c>
      <c r="C13" s="17">
        <f t="shared" si="0"/>
        <v>285076.547095249</v>
      </c>
      <c r="D13" s="17">
        <f t="shared" si="0"/>
        <v>362399.322727479</v>
      </c>
      <c r="E13" s="17">
        <f t="shared" si="0"/>
        <v>464285.896856296</v>
      </c>
      <c r="F13" s="17">
        <f t="shared" si="0"/>
        <v>598905.335966012</v>
      </c>
      <c r="G13" s="17">
        <f t="shared" si="0"/>
        <v>777169.556129996</v>
      </c>
    </row>
    <row r="14" spans="1:7">
      <c r="A14" s="59">
        <f t="shared" si="1"/>
        <v>45</v>
      </c>
      <c r="B14" s="17">
        <f t="shared" si="2"/>
        <v>278159.584165134</v>
      </c>
      <c r="C14" s="17">
        <f t="shared" si="0"/>
        <v>363088.176109606</v>
      </c>
      <c r="D14" s="17">
        <f t="shared" si="0"/>
        <v>479100.467609569</v>
      </c>
      <c r="E14" s="17">
        <f t="shared" si="0"/>
        <v>638230.541372051</v>
      </c>
      <c r="F14" s="17">
        <f t="shared" si="0"/>
        <v>857247.932514595</v>
      </c>
      <c r="G14" s="17">
        <f t="shared" si="0"/>
        <v>1159516.852136</v>
      </c>
    </row>
    <row r="15" spans="1:7">
      <c r="A15" s="59">
        <f t="shared" si="1"/>
        <v>50</v>
      </c>
      <c r="B15" s="17">
        <f t="shared" si="2"/>
        <v>338390.601870709</v>
      </c>
      <c r="C15" s="17">
        <f t="shared" si="0"/>
        <v>458001.250970874</v>
      </c>
      <c r="D15" s="17">
        <f t="shared" si="0"/>
        <v>628043.987145221</v>
      </c>
      <c r="E15" s="17">
        <f t="shared" si="0"/>
        <v>871007.713749574</v>
      </c>
      <c r="F15" s="17">
        <f t="shared" si="0"/>
        <v>1219586.78841734</v>
      </c>
      <c r="G15" s="17">
        <f t="shared" si="0"/>
        <v>1721310.46924617</v>
      </c>
    </row>
    <row r="34" spans="1:2">
      <c r="A34" t="s">
        <v>66</v>
      </c>
      <c r="B34" s="63">
        <v>0.03</v>
      </c>
    </row>
    <row r="35" spans="1:2">
      <c r="A35" t="s">
        <v>67</v>
      </c>
      <c r="B35" s="63">
        <v>0.01</v>
      </c>
    </row>
    <row r="36" spans="1:2">
      <c r="A36" t="s">
        <v>68</v>
      </c>
      <c r="B36">
        <v>10</v>
      </c>
    </row>
    <row r="37" spans="1:2">
      <c r="A37" t="s">
        <v>6</v>
      </c>
      <c r="B37">
        <v>5</v>
      </c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J20"/>
  <sheetViews>
    <sheetView zoomScale="130" zoomScaleNormal="130" workbookViewId="0">
      <selection activeCell="F5" sqref="F5:H9"/>
    </sheetView>
  </sheetViews>
  <sheetFormatPr defaultColWidth="9" defaultRowHeight="15"/>
  <cols>
    <col min="1" max="1" width="8.85714285714286" customWidth="1"/>
    <col min="2" max="2" width="12.1428571428571" customWidth="1"/>
    <col min="3" max="3" width="15.2857142857143" customWidth="1"/>
    <col min="4" max="4" width="11.1428571428571" customWidth="1"/>
    <col min="5" max="9" width="15.1428571428571" customWidth="1"/>
    <col min="10" max="10" width="11.1428571428571" customWidth="1"/>
  </cols>
  <sheetData>
    <row r="1" spans="1:1">
      <c r="A1" s="42" t="s">
        <v>69</v>
      </c>
    </row>
    <row r="2" ht="15.75"/>
    <row r="3" ht="18.75" spans="1:10">
      <c r="A3" s="43" t="s">
        <v>70</v>
      </c>
      <c r="B3" s="43"/>
      <c r="C3" s="43"/>
      <c r="D3" s="43"/>
      <c r="E3" s="43"/>
      <c r="F3" s="43"/>
      <c r="G3" s="43"/>
      <c r="H3" s="43"/>
      <c r="I3" s="43"/>
      <c r="J3" s="43"/>
    </row>
    <row r="4" ht="30" spans="1:10">
      <c r="A4" s="44" t="s">
        <v>71</v>
      </c>
      <c r="B4" s="44" t="s">
        <v>72</v>
      </c>
      <c r="C4" s="44" t="s">
        <v>73</v>
      </c>
      <c r="D4" s="44" t="s">
        <v>74</v>
      </c>
      <c r="E4" s="44" t="s">
        <v>75</v>
      </c>
      <c r="F4" s="44" t="str">
        <f>F13</f>
        <v>FICA
Deduction</v>
      </c>
      <c r="G4" s="44" t="str">
        <f>G13</f>
        <v>Medicare Deduction</v>
      </c>
      <c r="H4" s="44" t="str">
        <f>H13</f>
        <v>Federal Withholdings</v>
      </c>
      <c r="I4" s="44" t="s">
        <v>76</v>
      </c>
      <c r="J4" s="44" t="s">
        <v>77</v>
      </c>
    </row>
    <row r="5" spans="1:10">
      <c r="A5" s="3" t="s">
        <v>78</v>
      </c>
      <c r="B5" s="16">
        <v>125000</v>
      </c>
      <c r="C5" s="16">
        <f>ROUND(B5*C$14,2)</f>
        <v>2500</v>
      </c>
      <c r="D5" s="16">
        <v>2000</v>
      </c>
      <c r="E5" s="16">
        <f>SUM(C5:D5)</f>
        <v>4500</v>
      </c>
      <c r="F5" s="17">
        <f>ROUND($E5*F$14,2)</f>
        <v>279</v>
      </c>
      <c r="G5" s="17">
        <f>ROUND($E5*G$14,2)</f>
        <v>65.25</v>
      </c>
      <c r="H5" s="17">
        <f>ROUND($E5*H$14,2)</f>
        <v>900</v>
      </c>
      <c r="I5" s="16">
        <f>SUM(F5:H5)</f>
        <v>1244.25</v>
      </c>
      <c r="J5" s="16">
        <f>E5-I5</f>
        <v>3255.75</v>
      </c>
    </row>
    <row r="6" spans="1:10">
      <c r="A6" s="3" t="s">
        <v>79</v>
      </c>
      <c r="B6" s="16">
        <v>97855</v>
      </c>
      <c r="C6" s="16">
        <f>ROUND(B6*C$14,2)</f>
        <v>1957.1</v>
      </c>
      <c r="D6" s="16">
        <v>2000</v>
      </c>
      <c r="E6" s="16">
        <f>SUM(C6:D6)</f>
        <v>3957.1</v>
      </c>
      <c r="F6" s="17">
        <f>ROUND($E6*F$14,2)</f>
        <v>245.34</v>
      </c>
      <c r="G6" s="17">
        <f>ROUND($E6*G$14,2)</f>
        <v>57.38</v>
      </c>
      <c r="H6" s="17">
        <f>ROUND($E6*H$14,2)</f>
        <v>791.42</v>
      </c>
      <c r="I6" s="16">
        <f>SUM(F6:H6)</f>
        <v>1094.14</v>
      </c>
      <c r="J6" s="16">
        <f>E6-I6</f>
        <v>2862.96</v>
      </c>
    </row>
    <row r="7" spans="1:10">
      <c r="A7" s="3" t="s">
        <v>80</v>
      </c>
      <c r="B7" s="16">
        <v>181250</v>
      </c>
      <c r="C7" s="16">
        <f>ROUND(B7*C$14,2)</f>
        <v>3625</v>
      </c>
      <c r="D7" s="16">
        <v>2000</v>
      </c>
      <c r="E7" s="16">
        <f>SUM(C7:D7)</f>
        <v>5625</v>
      </c>
      <c r="F7" s="17">
        <f>ROUND($E7*F$14,2)</f>
        <v>348.75</v>
      </c>
      <c r="G7" s="17">
        <f>ROUND($E7*G$14,2)</f>
        <v>81.56</v>
      </c>
      <c r="H7" s="17">
        <f>ROUND($E7*H$14,2)</f>
        <v>1125</v>
      </c>
      <c r="I7" s="16">
        <f>SUM(F7:H7)</f>
        <v>1555.31</v>
      </c>
      <c r="J7" s="16">
        <f>E7-I7</f>
        <v>4069.69</v>
      </c>
    </row>
    <row r="8" spans="1:10">
      <c r="A8" s="3" t="s">
        <v>81</v>
      </c>
      <c r="B8" s="16">
        <v>95500</v>
      </c>
      <c r="C8" s="16">
        <f>ROUND(B8*C$14,2)</f>
        <v>1910</v>
      </c>
      <c r="D8" s="16">
        <v>2000</v>
      </c>
      <c r="E8" s="16">
        <f>SUM(C8:D8)</f>
        <v>3910</v>
      </c>
      <c r="F8" s="17">
        <f>ROUND($E8*F$14,2)</f>
        <v>242.42</v>
      </c>
      <c r="G8" s="17">
        <f>ROUND($E8*G$14,2)</f>
        <v>56.7</v>
      </c>
      <c r="H8" s="17">
        <f>ROUND($E8*H$14,2)</f>
        <v>782</v>
      </c>
      <c r="I8" s="16">
        <f>SUM(F8:H8)</f>
        <v>1081.12</v>
      </c>
      <c r="J8" s="16">
        <f>E8-I8</f>
        <v>2828.88</v>
      </c>
    </row>
    <row r="9" ht="15.75" spans="1:10">
      <c r="A9" s="45" t="s">
        <v>82</v>
      </c>
      <c r="B9" s="46">
        <v>78550</v>
      </c>
      <c r="C9" s="16">
        <f>ROUND(B9*C$14,2)</f>
        <v>1571</v>
      </c>
      <c r="D9" s="16">
        <v>2000</v>
      </c>
      <c r="E9" s="46">
        <f>SUM(C9:D9)</f>
        <v>3571</v>
      </c>
      <c r="F9" s="17">
        <f>ROUND($E9*F$14,2)</f>
        <v>221.4</v>
      </c>
      <c r="G9" s="17">
        <f>ROUND($E9*G$14,2)</f>
        <v>51.78</v>
      </c>
      <c r="H9" s="17">
        <f>ROUND($E9*H$14,2)</f>
        <v>714.2</v>
      </c>
      <c r="I9" s="46">
        <f>SUM(F9:H9)</f>
        <v>987.38</v>
      </c>
      <c r="J9" s="46">
        <f>E9-I9</f>
        <v>2583.62</v>
      </c>
    </row>
    <row r="10" ht="15.75" spans="1:10">
      <c r="A10" s="47" t="s">
        <v>83</v>
      </c>
      <c r="B10" s="48">
        <f t="shared" ref="B10:J10" si="0">SUM(B5:B9)</f>
        <v>578155</v>
      </c>
      <c r="C10" s="48">
        <f t="shared" si="0"/>
        <v>11563.1</v>
      </c>
      <c r="D10" s="48">
        <f t="shared" si="0"/>
        <v>10000</v>
      </c>
      <c r="E10" s="48">
        <f t="shared" si="0"/>
        <v>21563.1</v>
      </c>
      <c r="F10" s="48">
        <f t="shared" si="0"/>
        <v>1336.91</v>
      </c>
      <c r="G10" s="48">
        <f t="shared" si="0"/>
        <v>312.67</v>
      </c>
      <c r="H10" s="48">
        <f t="shared" si="0"/>
        <v>4312.62</v>
      </c>
      <c r="I10" s="48">
        <f t="shared" si="0"/>
        <v>5962.2</v>
      </c>
      <c r="J10" s="48">
        <f t="shared" si="0"/>
        <v>15600.9</v>
      </c>
    </row>
    <row r="11" ht="15.75"/>
    <row r="12" spans="6:8">
      <c r="F12" s="49" t="s">
        <v>84</v>
      </c>
      <c r="G12" s="49"/>
      <c r="H12" s="49"/>
    </row>
    <row r="13" ht="25.5" spans="1:8">
      <c r="A13" s="50"/>
      <c r="C13" s="51" t="s">
        <v>85</v>
      </c>
      <c r="D13" s="50"/>
      <c r="F13" s="51" t="s">
        <v>86</v>
      </c>
      <c r="G13" s="51" t="s">
        <v>87</v>
      </c>
      <c r="H13" s="51" t="s">
        <v>88</v>
      </c>
    </row>
    <row r="14" spans="3:9">
      <c r="C14" s="35">
        <v>0.02</v>
      </c>
      <c r="F14" s="35">
        <v>0.062</v>
      </c>
      <c r="G14" s="35">
        <v>0.0145</v>
      </c>
      <c r="H14" s="35">
        <v>0.2</v>
      </c>
      <c r="I14" s="57"/>
    </row>
    <row r="16" spans="6:7">
      <c r="F16" s="52" t="str">
        <f>F12</f>
        <v>Assumption Table</v>
      </c>
      <c r="G16" s="52"/>
    </row>
    <row r="17" ht="30" spans="1:10">
      <c r="A17" s="50"/>
      <c r="B17" s="50"/>
      <c r="C17" s="50"/>
      <c r="D17" s="50"/>
      <c r="F17" s="54" t="str">
        <f>F13</f>
        <v>FICA
Deduction</v>
      </c>
      <c r="G17" s="55">
        <f>F14</f>
        <v>0.062</v>
      </c>
      <c r="H17" s="50"/>
      <c r="I17" s="50"/>
      <c r="J17" s="50"/>
    </row>
    <row r="18" ht="30" spans="1:10">
      <c r="A18" s="50"/>
      <c r="B18" s="50"/>
      <c r="C18" s="50"/>
      <c r="D18" s="50"/>
      <c r="F18" s="54" t="str">
        <f>G13</f>
        <v>Medicare Deduction</v>
      </c>
      <c r="G18" s="55">
        <f>G14</f>
        <v>0.0145</v>
      </c>
      <c r="H18" s="50"/>
      <c r="I18" s="50"/>
      <c r="J18" s="58"/>
    </row>
    <row r="19" ht="30" spans="1:10">
      <c r="A19" s="50"/>
      <c r="B19" s="50"/>
      <c r="C19" s="50"/>
      <c r="D19" s="50"/>
      <c r="F19" s="54" t="str">
        <f>H13</f>
        <v>Federal Withholdings</v>
      </c>
      <c r="G19" s="55">
        <f>H14</f>
        <v>0.2</v>
      </c>
      <c r="H19" s="50"/>
      <c r="I19" s="50"/>
      <c r="J19" s="50"/>
    </row>
    <row r="20" spans="1:10">
      <c r="A20" s="50"/>
      <c r="B20" s="50"/>
      <c r="C20" s="50"/>
      <c r="D20" s="50"/>
      <c r="G20" s="50"/>
      <c r="H20" s="50"/>
      <c r="I20" s="50"/>
      <c r="J20" s="58"/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K20"/>
  <sheetViews>
    <sheetView zoomScale="130" zoomScaleNormal="130" workbookViewId="0">
      <selection activeCell="F5" sqref="F5"/>
    </sheetView>
  </sheetViews>
  <sheetFormatPr defaultColWidth="9" defaultRowHeight="15"/>
  <cols>
    <col min="1" max="1" width="8.85714285714286" customWidth="1"/>
    <col min="2" max="2" width="12.1428571428571" customWidth="1"/>
    <col min="3" max="3" width="15.2857142857143" customWidth="1"/>
    <col min="4" max="4" width="11.1428571428571" customWidth="1"/>
    <col min="5" max="10" width="15.1428571428571" customWidth="1"/>
    <col min="11" max="11" width="11.1428571428571" customWidth="1"/>
  </cols>
  <sheetData>
    <row r="1" spans="1:1">
      <c r="A1" s="42" t="s">
        <v>69</v>
      </c>
    </row>
    <row r="2" ht="15.75"/>
    <row r="3" ht="18.75" spans="1:11">
      <c r="A3" s="43" t="s">
        <v>70</v>
      </c>
      <c r="B3" s="43"/>
      <c r="C3" s="43"/>
      <c r="D3" s="43"/>
      <c r="E3" s="43"/>
      <c r="F3" s="43"/>
      <c r="G3" s="43"/>
      <c r="H3" s="43"/>
      <c r="I3" s="43"/>
      <c r="J3" s="43"/>
      <c r="K3" s="43"/>
    </row>
    <row r="4" ht="30" spans="1:11">
      <c r="A4" s="44" t="s">
        <v>71</v>
      </c>
      <c r="B4" s="44" t="s">
        <v>72</v>
      </c>
      <c r="C4" s="44" t="s">
        <v>73</v>
      </c>
      <c r="D4" s="44" t="s">
        <v>74</v>
      </c>
      <c r="E4" s="44" t="s">
        <v>75</v>
      </c>
      <c r="F4" s="44" t="str">
        <f>F13</f>
        <v>FICA
Deduction</v>
      </c>
      <c r="G4" s="44" t="str">
        <f>G13</f>
        <v>Medicare Deduction</v>
      </c>
      <c r="H4" s="44" t="str">
        <f>H13</f>
        <v>Pension</v>
      </c>
      <c r="I4" s="44" t="str">
        <f>I13</f>
        <v>Federal Withholdings</v>
      </c>
      <c r="J4" s="44" t="s">
        <v>76</v>
      </c>
      <c r="K4" s="44" t="s">
        <v>77</v>
      </c>
    </row>
    <row r="5" spans="1:11">
      <c r="A5" s="3" t="s">
        <v>78</v>
      </c>
      <c r="B5" s="16">
        <v>125000</v>
      </c>
      <c r="C5" s="16">
        <f>ROUND(B5*C$14,2)</f>
        <v>2500</v>
      </c>
      <c r="D5" s="16">
        <v>2000</v>
      </c>
      <c r="E5" s="16">
        <f>SUM(C5:D5)</f>
        <v>4500</v>
      </c>
      <c r="F5" s="17">
        <f>ROUND($E5*F$14,2)</f>
        <v>279</v>
      </c>
      <c r="G5" s="17">
        <f t="shared" ref="G5:I5" si="0">ROUND($E5*G$14,2)</f>
        <v>65.25</v>
      </c>
      <c r="H5" s="17">
        <f t="shared" si="0"/>
        <v>90</v>
      </c>
      <c r="I5" s="17">
        <f t="shared" si="0"/>
        <v>900</v>
      </c>
      <c r="J5" s="16">
        <f>SUM(F5:I5)</f>
        <v>1334.25</v>
      </c>
      <c r="K5" s="16">
        <f>E5-J5</f>
        <v>3165.75</v>
      </c>
    </row>
    <row r="6" spans="1:11">
      <c r="A6" s="3" t="s">
        <v>79</v>
      </c>
      <c r="B6" s="16">
        <v>97855</v>
      </c>
      <c r="C6" s="16">
        <f>ROUND(B6*C$14,2)</f>
        <v>1957.1</v>
      </c>
      <c r="D6" s="16">
        <v>2000</v>
      </c>
      <c r="E6" s="16">
        <f>SUM(C6:D6)</f>
        <v>3957.1</v>
      </c>
      <c r="F6" s="17">
        <f t="shared" ref="F6:I9" si="1">ROUND($E6*F$14,2)</f>
        <v>245.34</v>
      </c>
      <c r="G6" s="17">
        <f t="shared" si="1"/>
        <v>57.38</v>
      </c>
      <c r="H6" s="17">
        <f t="shared" si="1"/>
        <v>79.14</v>
      </c>
      <c r="I6" s="17">
        <f t="shared" si="1"/>
        <v>791.42</v>
      </c>
      <c r="J6" s="16">
        <f>SUM(F6:I6)</f>
        <v>1173.28</v>
      </c>
      <c r="K6" s="16">
        <f>E6-J6</f>
        <v>2783.82</v>
      </c>
    </row>
    <row r="7" spans="1:11">
      <c r="A7" s="3" t="s">
        <v>80</v>
      </c>
      <c r="B7" s="16">
        <v>181250</v>
      </c>
      <c r="C7" s="16">
        <f>ROUND(B7*C$14,2)</f>
        <v>3625</v>
      </c>
      <c r="D7" s="16">
        <v>2000</v>
      </c>
      <c r="E7" s="16">
        <f>SUM(C7:D7)</f>
        <v>5625</v>
      </c>
      <c r="F7" s="17">
        <f t="shared" si="1"/>
        <v>348.75</v>
      </c>
      <c r="G7" s="17">
        <f t="shared" si="1"/>
        <v>81.56</v>
      </c>
      <c r="H7" s="17">
        <f t="shared" si="1"/>
        <v>112.5</v>
      </c>
      <c r="I7" s="17">
        <f t="shared" si="1"/>
        <v>1125</v>
      </c>
      <c r="J7" s="16">
        <f>SUM(F7:I7)</f>
        <v>1667.81</v>
      </c>
      <c r="K7" s="16">
        <f>E7-J7</f>
        <v>3957.19</v>
      </c>
    </row>
    <row r="8" spans="1:11">
      <c r="A8" s="3" t="s">
        <v>81</v>
      </c>
      <c r="B8" s="16">
        <v>95500</v>
      </c>
      <c r="C8" s="16">
        <f>ROUND(B8*C$14,2)</f>
        <v>1910</v>
      </c>
      <c r="D8" s="16">
        <v>2000</v>
      </c>
      <c r="E8" s="16">
        <f>SUM(C8:D8)</f>
        <v>3910</v>
      </c>
      <c r="F8" s="17">
        <f t="shared" si="1"/>
        <v>242.42</v>
      </c>
      <c r="G8" s="17">
        <f t="shared" si="1"/>
        <v>56.7</v>
      </c>
      <c r="H8" s="17">
        <f t="shared" si="1"/>
        <v>78.2</v>
      </c>
      <c r="I8" s="17">
        <f t="shared" si="1"/>
        <v>782</v>
      </c>
      <c r="J8" s="16">
        <f>SUM(F8:I8)</f>
        <v>1159.32</v>
      </c>
      <c r="K8" s="16">
        <f>E8-J8</f>
        <v>2750.68</v>
      </c>
    </row>
    <row r="9" ht="15.75" spans="1:11">
      <c r="A9" s="45" t="s">
        <v>82</v>
      </c>
      <c r="B9" s="46">
        <v>78550</v>
      </c>
      <c r="C9" s="16">
        <f>ROUND(B9*C$14,2)</f>
        <v>1571</v>
      </c>
      <c r="D9" s="16">
        <v>2000</v>
      </c>
      <c r="E9" s="46">
        <f>SUM(C9:D9)</f>
        <v>3571</v>
      </c>
      <c r="F9" s="17">
        <f t="shared" si="1"/>
        <v>221.4</v>
      </c>
      <c r="G9" s="17">
        <f t="shared" si="1"/>
        <v>51.78</v>
      </c>
      <c r="H9" s="17">
        <f t="shared" si="1"/>
        <v>71.42</v>
      </c>
      <c r="I9" s="17">
        <f>ROUND($E9*I$14,2)</f>
        <v>714.2</v>
      </c>
      <c r="J9" s="46">
        <f>SUM(F9:I9)</f>
        <v>1058.8</v>
      </c>
      <c r="K9" s="46">
        <f>E9-J9</f>
        <v>2512.2</v>
      </c>
    </row>
    <row r="10" ht="15.75" spans="1:11">
      <c r="A10" s="47" t="s">
        <v>83</v>
      </c>
      <c r="B10" s="48">
        <f t="shared" ref="B10:K10" si="2">SUM(B5:B9)</f>
        <v>578155</v>
      </c>
      <c r="C10" s="48">
        <f t="shared" si="2"/>
        <v>11563.1</v>
      </c>
      <c r="D10" s="48">
        <f t="shared" si="2"/>
        <v>10000</v>
      </c>
      <c r="E10" s="48">
        <f t="shared" si="2"/>
        <v>21563.1</v>
      </c>
      <c r="F10" s="48">
        <f t="shared" si="2"/>
        <v>1336.91</v>
      </c>
      <c r="G10" s="48">
        <f t="shared" si="2"/>
        <v>312.67</v>
      </c>
      <c r="H10" s="48">
        <f t="shared" ref="H10" si="3">SUM(H5:H9)</f>
        <v>431.26</v>
      </c>
      <c r="I10" s="48">
        <f t="shared" si="2"/>
        <v>4312.62</v>
      </c>
      <c r="J10" s="48">
        <f t="shared" si="2"/>
        <v>6393.46</v>
      </c>
      <c r="K10" s="48">
        <f t="shared" si="2"/>
        <v>15169.64</v>
      </c>
    </row>
    <row r="11" ht="15.75"/>
    <row r="12" spans="6:9">
      <c r="F12" s="49" t="s">
        <v>84</v>
      </c>
      <c r="G12" s="49"/>
      <c r="H12" s="49"/>
      <c r="I12" s="49"/>
    </row>
    <row r="13" ht="25.5" spans="1:9">
      <c r="A13" s="50"/>
      <c r="C13" s="51" t="s">
        <v>85</v>
      </c>
      <c r="D13" s="50"/>
      <c r="F13" s="51" t="s">
        <v>86</v>
      </c>
      <c r="G13" s="51" t="s">
        <v>87</v>
      </c>
      <c r="H13" s="51" t="s">
        <v>89</v>
      </c>
      <c r="I13" s="51" t="s">
        <v>88</v>
      </c>
    </row>
    <row r="14" spans="3:10">
      <c r="C14" s="35">
        <v>0.02</v>
      </c>
      <c r="F14" s="35">
        <v>0.062</v>
      </c>
      <c r="G14" s="35">
        <v>0.0145</v>
      </c>
      <c r="H14" s="35">
        <v>0.02</v>
      </c>
      <c r="I14" s="35">
        <v>0.2</v>
      </c>
      <c r="J14" s="57"/>
    </row>
    <row r="16" spans="6:8">
      <c r="F16" s="52" t="str">
        <f>F12</f>
        <v>Assumption Table</v>
      </c>
      <c r="G16" s="52"/>
      <c r="H16" s="53"/>
    </row>
    <row r="17" ht="30" spans="1:11">
      <c r="A17" s="50"/>
      <c r="B17" s="50"/>
      <c r="C17" s="50"/>
      <c r="D17" s="50"/>
      <c r="F17" s="54" t="str">
        <f>F13</f>
        <v>FICA
Deduction</v>
      </c>
      <c r="G17" s="55">
        <f>F14</f>
        <v>0.062</v>
      </c>
      <c r="H17" s="56"/>
      <c r="I17" s="50"/>
      <c r="J17" s="50"/>
      <c r="K17" s="50"/>
    </row>
    <row r="18" ht="30" spans="1:11">
      <c r="A18" s="50"/>
      <c r="B18" s="50"/>
      <c r="C18" s="50"/>
      <c r="D18" s="50"/>
      <c r="F18" s="54" t="str">
        <f>G13</f>
        <v>Medicare Deduction</v>
      </c>
      <c r="G18" s="55">
        <f>G14</f>
        <v>0.0145</v>
      </c>
      <c r="H18" s="56"/>
      <c r="I18" s="50"/>
      <c r="J18" s="50"/>
      <c r="K18" s="58"/>
    </row>
    <row r="19" ht="30" spans="1:11">
      <c r="A19" s="50"/>
      <c r="B19" s="50"/>
      <c r="C19" s="50"/>
      <c r="D19" s="50"/>
      <c r="F19" s="54" t="str">
        <f>I13</f>
        <v>Federal Withholdings</v>
      </c>
      <c r="G19" s="55">
        <f>I14</f>
        <v>0.2</v>
      </c>
      <c r="H19" s="56"/>
      <c r="I19" s="50"/>
      <c r="J19" s="50"/>
      <c r="K19" s="50"/>
    </row>
    <row r="20" spans="1:11">
      <c r="A20" s="50"/>
      <c r="B20" s="50"/>
      <c r="C20" s="50"/>
      <c r="D20" s="50"/>
      <c r="G20" s="50"/>
      <c r="H20" s="50"/>
      <c r="I20" s="50"/>
      <c r="J20" s="50"/>
      <c r="K20" s="58"/>
    </row>
  </sheetData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1"/>
  </sheetPr>
  <dimension ref="A1"/>
  <sheetViews>
    <sheetView workbookViewId="0">
      <selection activeCell="A1" sqref="A1"/>
    </sheetView>
  </sheetViews>
  <sheetFormatPr defaultColWidth="9" defaultRowHeight="15"/>
  <sheetData/>
  <pageMargins left="0.7" right="0.7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M16"/>
  <sheetViews>
    <sheetView workbookViewId="0">
      <selection activeCell="B5" sqref="B5:M16"/>
    </sheetView>
  </sheetViews>
  <sheetFormatPr defaultColWidth="9" defaultRowHeight="15"/>
  <sheetData>
    <row r="1" spans="1:7">
      <c r="A1" s="36" t="s">
        <v>90</v>
      </c>
      <c r="B1" s="37"/>
      <c r="C1" s="37"/>
      <c r="D1" s="37"/>
      <c r="E1" s="37"/>
      <c r="F1" s="37"/>
      <c r="G1" s="38"/>
    </row>
    <row r="3" ht="26.25" spans="1:13">
      <c r="A3" s="39" t="s">
        <v>91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</row>
    <row r="4" spans="1:13">
      <c r="A4" s="40"/>
      <c r="B4" s="40">
        <v>1</v>
      </c>
      <c r="C4" s="40">
        <v>2</v>
      </c>
      <c r="D4" s="40">
        <v>3</v>
      </c>
      <c r="E4" s="40">
        <v>4</v>
      </c>
      <c r="F4" s="40">
        <v>5</v>
      </c>
      <c r="G4" s="40">
        <v>6</v>
      </c>
      <c r="H4" s="40">
        <v>7</v>
      </c>
      <c r="I4" s="40">
        <v>8</v>
      </c>
      <c r="J4" s="40">
        <v>9</v>
      </c>
      <c r="K4" s="40">
        <v>10</v>
      </c>
      <c r="L4" s="40">
        <v>11</v>
      </c>
      <c r="M4" s="40">
        <v>12</v>
      </c>
    </row>
    <row r="5" spans="1:13">
      <c r="A5" s="40">
        <v>1</v>
      </c>
      <c r="B5" s="41">
        <f>B$4*$A5</f>
        <v>1</v>
      </c>
      <c r="C5" s="41">
        <f t="shared" ref="C5:M5" si="0">C$4*$A5</f>
        <v>2</v>
      </c>
      <c r="D5" s="41">
        <f t="shared" si="0"/>
        <v>3</v>
      </c>
      <c r="E5" s="41">
        <f t="shared" si="0"/>
        <v>4</v>
      </c>
      <c r="F5" s="41">
        <f t="shared" si="0"/>
        <v>5</v>
      </c>
      <c r="G5" s="41">
        <f t="shared" si="0"/>
        <v>6</v>
      </c>
      <c r="H5" s="41">
        <f t="shared" si="0"/>
        <v>7</v>
      </c>
      <c r="I5" s="41">
        <f t="shared" si="0"/>
        <v>8</v>
      </c>
      <c r="J5" s="41">
        <f t="shared" si="0"/>
        <v>9</v>
      </c>
      <c r="K5" s="41">
        <f t="shared" si="0"/>
        <v>10</v>
      </c>
      <c r="L5" s="41">
        <f t="shared" si="0"/>
        <v>11</v>
      </c>
      <c r="M5" s="41">
        <f t="shared" si="0"/>
        <v>12</v>
      </c>
    </row>
    <row r="6" spans="1:13">
      <c r="A6" s="40">
        <v>2</v>
      </c>
      <c r="B6" s="41">
        <f t="shared" ref="B6:B16" si="1">B$4*$A6</f>
        <v>2</v>
      </c>
      <c r="C6" s="41">
        <f t="shared" ref="C6:M6" si="2">C$4*$A6</f>
        <v>4</v>
      </c>
      <c r="D6" s="41">
        <f t="shared" si="2"/>
        <v>6</v>
      </c>
      <c r="E6" s="41">
        <f t="shared" si="2"/>
        <v>8</v>
      </c>
      <c r="F6" s="41">
        <f t="shared" si="2"/>
        <v>10</v>
      </c>
      <c r="G6" s="41">
        <f t="shared" si="2"/>
        <v>12</v>
      </c>
      <c r="H6" s="41">
        <f t="shared" si="2"/>
        <v>14</v>
      </c>
      <c r="I6" s="41">
        <f t="shared" si="2"/>
        <v>16</v>
      </c>
      <c r="J6" s="41">
        <f t="shared" si="2"/>
        <v>18</v>
      </c>
      <c r="K6" s="41">
        <f t="shared" si="2"/>
        <v>20</v>
      </c>
      <c r="L6" s="41">
        <f t="shared" si="2"/>
        <v>22</v>
      </c>
      <c r="M6" s="41">
        <f t="shared" si="2"/>
        <v>24</v>
      </c>
    </row>
    <row r="7" spans="1:13">
      <c r="A7" s="40">
        <v>3</v>
      </c>
      <c r="B7" s="41">
        <f t="shared" si="1"/>
        <v>3</v>
      </c>
      <c r="C7" s="41">
        <f t="shared" ref="C7:M7" si="3">C$4*$A7</f>
        <v>6</v>
      </c>
      <c r="D7" s="41">
        <f t="shared" si="3"/>
        <v>9</v>
      </c>
      <c r="E7" s="41">
        <f t="shared" si="3"/>
        <v>12</v>
      </c>
      <c r="F7" s="41">
        <f t="shared" si="3"/>
        <v>15</v>
      </c>
      <c r="G7" s="41">
        <f t="shared" si="3"/>
        <v>18</v>
      </c>
      <c r="H7" s="41">
        <f t="shared" si="3"/>
        <v>21</v>
      </c>
      <c r="I7" s="41">
        <f t="shared" si="3"/>
        <v>24</v>
      </c>
      <c r="J7" s="41">
        <f t="shared" si="3"/>
        <v>27</v>
      </c>
      <c r="K7" s="41">
        <f t="shared" si="3"/>
        <v>30</v>
      </c>
      <c r="L7" s="41">
        <f t="shared" si="3"/>
        <v>33</v>
      </c>
      <c r="M7" s="41">
        <f t="shared" si="3"/>
        <v>36</v>
      </c>
    </row>
    <row r="8" spans="1:13">
      <c r="A8" s="40">
        <v>4</v>
      </c>
      <c r="B8" s="41">
        <f t="shared" si="1"/>
        <v>4</v>
      </c>
      <c r="C8" s="41">
        <f t="shared" ref="C8:M8" si="4">C$4*$A8</f>
        <v>8</v>
      </c>
      <c r="D8" s="41">
        <f t="shared" si="4"/>
        <v>12</v>
      </c>
      <c r="E8" s="41">
        <f t="shared" si="4"/>
        <v>16</v>
      </c>
      <c r="F8" s="41">
        <f t="shared" si="4"/>
        <v>20</v>
      </c>
      <c r="G8" s="41">
        <f t="shared" si="4"/>
        <v>24</v>
      </c>
      <c r="H8" s="41">
        <f t="shared" si="4"/>
        <v>28</v>
      </c>
      <c r="I8" s="41">
        <f t="shared" si="4"/>
        <v>32</v>
      </c>
      <c r="J8" s="41">
        <f t="shared" si="4"/>
        <v>36</v>
      </c>
      <c r="K8" s="41">
        <f t="shared" si="4"/>
        <v>40</v>
      </c>
      <c r="L8" s="41">
        <f t="shared" si="4"/>
        <v>44</v>
      </c>
      <c r="M8" s="41">
        <f t="shared" si="4"/>
        <v>48</v>
      </c>
    </row>
    <row r="9" spans="1:13">
      <c r="A9" s="40">
        <v>5</v>
      </c>
      <c r="B9" s="41">
        <f t="shared" si="1"/>
        <v>5</v>
      </c>
      <c r="C9" s="41">
        <f t="shared" ref="C9:M9" si="5">C$4*$A9</f>
        <v>10</v>
      </c>
      <c r="D9" s="41">
        <f t="shared" si="5"/>
        <v>15</v>
      </c>
      <c r="E9" s="41">
        <f t="shared" si="5"/>
        <v>20</v>
      </c>
      <c r="F9" s="41">
        <f t="shared" si="5"/>
        <v>25</v>
      </c>
      <c r="G9" s="41">
        <f t="shared" si="5"/>
        <v>30</v>
      </c>
      <c r="H9" s="41">
        <f t="shared" si="5"/>
        <v>35</v>
      </c>
      <c r="I9" s="41">
        <f t="shared" si="5"/>
        <v>40</v>
      </c>
      <c r="J9" s="41">
        <f t="shared" si="5"/>
        <v>45</v>
      </c>
      <c r="K9" s="41">
        <f t="shared" si="5"/>
        <v>50</v>
      </c>
      <c r="L9" s="41">
        <f t="shared" si="5"/>
        <v>55</v>
      </c>
      <c r="M9" s="41">
        <f t="shared" si="5"/>
        <v>60</v>
      </c>
    </row>
    <row r="10" spans="1:13">
      <c r="A10" s="40">
        <v>6</v>
      </c>
      <c r="B10" s="41">
        <f t="shared" si="1"/>
        <v>6</v>
      </c>
      <c r="C10" s="41">
        <f t="shared" ref="C10:M10" si="6">C$4*$A10</f>
        <v>12</v>
      </c>
      <c r="D10" s="41">
        <f t="shared" si="6"/>
        <v>18</v>
      </c>
      <c r="E10" s="41">
        <f t="shared" si="6"/>
        <v>24</v>
      </c>
      <c r="F10" s="41">
        <f t="shared" si="6"/>
        <v>30</v>
      </c>
      <c r="G10" s="41">
        <f t="shared" si="6"/>
        <v>36</v>
      </c>
      <c r="H10" s="41">
        <f t="shared" si="6"/>
        <v>42</v>
      </c>
      <c r="I10" s="41">
        <f t="shared" si="6"/>
        <v>48</v>
      </c>
      <c r="J10" s="41">
        <f t="shared" si="6"/>
        <v>54</v>
      </c>
      <c r="K10" s="41">
        <f t="shared" si="6"/>
        <v>60</v>
      </c>
      <c r="L10" s="41">
        <f t="shared" si="6"/>
        <v>66</v>
      </c>
      <c r="M10" s="41">
        <f t="shared" si="6"/>
        <v>72</v>
      </c>
    </row>
    <row r="11" spans="1:13">
      <c r="A11" s="40">
        <v>7</v>
      </c>
      <c r="B11" s="41">
        <f t="shared" si="1"/>
        <v>7</v>
      </c>
      <c r="C11" s="41">
        <f t="shared" ref="C11:M11" si="7">C$4*$A11</f>
        <v>14</v>
      </c>
      <c r="D11" s="41">
        <f t="shared" si="7"/>
        <v>21</v>
      </c>
      <c r="E11" s="41">
        <f t="shared" si="7"/>
        <v>28</v>
      </c>
      <c r="F11" s="41">
        <f t="shared" si="7"/>
        <v>35</v>
      </c>
      <c r="G11" s="41">
        <f t="shared" si="7"/>
        <v>42</v>
      </c>
      <c r="H11" s="41">
        <f t="shared" si="7"/>
        <v>49</v>
      </c>
      <c r="I11" s="41">
        <f t="shared" si="7"/>
        <v>56</v>
      </c>
      <c r="J11" s="41">
        <f t="shared" si="7"/>
        <v>63</v>
      </c>
      <c r="K11" s="41">
        <f t="shared" si="7"/>
        <v>70</v>
      </c>
      <c r="L11" s="41">
        <f t="shared" si="7"/>
        <v>77</v>
      </c>
      <c r="M11" s="41">
        <f t="shared" si="7"/>
        <v>84</v>
      </c>
    </row>
    <row r="12" spans="1:13">
      <c r="A12" s="40">
        <v>8</v>
      </c>
      <c r="B12" s="41">
        <f t="shared" si="1"/>
        <v>8</v>
      </c>
      <c r="C12" s="41">
        <f t="shared" ref="C12:M12" si="8">C$4*$A12</f>
        <v>16</v>
      </c>
      <c r="D12" s="41">
        <f t="shared" si="8"/>
        <v>24</v>
      </c>
      <c r="E12" s="41">
        <f t="shared" si="8"/>
        <v>32</v>
      </c>
      <c r="F12" s="41">
        <f t="shared" si="8"/>
        <v>40</v>
      </c>
      <c r="G12" s="41">
        <f t="shared" si="8"/>
        <v>48</v>
      </c>
      <c r="H12" s="41">
        <f t="shared" si="8"/>
        <v>56</v>
      </c>
      <c r="I12" s="41">
        <f t="shared" si="8"/>
        <v>64</v>
      </c>
      <c r="J12" s="41">
        <f t="shared" si="8"/>
        <v>72</v>
      </c>
      <c r="K12" s="41">
        <f t="shared" si="8"/>
        <v>80</v>
      </c>
      <c r="L12" s="41">
        <f t="shared" si="8"/>
        <v>88</v>
      </c>
      <c r="M12" s="41">
        <f t="shared" si="8"/>
        <v>96</v>
      </c>
    </row>
    <row r="13" spans="1:13">
      <c r="A13" s="40">
        <v>9</v>
      </c>
      <c r="B13" s="41">
        <f t="shared" si="1"/>
        <v>9</v>
      </c>
      <c r="C13" s="41">
        <f t="shared" ref="C13:M13" si="9">C$4*$A13</f>
        <v>18</v>
      </c>
      <c r="D13" s="41">
        <f t="shared" si="9"/>
        <v>27</v>
      </c>
      <c r="E13" s="41">
        <f t="shared" si="9"/>
        <v>36</v>
      </c>
      <c r="F13" s="41">
        <f t="shared" si="9"/>
        <v>45</v>
      </c>
      <c r="G13" s="41">
        <f t="shared" si="9"/>
        <v>54</v>
      </c>
      <c r="H13" s="41">
        <f t="shared" si="9"/>
        <v>63</v>
      </c>
      <c r="I13" s="41">
        <f t="shared" si="9"/>
        <v>72</v>
      </c>
      <c r="J13" s="41">
        <f t="shared" si="9"/>
        <v>81</v>
      </c>
      <c r="K13" s="41">
        <f t="shared" si="9"/>
        <v>90</v>
      </c>
      <c r="L13" s="41">
        <f t="shared" si="9"/>
        <v>99</v>
      </c>
      <c r="M13" s="41">
        <f t="shared" si="9"/>
        <v>108</v>
      </c>
    </row>
    <row r="14" spans="1:13">
      <c r="A14" s="40">
        <v>10</v>
      </c>
      <c r="B14" s="41">
        <f t="shared" si="1"/>
        <v>10</v>
      </c>
      <c r="C14" s="41">
        <f t="shared" ref="C14:M14" si="10">C$4*$A14</f>
        <v>20</v>
      </c>
      <c r="D14" s="41">
        <f t="shared" si="10"/>
        <v>30</v>
      </c>
      <c r="E14" s="41">
        <f t="shared" si="10"/>
        <v>40</v>
      </c>
      <c r="F14" s="41">
        <f t="shared" si="10"/>
        <v>50</v>
      </c>
      <c r="G14" s="41">
        <f t="shared" si="10"/>
        <v>60</v>
      </c>
      <c r="H14" s="41">
        <f t="shared" si="10"/>
        <v>70</v>
      </c>
      <c r="I14" s="41">
        <f t="shared" si="10"/>
        <v>80</v>
      </c>
      <c r="J14" s="41">
        <f t="shared" si="10"/>
        <v>90</v>
      </c>
      <c r="K14" s="41">
        <f t="shared" si="10"/>
        <v>100</v>
      </c>
      <c r="L14" s="41">
        <f t="shared" si="10"/>
        <v>110</v>
      </c>
      <c r="M14" s="41">
        <f t="shared" si="10"/>
        <v>120</v>
      </c>
    </row>
    <row r="15" spans="1:13">
      <c r="A15" s="40">
        <v>11</v>
      </c>
      <c r="B15" s="41">
        <f t="shared" si="1"/>
        <v>11</v>
      </c>
      <c r="C15" s="41">
        <f t="shared" ref="C15:M15" si="11">C$4*$A15</f>
        <v>22</v>
      </c>
      <c r="D15" s="41">
        <f t="shared" si="11"/>
        <v>33</v>
      </c>
      <c r="E15" s="41">
        <f t="shared" si="11"/>
        <v>44</v>
      </c>
      <c r="F15" s="41">
        <f t="shared" si="11"/>
        <v>55</v>
      </c>
      <c r="G15" s="41">
        <f t="shared" si="11"/>
        <v>66</v>
      </c>
      <c r="H15" s="41">
        <f t="shared" si="11"/>
        <v>77</v>
      </c>
      <c r="I15" s="41">
        <f t="shared" si="11"/>
        <v>88</v>
      </c>
      <c r="J15" s="41">
        <f t="shared" si="11"/>
        <v>99</v>
      </c>
      <c r="K15" s="41">
        <f t="shared" si="11"/>
        <v>110</v>
      </c>
      <c r="L15" s="41">
        <f t="shared" si="11"/>
        <v>121</v>
      </c>
      <c r="M15" s="41">
        <f t="shared" si="11"/>
        <v>132</v>
      </c>
    </row>
    <row r="16" spans="1:13">
      <c r="A16" s="40">
        <v>12</v>
      </c>
      <c r="B16" s="41">
        <f t="shared" si="1"/>
        <v>12</v>
      </c>
      <c r="C16" s="41">
        <f t="shared" ref="C16:M16" si="12">C$4*$A16</f>
        <v>24</v>
      </c>
      <c r="D16" s="41">
        <f t="shared" si="12"/>
        <v>36</v>
      </c>
      <c r="E16" s="41">
        <f t="shared" si="12"/>
        <v>48</v>
      </c>
      <c r="F16" s="41">
        <f t="shared" si="12"/>
        <v>60</v>
      </c>
      <c r="G16" s="41">
        <f t="shared" si="12"/>
        <v>72</v>
      </c>
      <c r="H16" s="41">
        <f t="shared" si="12"/>
        <v>84</v>
      </c>
      <c r="I16" s="41">
        <f t="shared" si="12"/>
        <v>96</v>
      </c>
      <c r="J16" s="41">
        <f t="shared" si="12"/>
        <v>108</v>
      </c>
      <c r="K16" s="41">
        <f t="shared" si="12"/>
        <v>120</v>
      </c>
      <c r="L16" s="41">
        <f t="shared" si="12"/>
        <v>132</v>
      </c>
      <c r="M16" s="41">
        <f t="shared" si="12"/>
        <v>144</v>
      </c>
    </row>
  </sheetData>
  <pageMargins left="0.7" right="0.7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M16"/>
  <sheetViews>
    <sheetView workbookViewId="0">
      <selection activeCell="A1" sqref="A1"/>
    </sheetView>
  </sheetViews>
  <sheetFormatPr defaultColWidth="9" defaultRowHeight="15"/>
  <sheetData>
    <row r="1" spans="1:7">
      <c r="A1" s="36" t="s">
        <v>90</v>
      </c>
      <c r="B1" s="37"/>
      <c r="C1" s="37"/>
      <c r="D1" s="37"/>
      <c r="E1" s="37"/>
      <c r="F1" s="37"/>
      <c r="G1" s="38"/>
    </row>
    <row r="3" ht="26.25" spans="1:13">
      <c r="A3" s="39" t="s">
        <v>91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</row>
    <row r="4" spans="1:13">
      <c r="A4" s="40"/>
      <c r="B4" s="40">
        <v>1</v>
      </c>
      <c r="C4" s="40">
        <v>2</v>
      </c>
      <c r="D4" s="40">
        <v>3</v>
      </c>
      <c r="E4" s="40">
        <v>4</v>
      </c>
      <c r="F4" s="40">
        <v>5</v>
      </c>
      <c r="G4" s="40">
        <v>6</v>
      </c>
      <c r="H4" s="40">
        <v>7</v>
      </c>
      <c r="I4" s="40">
        <v>8</v>
      </c>
      <c r="J4" s="40">
        <v>9</v>
      </c>
      <c r="K4" s="40">
        <v>10</v>
      </c>
      <c r="L4" s="40">
        <v>11</v>
      </c>
      <c r="M4" s="40">
        <v>12</v>
      </c>
    </row>
    <row r="5" spans="1:13">
      <c r="A5" s="40">
        <v>1</v>
      </c>
      <c r="B5" s="41">
        <f t="shared" ref="B5:M16" si="0">B$4*$A5</f>
        <v>1</v>
      </c>
      <c r="C5" s="41">
        <f t="shared" si="0"/>
        <v>2</v>
      </c>
      <c r="D5" s="41">
        <f t="shared" si="0"/>
        <v>3</v>
      </c>
      <c r="E5" s="41">
        <f t="shared" si="0"/>
        <v>4</v>
      </c>
      <c r="F5" s="41">
        <f t="shared" si="0"/>
        <v>5</v>
      </c>
      <c r="G5" s="41">
        <f t="shared" si="0"/>
        <v>6</v>
      </c>
      <c r="H5" s="41">
        <f t="shared" si="0"/>
        <v>7</v>
      </c>
      <c r="I5" s="41">
        <f t="shared" si="0"/>
        <v>8</v>
      </c>
      <c r="J5" s="41">
        <f t="shared" si="0"/>
        <v>9</v>
      </c>
      <c r="K5" s="41">
        <f t="shared" si="0"/>
        <v>10</v>
      </c>
      <c r="L5" s="41">
        <f t="shared" si="0"/>
        <v>11</v>
      </c>
      <c r="M5" s="41">
        <f t="shared" si="0"/>
        <v>12</v>
      </c>
    </row>
    <row r="6" spans="1:13">
      <c r="A6" s="40">
        <v>2</v>
      </c>
      <c r="B6" s="41">
        <f t="shared" si="0"/>
        <v>2</v>
      </c>
      <c r="C6" s="41">
        <f t="shared" si="0"/>
        <v>4</v>
      </c>
      <c r="D6" s="41">
        <f t="shared" si="0"/>
        <v>6</v>
      </c>
      <c r="E6" s="41">
        <f t="shared" si="0"/>
        <v>8</v>
      </c>
      <c r="F6" s="41">
        <f t="shared" si="0"/>
        <v>10</v>
      </c>
      <c r="G6" s="41">
        <f t="shared" si="0"/>
        <v>12</v>
      </c>
      <c r="H6" s="41">
        <f t="shared" si="0"/>
        <v>14</v>
      </c>
      <c r="I6" s="41">
        <f t="shared" si="0"/>
        <v>16</v>
      </c>
      <c r="J6" s="41">
        <f t="shared" si="0"/>
        <v>18</v>
      </c>
      <c r="K6" s="41">
        <f t="shared" si="0"/>
        <v>20</v>
      </c>
      <c r="L6" s="41">
        <f t="shared" si="0"/>
        <v>22</v>
      </c>
      <c r="M6" s="41">
        <f t="shared" si="0"/>
        <v>24</v>
      </c>
    </row>
    <row r="7" spans="1:13">
      <c r="A7" s="40">
        <v>3</v>
      </c>
      <c r="B7" s="41">
        <f t="shared" si="0"/>
        <v>3</v>
      </c>
      <c r="C7" s="41">
        <f t="shared" si="0"/>
        <v>6</v>
      </c>
      <c r="D7" s="41">
        <f t="shared" si="0"/>
        <v>9</v>
      </c>
      <c r="E7" s="41">
        <f t="shared" si="0"/>
        <v>12</v>
      </c>
      <c r="F7" s="41">
        <f t="shared" si="0"/>
        <v>15</v>
      </c>
      <c r="G7" s="41">
        <f t="shared" si="0"/>
        <v>18</v>
      </c>
      <c r="H7" s="41">
        <f t="shared" si="0"/>
        <v>21</v>
      </c>
      <c r="I7" s="41">
        <f t="shared" si="0"/>
        <v>24</v>
      </c>
      <c r="J7" s="41">
        <f t="shared" si="0"/>
        <v>27</v>
      </c>
      <c r="K7" s="41">
        <f t="shared" si="0"/>
        <v>30</v>
      </c>
      <c r="L7" s="41">
        <f t="shared" si="0"/>
        <v>33</v>
      </c>
      <c r="M7" s="41">
        <f t="shared" si="0"/>
        <v>36</v>
      </c>
    </row>
    <row r="8" spans="1:13">
      <c r="A8" s="40">
        <v>4</v>
      </c>
      <c r="B8" s="41">
        <f t="shared" si="0"/>
        <v>4</v>
      </c>
      <c r="C8" s="41">
        <f t="shared" si="0"/>
        <v>8</v>
      </c>
      <c r="D8" s="41">
        <f t="shared" si="0"/>
        <v>12</v>
      </c>
      <c r="E8" s="41">
        <f t="shared" si="0"/>
        <v>16</v>
      </c>
      <c r="F8" s="41">
        <f t="shared" si="0"/>
        <v>20</v>
      </c>
      <c r="G8" s="41">
        <f t="shared" si="0"/>
        <v>24</v>
      </c>
      <c r="H8" s="41">
        <f t="shared" si="0"/>
        <v>28</v>
      </c>
      <c r="I8" s="41">
        <f t="shared" si="0"/>
        <v>32</v>
      </c>
      <c r="J8" s="41">
        <f t="shared" si="0"/>
        <v>36</v>
      </c>
      <c r="K8" s="41">
        <f t="shared" si="0"/>
        <v>40</v>
      </c>
      <c r="L8" s="41">
        <f t="shared" si="0"/>
        <v>44</v>
      </c>
      <c r="M8" s="41">
        <f t="shared" si="0"/>
        <v>48</v>
      </c>
    </row>
    <row r="9" spans="1:13">
      <c r="A9" s="40">
        <v>5</v>
      </c>
      <c r="B9" s="41">
        <f t="shared" si="0"/>
        <v>5</v>
      </c>
      <c r="C9" s="41">
        <f t="shared" si="0"/>
        <v>10</v>
      </c>
      <c r="D9" s="41">
        <f t="shared" si="0"/>
        <v>15</v>
      </c>
      <c r="E9" s="41">
        <f t="shared" si="0"/>
        <v>20</v>
      </c>
      <c r="F9" s="41">
        <f t="shared" si="0"/>
        <v>25</v>
      </c>
      <c r="G9" s="41">
        <f t="shared" si="0"/>
        <v>30</v>
      </c>
      <c r="H9" s="41">
        <f t="shared" si="0"/>
        <v>35</v>
      </c>
      <c r="I9" s="41">
        <f t="shared" si="0"/>
        <v>40</v>
      </c>
      <c r="J9" s="41">
        <f t="shared" si="0"/>
        <v>45</v>
      </c>
      <c r="K9" s="41">
        <f t="shared" si="0"/>
        <v>50</v>
      </c>
      <c r="L9" s="41">
        <f t="shared" si="0"/>
        <v>55</v>
      </c>
      <c r="M9" s="41">
        <f t="shared" si="0"/>
        <v>60</v>
      </c>
    </row>
    <row r="10" spans="1:13">
      <c r="A10" s="40">
        <v>6</v>
      </c>
      <c r="B10" s="41">
        <f t="shared" si="0"/>
        <v>6</v>
      </c>
      <c r="C10" s="41">
        <f t="shared" si="0"/>
        <v>12</v>
      </c>
      <c r="D10" s="41">
        <f t="shared" si="0"/>
        <v>18</v>
      </c>
      <c r="E10" s="41">
        <f t="shared" si="0"/>
        <v>24</v>
      </c>
      <c r="F10" s="41">
        <f t="shared" si="0"/>
        <v>30</v>
      </c>
      <c r="G10" s="41">
        <f t="shared" si="0"/>
        <v>36</v>
      </c>
      <c r="H10" s="41">
        <f t="shared" si="0"/>
        <v>42</v>
      </c>
      <c r="I10" s="41">
        <f t="shared" si="0"/>
        <v>48</v>
      </c>
      <c r="J10" s="41">
        <f t="shared" si="0"/>
        <v>54</v>
      </c>
      <c r="K10" s="41">
        <f t="shared" si="0"/>
        <v>60</v>
      </c>
      <c r="L10" s="41">
        <f t="shared" si="0"/>
        <v>66</v>
      </c>
      <c r="M10" s="41">
        <f t="shared" si="0"/>
        <v>72</v>
      </c>
    </row>
    <row r="11" spans="1:13">
      <c r="A11" s="40">
        <v>7</v>
      </c>
      <c r="B11" s="41">
        <f t="shared" si="0"/>
        <v>7</v>
      </c>
      <c r="C11" s="41">
        <f t="shared" si="0"/>
        <v>14</v>
      </c>
      <c r="D11" s="41">
        <f t="shared" si="0"/>
        <v>21</v>
      </c>
      <c r="E11" s="41">
        <f t="shared" si="0"/>
        <v>28</v>
      </c>
      <c r="F11" s="41">
        <f t="shared" si="0"/>
        <v>35</v>
      </c>
      <c r="G11" s="41">
        <f t="shared" si="0"/>
        <v>42</v>
      </c>
      <c r="H11" s="41">
        <f t="shared" si="0"/>
        <v>49</v>
      </c>
      <c r="I11" s="41">
        <f t="shared" si="0"/>
        <v>56</v>
      </c>
      <c r="J11" s="41">
        <f t="shared" si="0"/>
        <v>63</v>
      </c>
      <c r="K11" s="41">
        <f t="shared" si="0"/>
        <v>70</v>
      </c>
      <c r="L11" s="41">
        <f t="shared" si="0"/>
        <v>77</v>
      </c>
      <c r="M11" s="41">
        <f t="shared" si="0"/>
        <v>84</v>
      </c>
    </row>
    <row r="12" spans="1:13">
      <c r="A12" s="40">
        <v>8</v>
      </c>
      <c r="B12" s="41">
        <f t="shared" si="0"/>
        <v>8</v>
      </c>
      <c r="C12" s="41">
        <f t="shared" si="0"/>
        <v>16</v>
      </c>
      <c r="D12" s="41">
        <f t="shared" si="0"/>
        <v>24</v>
      </c>
      <c r="E12" s="41">
        <f t="shared" si="0"/>
        <v>32</v>
      </c>
      <c r="F12" s="41">
        <f t="shared" si="0"/>
        <v>40</v>
      </c>
      <c r="G12" s="41">
        <f t="shared" si="0"/>
        <v>48</v>
      </c>
      <c r="H12" s="41">
        <f t="shared" si="0"/>
        <v>56</v>
      </c>
      <c r="I12" s="41">
        <f t="shared" si="0"/>
        <v>64</v>
      </c>
      <c r="J12" s="41">
        <f t="shared" si="0"/>
        <v>72</v>
      </c>
      <c r="K12" s="41">
        <f t="shared" si="0"/>
        <v>80</v>
      </c>
      <c r="L12" s="41">
        <f t="shared" si="0"/>
        <v>88</v>
      </c>
      <c r="M12" s="41">
        <f t="shared" si="0"/>
        <v>96</v>
      </c>
    </row>
    <row r="13" spans="1:13">
      <c r="A13" s="40">
        <v>9</v>
      </c>
      <c r="B13" s="41">
        <f t="shared" si="0"/>
        <v>9</v>
      </c>
      <c r="C13" s="41">
        <f t="shared" si="0"/>
        <v>18</v>
      </c>
      <c r="D13" s="41">
        <f t="shared" si="0"/>
        <v>27</v>
      </c>
      <c r="E13" s="41">
        <f t="shared" si="0"/>
        <v>36</v>
      </c>
      <c r="F13" s="41">
        <f t="shared" si="0"/>
        <v>45</v>
      </c>
      <c r="G13" s="41">
        <f t="shared" si="0"/>
        <v>54</v>
      </c>
      <c r="H13" s="41">
        <f t="shared" si="0"/>
        <v>63</v>
      </c>
      <c r="I13" s="41">
        <f t="shared" si="0"/>
        <v>72</v>
      </c>
      <c r="J13" s="41">
        <f t="shared" si="0"/>
        <v>81</v>
      </c>
      <c r="K13" s="41">
        <f t="shared" si="0"/>
        <v>90</v>
      </c>
      <c r="L13" s="41">
        <f t="shared" si="0"/>
        <v>99</v>
      </c>
      <c r="M13" s="41">
        <f t="shared" si="0"/>
        <v>108</v>
      </c>
    </row>
    <row r="14" spans="1:13">
      <c r="A14" s="40">
        <v>10</v>
      </c>
      <c r="B14" s="41">
        <f t="shared" si="0"/>
        <v>10</v>
      </c>
      <c r="C14" s="41">
        <f t="shared" si="0"/>
        <v>20</v>
      </c>
      <c r="D14" s="41">
        <f t="shared" si="0"/>
        <v>30</v>
      </c>
      <c r="E14" s="41">
        <f t="shared" si="0"/>
        <v>40</v>
      </c>
      <c r="F14" s="41">
        <f t="shared" si="0"/>
        <v>50</v>
      </c>
      <c r="G14" s="41">
        <f t="shared" si="0"/>
        <v>60</v>
      </c>
      <c r="H14" s="41">
        <f t="shared" si="0"/>
        <v>70</v>
      </c>
      <c r="I14" s="41">
        <f t="shared" si="0"/>
        <v>80</v>
      </c>
      <c r="J14" s="41">
        <f t="shared" si="0"/>
        <v>90</v>
      </c>
      <c r="K14" s="41">
        <f t="shared" si="0"/>
        <v>100</v>
      </c>
      <c r="L14" s="41">
        <f t="shared" si="0"/>
        <v>110</v>
      </c>
      <c r="M14" s="41">
        <f t="shared" si="0"/>
        <v>120</v>
      </c>
    </row>
    <row r="15" spans="1:13">
      <c r="A15" s="40">
        <v>11</v>
      </c>
      <c r="B15" s="41">
        <f t="shared" si="0"/>
        <v>11</v>
      </c>
      <c r="C15" s="41">
        <f t="shared" si="0"/>
        <v>22</v>
      </c>
      <c r="D15" s="41">
        <f t="shared" si="0"/>
        <v>33</v>
      </c>
      <c r="E15" s="41">
        <f t="shared" si="0"/>
        <v>44</v>
      </c>
      <c r="F15" s="41">
        <f t="shared" si="0"/>
        <v>55</v>
      </c>
      <c r="G15" s="41">
        <f t="shared" si="0"/>
        <v>66</v>
      </c>
      <c r="H15" s="41">
        <f t="shared" si="0"/>
        <v>77</v>
      </c>
      <c r="I15" s="41">
        <f t="shared" si="0"/>
        <v>88</v>
      </c>
      <c r="J15" s="41">
        <f t="shared" si="0"/>
        <v>99</v>
      </c>
      <c r="K15" s="41">
        <f t="shared" si="0"/>
        <v>110</v>
      </c>
      <c r="L15" s="41">
        <f t="shared" si="0"/>
        <v>121</v>
      </c>
      <c r="M15" s="41">
        <f t="shared" si="0"/>
        <v>132</v>
      </c>
    </row>
    <row r="16" spans="1:13">
      <c r="A16" s="40">
        <v>12</v>
      </c>
      <c r="B16" s="41">
        <f t="shared" si="0"/>
        <v>12</v>
      </c>
      <c r="C16" s="41">
        <f t="shared" si="0"/>
        <v>24</v>
      </c>
      <c r="D16" s="41">
        <f t="shared" si="0"/>
        <v>36</v>
      </c>
      <c r="E16" s="41">
        <f t="shared" si="0"/>
        <v>48</v>
      </c>
      <c r="F16" s="41">
        <f t="shared" si="0"/>
        <v>60</v>
      </c>
      <c r="G16" s="41">
        <f t="shared" si="0"/>
        <v>72</v>
      </c>
      <c r="H16" s="41">
        <f t="shared" si="0"/>
        <v>84</v>
      </c>
      <c r="I16" s="41">
        <f t="shared" si="0"/>
        <v>96</v>
      </c>
      <c r="J16" s="41">
        <f t="shared" si="0"/>
        <v>108</v>
      </c>
      <c r="K16" s="41">
        <f t="shared" si="0"/>
        <v>120</v>
      </c>
      <c r="L16" s="41">
        <f t="shared" si="0"/>
        <v>132</v>
      </c>
      <c r="M16" s="41">
        <f t="shared" si="0"/>
        <v>144</v>
      </c>
    </row>
  </sheetData>
  <pageMargins left="0.7" right="0.7" top="0.75" bottom="0.75" header="0.3" footer="0.3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I19"/>
  <sheetViews>
    <sheetView workbookViewId="0">
      <selection activeCell="B12" sqref="B12:E12"/>
    </sheetView>
  </sheetViews>
  <sheetFormatPr defaultColWidth="9" defaultRowHeight="15"/>
  <cols>
    <col min="1" max="1" width="18" customWidth="1"/>
    <col min="2" max="5" width="14.8571428571429" customWidth="1"/>
  </cols>
  <sheetData>
    <row r="1" spans="1:9">
      <c r="A1" s="1" t="s">
        <v>92</v>
      </c>
      <c r="B1" s="2"/>
      <c r="C1" s="2"/>
      <c r="D1" s="2"/>
      <c r="E1" s="2"/>
      <c r="F1" s="2"/>
      <c r="G1" s="2"/>
      <c r="H1" s="2"/>
      <c r="I1" s="12"/>
    </row>
    <row r="4" spans="1:5">
      <c r="A4" s="25"/>
      <c r="B4" s="26" t="s">
        <v>10</v>
      </c>
      <c r="C4" s="26" t="s">
        <v>11</v>
      </c>
      <c r="D4" s="26" t="s">
        <v>12</v>
      </c>
      <c r="E4" s="26" t="s">
        <v>13</v>
      </c>
    </row>
    <row r="5" spans="1:5">
      <c r="A5" s="26" t="s">
        <v>16</v>
      </c>
      <c r="B5" s="27">
        <v>5000</v>
      </c>
      <c r="C5" s="27">
        <v>6000</v>
      </c>
      <c r="D5" s="27">
        <v>7500</v>
      </c>
      <c r="E5" s="27">
        <v>6900</v>
      </c>
    </row>
    <row r="6" spans="1:5">
      <c r="A6" s="28" t="str">
        <f>A15</f>
        <v>Expense 1</v>
      </c>
      <c r="B6" s="29">
        <f t="shared" ref="B6:E10" si="0">ROUND(B$5*$B15,2)</f>
        <v>1000</v>
      </c>
      <c r="C6" s="29">
        <f t="shared" si="0"/>
        <v>1200</v>
      </c>
      <c r="D6" s="29">
        <f t="shared" si="0"/>
        <v>1500</v>
      </c>
      <c r="E6" s="29">
        <f t="shared" si="0"/>
        <v>1380</v>
      </c>
    </row>
    <row r="7" spans="1:5">
      <c r="A7" s="28" t="str">
        <f>A16</f>
        <v>Expense 2</v>
      </c>
      <c r="B7" s="29">
        <f t="shared" si="0"/>
        <v>750</v>
      </c>
      <c r="C7" s="29">
        <f t="shared" si="0"/>
        <v>900</v>
      </c>
      <c r="D7" s="29">
        <f t="shared" si="0"/>
        <v>1125</v>
      </c>
      <c r="E7" s="29">
        <f t="shared" si="0"/>
        <v>1035</v>
      </c>
    </row>
    <row r="8" spans="1:5">
      <c r="A8" s="28" t="str">
        <f>A17</f>
        <v>Expense 3</v>
      </c>
      <c r="B8" s="29">
        <f t="shared" si="0"/>
        <v>700</v>
      </c>
      <c r="C8" s="29">
        <f t="shared" si="0"/>
        <v>840</v>
      </c>
      <c r="D8" s="29">
        <f t="shared" si="0"/>
        <v>1050</v>
      </c>
      <c r="E8" s="29">
        <f t="shared" si="0"/>
        <v>966</v>
      </c>
    </row>
    <row r="9" spans="1:5">
      <c r="A9" s="28" t="str">
        <f>A18</f>
        <v>Expense 4</v>
      </c>
      <c r="B9" s="29">
        <f t="shared" si="0"/>
        <v>250</v>
      </c>
      <c r="C9" s="29">
        <f t="shared" si="0"/>
        <v>300</v>
      </c>
      <c r="D9" s="29">
        <f t="shared" si="0"/>
        <v>375</v>
      </c>
      <c r="E9" s="29">
        <f t="shared" si="0"/>
        <v>345</v>
      </c>
    </row>
    <row r="10" spans="1:5">
      <c r="A10" s="28" t="str">
        <f>A19</f>
        <v>Expense 5</v>
      </c>
      <c r="B10" s="29">
        <f t="shared" si="0"/>
        <v>1650</v>
      </c>
      <c r="C10" s="29">
        <f t="shared" si="0"/>
        <v>1980</v>
      </c>
      <c r="D10" s="29">
        <f t="shared" si="0"/>
        <v>2475</v>
      </c>
      <c r="E10" s="29">
        <f t="shared" si="0"/>
        <v>2277</v>
      </c>
    </row>
    <row r="11" spans="1:5">
      <c r="A11" s="26" t="s">
        <v>45</v>
      </c>
      <c r="B11" s="30">
        <f>SUM(B6:B10)</f>
        <v>4350</v>
      </c>
      <c r="C11" s="30">
        <f>SUM(C6:C10)</f>
        <v>5220</v>
      </c>
      <c r="D11" s="30">
        <f>SUM(D6:D10)</f>
        <v>6525</v>
      </c>
      <c r="E11" s="30">
        <f>SUM(E6:E10)</f>
        <v>6003</v>
      </c>
    </row>
    <row r="12" spans="1:5">
      <c r="A12" s="26" t="s">
        <v>18</v>
      </c>
      <c r="B12" s="31">
        <f>B5-B11</f>
        <v>650</v>
      </c>
      <c r="C12" s="31">
        <f>C5-C11</f>
        <v>780</v>
      </c>
      <c r="D12" s="31">
        <f>D5-D11</f>
        <v>975</v>
      </c>
      <c r="E12" s="31">
        <f>E5-E11</f>
        <v>897</v>
      </c>
    </row>
    <row r="13" spans="1:5">
      <c r="A13" s="32"/>
      <c r="B13" s="32"/>
      <c r="C13" s="32"/>
      <c r="D13" s="32"/>
      <c r="E13" s="32"/>
    </row>
    <row r="14" spans="1:5">
      <c r="A14" s="33" t="s">
        <v>93</v>
      </c>
      <c r="B14" s="34"/>
      <c r="C14" s="32"/>
      <c r="D14" s="32"/>
      <c r="E14" s="32"/>
    </row>
    <row r="15" spans="1:5">
      <c r="A15" s="25" t="s">
        <v>94</v>
      </c>
      <c r="B15" s="35">
        <v>0.2</v>
      </c>
      <c r="C15" s="32"/>
      <c r="D15" s="32"/>
      <c r="E15" s="32"/>
    </row>
    <row r="16" spans="1:5">
      <c r="A16" s="25" t="s">
        <v>95</v>
      </c>
      <c r="B16" s="35">
        <v>0.15</v>
      </c>
      <c r="C16" s="32"/>
      <c r="D16" s="32"/>
      <c r="E16" s="32"/>
    </row>
    <row r="17" spans="1:5">
      <c r="A17" s="25" t="s">
        <v>96</v>
      </c>
      <c r="B17" s="35">
        <v>0.14</v>
      </c>
      <c r="C17" s="32"/>
      <c r="D17" s="32"/>
      <c r="E17" s="32"/>
    </row>
    <row r="18" spans="1:5">
      <c r="A18" s="25" t="s">
        <v>97</v>
      </c>
      <c r="B18" s="35">
        <v>0.05</v>
      </c>
      <c r="C18" s="32"/>
      <c r="D18" s="32"/>
      <c r="E18" s="32"/>
    </row>
    <row r="19" spans="1:5">
      <c r="A19" s="25" t="s">
        <v>98</v>
      </c>
      <c r="B19" s="35">
        <v>0.33</v>
      </c>
      <c r="C19" s="32"/>
      <c r="D19" s="32"/>
      <c r="E19" s="32"/>
    </row>
  </sheetData>
  <pageMargins left="0.7" right="0.7" top="0.75" bottom="0.75" header="0.3" footer="0.3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I19"/>
  <sheetViews>
    <sheetView workbookViewId="0">
      <selection activeCell="B12" sqref="B12"/>
    </sheetView>
  </sheetViews>
  <sheetFormatPr defaultColWidth="9" defaultRowHeight="15"/>
  <cols>
    <col min="1" max="1" width="18" customWidth="1"/>
    <col min="2" max="5" width="14.8571428571429" customWidth="1"/>
  </cols>
  <sheetData>
    <row r="1" spans="1:9">
      <c r="A1" s="1" t="s">
        <v>92</v>
      </c>
      <c r="B1" s="2"/>
      <c r="C1" s="2"/>
      <c r="D1" s="2"/>
      <c r="E1" s="2"/>
      <c r="F1" s="2"/>
      <c r="G1" s="2"/>
      <c r="H1" s="2"/>
      <c r="I1" s="12"/>
    </row>
    <row r="4" spans="1:5">
      <c r="A4" s="25"/>
      <c r="B4" s="26" t="s">
        <v>10</v>
      </c>
      <c r="C4" s="26" t="s">
        <v>11</v>
      </c>
      <c r="D4" s="26" t="s">
        <v>12</v>
      </c>
      <c r="E4" s="26" t="s">
        <v>13</v>
      </c>
    </row>
    <row r="5" spans="1:5">
      <c r="A5" s="26" t="s">
        <v>16</v>
      </c>
      <c r="B5" s="27">
        <v>5000</v>
      </c>
      <c r="C5" s="27">
        <v>6000</v>
      </c>
      <c r="D5" s="27">
        <v>7500</v>
      </c>
      <c r="E5" s="27">
        <v>6900</v>
      </c>
    </row>
    <row r="6" spans="1:5">
      <c r="A6" s="28" t="str">
        <f>A15</f>
        <v>Expense 1</v>
      </c>
      <c r="B6" s="29">
        <f t="shared" ref="B6:E10" si="0">ROUND(B$5*$B15,2)</f>
        <v>1000</v>
      </c>
      <c r="C6" s="29">
        <f t="shared" si="0"/>
        <v>1200</v>
      </c>
      <c r="D6" s="29">
        <f t="shared" si="0"/>
        <v>1500</v>
      </c>
      <c r="E6" s="29">
        <f t="shared" si="0"/>
        <v>1380</v>
      </c>
    </row>
    <row r="7" spans="1:5">
      <c r="A7" s="28" t="str">
        <f>A16</f>
        <v>Expense 2</v>
      </c>
      <c r="B7" s="29">
        <f t="shared" si="0"/>
        <v>750</v>
      </c>
      <c r="C7" s="29">
        <f t="shared" si="0"/>
        <v>900</v>
      </c>
      <c r="D7" s="29">
        <f t="shared" si="0"/>
        <v>1125</v>
      </c>
      <c r="E7" s="29">
        <f t="shared" si="0"/>
        <v>1035</v>
      </c>
    </row>
    <row r="8" spans="1:5">
      <c r="A8" s="28" t="str">
        <f>A17</f>
        <v>Expense 3</v>
      </c>
      <c r="B8" s="29">
        <f t="shared" si="0"/>
        <v>700</v>
      </c>
      <c r="C8" s="29">
        <f t="shared" si="0"/>
        <v>840</v>
      </c>
      <c r="D8" s="29">
        <f t="shared" si="0"/>
        <v>1050</v>
      </c>
      <c r="E8" s="29">
        <f t="shared" si="0"/>
        <v>966</v>
      </c>
    </row>
    <row r="9" spans="1:5">
      <c r="A9" s="28" t="str">
        <f>A18</f>
        <v>Expense 4</v>
      </c>
      <c r="B9" s="29">
        <f t="shared" si="0"/>
        <v>250</v>
      </c>
      <c r="C9" s="29">
        <f t="shared" si="0"/>
        <v>300</v>
      </c>
      <c r="D9" s="29">
        <f t="shared" si="0"/>
        <v>375</v>
      </c>
      <c r="E9" s="29">
        <f t="shared" si="0"/>
        <v>345</v>
      </c>
    </row>
    <row r="10" spans="1:5">
      <c r="A10" s="28" t="str">
        <f>A19</f>
        <v>Expense 5</v>
      </c>
      <c r="B10" s="29">
        <f t="shared" si="0"/>
        <v>1650</v>
      </c>
      <c r="C10" s="29">
        <f t="shared" si="0"/>
        <v>1980</v>
      </c>
      <c r="D10" s="29">
        <f t="shared" si="0"/>
        <v>2475</v>
      </c>
      <c r="E10" s="29">
        <f t="shared" si="0"/>
        <v>2277</v>
      </c>
    </row>
    <row r="11" spans="1:5">
      <c r="A11" s="26" t="s">
        <v>45</v>
      </c>
      <c r="B11" s="30">
        <f t="shared" ref="B11:E11" si="1">SUM(B6:B10)</f>
        <v>4350</v>
      </c>
      <c r="C11" s="30">
        <f t="shared" si="1"/>
        <v>5220</v>
      </c>
      <c r="D11" s="30">
        <f t="shared" si="1"/>
        <v>6525</v>
      </c>
      <c r="E11" s="30">
        <f t="shared" si="1"/>
        <v>6003</v>
      </c>
    </row>
    <row r="12" spans="1:5">
      <c r="A12" s="26" t="s">
        <v>18</v>
      </c>
      <c r="B12" s="31">
        <f t="shared" ref="B12:E12" si="2">B5-B11</f>
        <v>650</v>
      </c>
      <c r="C12" s="31">
        <f t="shared" si="2"/>
        <v>780</v>
      </c>
      <c r="D12" s="31">
        <f t="shared" si="2"/>
        <v>975</v>
      </c>
      <c r="E12" s="31">
        <f t="shared" si="2"/>
        <v>897</v>
      </c>
    </row>
    <row r="13" spans="1:5">
      <c r="A13" s="32"/>
      <c r="B13" s="32"/>
      <c r="C13" s="32"/>
      <c r="D13" s="32"/>
      <c r="E13" s="32"/>
    </row>
    <row r="14" spans="1:5">
      <c r="A14" s="33" t="s">
        <v>93</v>
      </c>
      <c r="B14" s="34"/>
      <c r="C14" s="32"/>
      <c r="D14" s="32"/>
      <c r="E14" s="32"/>
    </row>
    <row r="15" spans="1:5">
      <c r="A15" s="25" t="s">
        <v>94</v>
      </c>
      <c r="B15" s="35">
        <v>0.2</v>
      </c>
      <c r="C15" s="32"/>
      <c r="D15" s="32"/>
      <c r="E15" s="32"/>
    </row>
    <row r="16" spans="1:5">
      <c r="A16" s="25" t="s">
        <v>95</v>
      </c>
      <c r="B16" s="35">
        <v>0.15</v>
      </c>
      <c r="C16" s="32"/>
      <c r="D16" s="32"/>
      <c r="E16" s="32"/>
    </row>
    <row r="17" spans="1:5">
      <c r="A17" s="25" t="s">
        <v>96</v>
      </c>
      <c r="B17" s="35">
        <v>0.14</v>
      </c>
      <c r="C17" s="32"/>
      <c r="D17" s="32"/>
      <c r="E17" s="32"/>
    </row>
    <row r="18" spans="1:5">
      <c r="A18" s="25" t="s">
        <v>97</v>
      </c>
      <c r="B18" s="35">
        <v>0.05</v>
      </c>
      <c r="C18" s="32"/>
      <c r="D18" s="32"/>
      <c r="E18" s="32"/>
    </row>
    <row r="19" spans="1:5">
      <c r="A19" s="25" t="s">
        <v>98</v>
      </c>
      <c r="B19" s="35">
        <v>0.33</v>
      </c>
      <c r="C19" s="32"/>
      <c r="D19" s="32"/>
      <c r="E19" s="32"/>
    </row>
  </sheetData>
  <pageMargins left="0.7" right="0.7" top="0.75" bottom="0.75" header="0.3" footer="0.3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J22"/>
  <sheetViews>
    <sheetView workbookViewId="0">
      <selection activeCell="D4" sqref="D4:J12"/>
    </sheetView>
  </sheetViews>
  <sheetFormatPr defaultColWidth="10.2857142857143" defaultRowHeight="15"/>
  <cols>
    <col min="1" max="1" width="16.7142857142857" customWidth="1"/>
    <col min="2" max="2" width="13.8571428571429" customWidth="1"/>
    <col min="3" max="3" width="12.2857142857143" customWidth="1"/>
    <col min="4" max="4" width="13.8571428571429" customWidth="1"/>
    <col min="8" max="13" width="16.2857142857143" customWidth="1"/>
    <col min="14" max="15" width="12.2857142857143" customWidth="1"/>
    <col min="16" max="18" width="9" customWidth="1"/>
    <col min="19" max="19" width="12.4285714285714" customWidth="1"/>
    <col min="20" max="23" width="9" customWidth="1"/>
    <col min="24" max="24" width="10.7142857142857" customWidth="1"/>
    <col min="25" max="28" width="9" customWidth="1"/>
    <col min="29" max="29" width="12" customWidth="1"/>
    <col min="30" max="33" width="10.7142857142857" customWidth="1"/>
    <col min="34" max="34" width="14.2857142857143" customWidth="1"/>
    <col min="35" max="35" width="11.4285714285714" customWidth="1"/>
  </cols>
  <sheetData>
    <row r="1" spans="1:8">
      <c r="A1" s="1" t="s">
        <v>99</v>
      </c>
      <c r="B1" s="2"/>
      <c r="C1" s="2"/>
      <c r="D1" s="2"/>
      <c r="E1" s="2"/>
      <c r="F1" s="2"/>
      <c r="G1" s="2"/>
      <c r="H1" s="12"/>
    </row>
    <row r="3" spans="2:10">
      <c r="B3" s="20" t="s">
        <v>49</v>
      </c>
      <c r="C3" s="20" t="s">
        <v>100</v>
      </c>
      <c r="D3" s="20" t="str">
        <f t="shared" ref="D3:J3" si="0">D16</f>
        <v>Expense 1</v>
      </c>
      <c r="E3" s="20" t="str">
        <f t="shared" si="0"/>
        <v>Expense 2</v>
      </c>
      <c r="F3" s="20" t="str">
        <f t="shared" si="0"/>
        <v>Expense 3</v>
      </c>
      <c r="G3" s="20" t="str">
        <f t="shared" si="0"/>
        <v>Expense 4</v>
      </c>
      <c r="H3" s="20" t="str">
        <f t="shared" si="0"/>
        <v>Expense 5</v>
      </c>
      <c r="I3" s="20" t="str">
        <f t="shared" si="0"/>
        <v>Expense 6</v>
      </c>
      <c r="J3" s="20" t="str">
        <f t="shared" si="0"/>
        <v>Expense 7</v>
      </c>
    </row>
    <row r="4" spans="2:10">
      <c r="B4" s="3" t="s">
        <v>10</v>
      </c>
      <c r="C4" s="21">
        <v>5000</v>
      </c>
      <c r="D4" s="22">
        <f>ROUND($C4*D$17,2)</f>
        <v>500</v>
      </c>
      <c r="E4" s="22">
        <f t="shared" ref="E4:J4" si="1">ROUND($C4*E$17,2)</f>
        <v>250</v>
      </c>
      <c r="F4" s="22">
        <f t="shared" si="1"/>
        <v>600</v>
      </c>
      <c r="G4" s="22">
        <f t="shared" si="1"/>
        <v>225</v>
      </c>
      <c r="H4" s="22">
        <f t="shared" si="1"/>
        <v>1050</v>
      </c>
      <c r="I4" s="22">
        <f t="shared" si="1"/>
        <v>200</v>
      </c>
      <c r="J4" s="22">
        <f t="shared" si="1"/>
        <v>150</v>
      </c>
    </row>
    <row r="5" spans="2:10">
      <c r="B5" s="3" t="s">
        <v>11</v>
      </c>
      <c r="C5" s="21">
        <v>6000</v>
      </c>
      <c r="D5" s="22">
        <f t="shared" ref="D5:D12" si="2">ROUND($C5*D$17,2)</f>
        <v>600</v>
      </c>
      <c r="E5" s="22">
        <f t="shared" ref="E5:J5" si="3">ROUND($C5*E$17,2)</f>
        <v>300</v>
      </c>
      <c r="F5" s="22">
        <f t="shared" si="3"/>
        <v>720</v>
      </c>
      <c r="G5" s="22">
        <f t="shared" si="3"/>
        <v>270</v>
      </c>
      <c r="H5" s="22">
        <f t="shared" si="3"/>
        <v>1260</v>
      </c>
      <c r="I5" s="22">
        <f t="shared" si="3"/>
        <v>240</v>
      </c>
      <c r="J5" s="22">
        <f t="shared" si="3"/>
        <v>180</v>
      </c>
    </row>
    <row r="6" spans="2:10">
      <c r="B6" s="3" t="s">
        <v>12</v>
      </c>
      <c r="C6" s="21">
        <v>7500</v>
      </c>
      <c r="D6" s="22">
        <f t="shared" si="2"/>
        <v>750</v>
      </c>
      <c r="E6" s="22">
        <f t="shared" ref="E6:J6" si="4">ROUND($C6*E$17,2)</f>
        <v>375</v>
      </c>
      <c r="F6" s="22">
        <f t="shared" si="4"/>
        <v>900</v>
      </c>
      <c r="G6" s="22">
        <f t="shared" si="4"/>
        <v>337.5</v>
      </c>
      <c r="H6" s="22">
        <f t="shared" si="4"/>
        <v>1575</v>
      </c>
      <c r="I6" s="22">
        <f t="shared" si="4"/>
        <v>300</v>
      </c>
      <c r="J6" s="22">
        <f t="shared" si="4"/>
        <v>225</v>
      </c>
    </row>
    <row r="7" spans="2:10">
      <c r="B7" s="3" t="s">
        <v>13</v>
      </c>
      <c r="C7" s="21">
        <v>8000</v>
      </c>
      <c r="D7" s="22">
        <f t="shared" si="2"/>
        <v>800</v>
      </c>
      <c r="E7" s="22">
        <f t="shared" ref="E7:J7" si="5">ROUND($C7*E$17,2)</f>
        <v>400</v>
      </c>
      <c r="F7" s="22">
        <f t="shared" si="5"/>
        <v>960</v>
      </c>
      <c r="G7" s="22">
        <f t="shared" si="5"/>
        <v>360</v>
      </c>
      <c r="H7" s="22">
        <f t="shared" si="5"/>
        <v>1680</v>
      </c>
      <c r="I7" s="22">
        <f t="shared" si="5"/>
        <v>320</v>
      </c>
      <c r="J7" s="22">
        <f t="shared" si="5"/>
        <v>240</v>
      </c>
    </row>
    <row r="8" spans="2:10">
      <c r="B8" s="3" t="s">
        <v>14</v>
      </c>
      <c r="C8" s="21">
        <v>8000</v>
      </c>
      <c r="D8" s="22">
        <f t="shared" si="2"/>
        <v>800</v>
      </c>
      <c r="E8" s="22">
        <f t="shared" ref="E8:J8" si="6">ROUND($C8*E$17,2)</f>
        <v>400</v>
      </c>
      <c r="F8" s="22">
        <f t="shared" si="6"/>
        <v>960</v>
      </c>
      <c r="G8" s="22">
        <f t="shared" si="6"/>
        <v>360</v>
      </c>
      <c r="H8" s="22">
        <f t="shared" si="6"/>
        <v>1680</v>
      </c>
      <c r="I8" s="22">
        <f t="shared" si="6"/>
        <v>320</v>
      </c>
      <c r="J8" s="22">
        <f t="shared" si="6"/>
        <v>240</v>
      </c>
    </row>
    <row r="9" spans="2:10">
      <c r="B9" s="3" t="s">
        <v>24</v>
      </c>
      <c r="C9" s="21">
        <v>8000</v>
      </c>
      <c r="D9" s="22">
        <f t="shared" si="2"/>
        <v>800</v>
      </c>
      <c r="E9" s="22">
        <f t="shared" ref="E9:J9" si="7">ROUND($C9*E$17,2)</f>
        <v>400</v>
      </c>
      <c r="F9" s="22">
        <f t="shared" si="7"/>
        <v>960</v>
      </c>
      <c r="G9" s="22">
        <f t="shared" si="7"/>
        <v>360</v>
      </c>
      <c r="H9" s="22">
        <f t="shared" si="7"/>
        <v>1680</v>
      </c>
      <c r="I9" s="22">
        <f t="shared" si="7"/>
        <v>320</v>
      </c>
      <c r="J9" s="22">
        <f t="shared" si="7"/>
        <v>240</v>
      </c>
    </row>
    <row r="10" spans="2:10">
      <c r="B10" s="3" t="s">
        <v>25</v>
      </c>
      <c r="C10" s="21">
        <v>10000</v>
      </c>
      <c r="D10" s="22">
        <f t="shared" si="2"/>
        <v>1000</v>
      </c>
      <c r="E10" s="22">
        <f t="shared" ref="E10:J10" si="8">ROUND($C10*E$17,2)</f>
        <v>500</v>
      </c>
      <c r="F10" s="22">
        <f t="shared" si="8"/>
        <v>1200</v>
      </c>
      <c r="G10" s="22">
        <f t="shared" si="8"/>
        <v>450</v>
      </c>
      <c r="H10" s="22">
        <f t="shared" si="8"/>
        <v>2100</v>
      </c>
      <c r="I10" s="22">
        <f t="shared" si="8"/>
        <v>400</v>
      </c>
      <c r="J10" s="22">
        <f t="shared" si="8"/>
        <v>300</v>
      </c>
    </row>
    <row r="11" spans="2:10">
      <c r="B11" s="3" t="s">
        <v>26</v>
      </c>
      <c r="C11" s="21">
        <v>11000</v>
      </c>
      <c r="D11" s="22">
        <f t="shared" si="2"/>
        <v>1100</v>
      </c>
      <c r="E11" s="22">
        <f t="shared" ref="E11:J11" si="9">ROUND($C11*E$17,2)</f>
        <v>550</v>
      </c>
      <c r="F11" s="22">
        <f t="shared" si="9"/>
        <v>1320</v>
      </c>
      <c r="G11" s="22">
        <f t="shared" si="9"/>
        <v>495</v>
      </c>
      <c r="H11" s="22">
        <f t="shared" si="9"/>
        <v>2310</v>
      </c>
      <c r="I11" s="22">
        <f t="shared" si="9"/>
        <v>440</v>
      </c>
      <c r="J11" s="22">
        <f t="shared" si="9"/>
        <v>330</v>
      </c>
    </row>
    <row r="12" spans="2:10">
      <c r="B12" s="3" t="s">
        <v>27</v>
      </c>
      <c r="C12" s="21">
        <v>15000</v>
      </c>
      <c r="D12" s="22">
        <f t="shared" si="2"/>
        <v>1500</v>
      </c>
      <c r="E12" s="22">
        <f t="shared" ref="E12:J12" si="10">ROUND($C12*E$17,2)</f>
        <v>750</v>
      </c>
      <c r="F12" s="22">
        <f t="shared" si="10"/>
        <v>1800</v>
      </c>
      <c r="G12" s="22">
        <f t="shared" si="10"/>
        <v>675</v>
      </c>
      <c r="H12" s="22">
        <f t="shared" si="10"/>
        <v>3150</v>
      </c>
      <c r="I12" s="22">
        <f t="shared" si="10"/>
        <v>600</v>
      </c>
      <c r="J12" s="22">
        <f t="shared" si="10"/>
        <v>450</v>
      </c>
    </row>
    <row r="15" spans="1:10">
      <c r="A15" s="23" t="s">
        <v>19</v>
      </c>
      <c r="B15" s="23"/>
      <c r="D15" s="23" t="s">
        <v>19</v>
      </c>
      <c r="E15" s="23"/>
      <c r="F15" s="23"/>
      <c r="G15" s="23"/>
      <c r="H15" s="23"/>
      <c r="I15" s="23"/>
      <c r="J15" s="23"/>
    </row>
    <row r="16" spans="1:10">
      <c r="A16" s="20" t="s">
        <v>94</v>
      </c>
      <c r="B16" s="24">
        <v>0.1</v>
      </c>
      <c r="D16" s="20" t="s">
        <v>94</v>
      </c>
      <c r="E16" s="20" t="s">
        <v>95</v>
      </c>
      <c r="F16" s="20" t="s">
        <v>96</v>
      </c>
      <c r="G16" s="20" t="s">
        <v>97</v>
      </c>
      <c r="H16" s="20" t="s">
        <v>98</v>
      </c>
      <c r="I16" s="20" t="s">
        <v>101</v>
      </c>
      <c r="J16" s="20" t="s">
        <v>102</v>
      </c>
    </row>
    <row r="17" spans="1:10">
      <c r="A17" s="20" t="s">
        <v>95</v>
      </c>
      <c r="B17" s="24">
        <v>0.05</v>
      </c>
      <c r="D17" s="24">
        <v>0.1</v>
      </c>
      <c r="E17" s="24">
        <v>0.05</v>
      </c>
      <c r="F17" s="24">
        <v>0.12</v>
      </c>
      <c r="G17" s="24">
        <v>0.045</v>
      </c>
      <c r="H17" s="24">
        <v>0.21</v>
      </c>
      <c r="I17" s="24">
        <v>0.04</v>
      </c>
      <c r="J17" s="24">
        <v>0.03</v>
      </c>
    </row>
    <row r="18" spans="1:2">
      <c r="A18" s="20" t="s">
        <v>96</v>
      </c>
      <c r="B18" s="24">
        <v>0.12</v>
      </c>
    </row>
    <row r="19" spans="1:2">
      <c r="A19" s="20" t="s">
        <v>97</v>
      </c>
      <c r="B19" s="24">
        <v>0.045</v>
      </c>
    </row>
    <row r="20" spans="1:2">
      <c r="A20" s="20" t="s">
        <v>98</v>
      </c>
      <c r="B20" s="24">
        <v>0.21</v>
      </c>
    </row>
    <row r="21" spans="1:2">
      <c r="A21" s="20" t="s">
        <v>101</v>
      </c>
      <c r="B21" s="24">
        <v>0.04</v>
      </c>
    </row>
    <row r="22" spans="1:2">
      <c r="A22" s="20" t="s">
        <v>102</v>
      </c>
      <c r="B22" s="24">
        <v>0.03</v>
      </c>
    </row>
  </sheetData>
  <pageMargins left="0.7" right="0.7" top="0.75" bottom="0.75" header="0.3" footer="0.3"/>
  <pageSetup paperSize="1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J22"/>
  <sheetViews>
    <sheetView workbookViewId="0">
      <selection activeCell="D4" sqref="D4"/>
    </sheetView>
  </sheetViews>
  <sheetFormatPr defaultColWidth="10.2857142857143" defaultRowHeight="15"/>
  <cols>
    <col min="1" max="1" width="16.7142857142857" customWidth="1"/>
    <col min="2" max="2" width="13.8571428571429" customWidth="1"/>
    <col min="3" max="3" width="12.2857142857143" customWidth="1"/>
    <col min="4" max="4" width="13.8571428571429" customWidth="1"/>
    <col min="8" max="13" width="16.2857142857143" customWidth="1"/>
    <col min="14" max="15" width="12.2857142857143" customWidth="1"/>
    <col min="16" max="18" width="9" customWidth="1"/>
    <col min="19" max="19" width="12.4285714285714" customWidth="1"/>
    <col min="20" max="23" width="9" customWidth="1"/>
    <col min="24" max="24" width="10.7142857142857" customWidth="1"/>
    <col min="25" max="28" width="9" customWidth="1"/>
    <col min="29" max="29" width="12" customWidth="1"/>
    <col min="30" max="33" width="10.7142857142857" customWidth="1"/>
    <col min="34" max="34" width="14.2857142857143" customWidth="1"/>
    <col min="35" max="35" width="11.4285714285714" customWidth="1"/>
  </cols>
  <sheetData>
    <row r="1" spans="1:8">
      <c r="A1" s="1" t="s">
        <v>99</v>
      </c>
      <c r="B1" s="2"/>
      <c r="C1" s="2"/>
      <c r="D1" s="2"/>
      <c r="E1" s="2"/>
      <c r="F1" s="2"/>
      <c r="G1" s="2"/>
      <c r="H1" s="12"/>
    </row>
    <row r="3" spans="2:10">
      <c r="B3" s="20" t="s">
        <v>49</v>
      </c>
      <c r="C3" s="20" t="s">
        <v>100</v>
      </c>
      <c r="D3" s="20" t="str">
        <f t="shared" ref="D3:J3" si="0">D16</f>
        <v>Expense 1</v>
      </c>
      <c r="E3" s="20" t="str">
        <f t="shared" si="0"/>
        <v>Expense 2</v>
      </c>
      <c r="F3" s="20" t="str">
        <f t="shared" si="0"/>
        <v>Expense 3</v>
      </c>
      <c r="G3" s="20" t="str">
        <f t="shared" si="0"/>
        <v>Expense 4</v>
      </c>
      <c r="H3" s="20" t="str">
        <f t="shared" si="0"/>
        <v>Expense 5</v>
      </c>
      <c r="I3" s="20" t="str">
        <f t="shared" si="0"/>
        <v>Expense 6</v>
      </c>
      <c r="J3" s="20" t="str">
        <f t="shared" si="0"/>
        <v>Expense 7</v>
      </c>
    </row>
    <row r="4" spans="2:10">
      <c r="B4" s="3" t="s">
        <v>10</v>
      </c>
      <c r="C4" s="21">
        <v>5000</v>
      </c>
      <c r="D4" s="22">
        <f t="shared" ref="D4:J12" si="1">ROUND($C4*D$17,2)</f>
        <v>500</v>
      </c>
      <c r="E4" s="22">
        <f t="shared" si="1"/>
        <v>250</v>
      </c>
      <c r="F4" s="22">
        <f t="shared" si="1"/>
        <v>600</v>
      </c>
      <c r="G4" s="22">
        <f t="shared" si="1"/>
        <v>225</v>
      </c>
      <c r="H4" s="22">
        <f t="shared" si="1"/>
        <v>1050</v>
      </c>
      <c r="I4" s="22">
        <f t="shared" si="1"/>
        <v>200</v>
      </c>
      <c r="J4" s="22">
        <f t="shared" si="1"/>
        <v>150</v>
      </c>
    </row>
    <row r="5" spans="2:10">
      <c r="B5" s="3" t="s">
        <v>11</v>
      </c>
      <c r="C5" s="21">
        <v>6000</v>
      </c>
      <c r="D5" s="22">
        <f t="shared" si="1"/>
        <v>600</v>
      </c>
      <c r="E5" s="22">
        <f t="shared" si="1"/>
        <v>300</v>
      </c>
      <c r="F5" s="22">
        <f t="shared" si="1"/>
        <v>720</v>
      </c>
      <c r="G5" s="22">
        <f t="shared" si="1"/>
        <v>270</v>
      </c>
      <c r="H5" s="22">
        <f t="shared" si="1"/>
        <v>1260</v>
      </c>
      <c r="I5" s="22">
        <f t="shared" si="1"/>
        <v>240</v>
      </c>
      <c r="J5" s="22">
        <f t="shared" si="1"/>
        <v>180</v>
      </c>
    </row>
    <row r="6" spans="2:10">
      <c r="B6" s="3" t="s">
        <v>12</v>
      </c>
      <c r="C6" s="21">
        <v>7500</v>
      </c>
      <c r="D6" s="22">
        <f t="shared" si="1"/>
        <v>750</v>
      </c>
      <c r="E6" s="22">
        <f t="shared" si="1"/>
        <v>375</v>
      </c>
      <c r="F6" s="22">
        <f t="shared" si="1"/>
        <v>900</v>
      </c>
      <c r="G6" s="22">
        <f t="shared" si="1"/>
        <v>337.5</v>
      </c>
      <c r="H6" s="22">
        <f t="shared" si="1"/>
        <v>1575</v>
      </c>
      <c r="I6" s="22">
        <f t="shared" si="1"/>
        <v>300</v>
      </c>
      <c r="J6" s="22">
        <f t="shared" si="1"/>
        <v>225</v>
      </c>
    </row>
    <row r="7" spans="2:10">
      <c r="B7" s="3" t="s">
        <v>13</v>
      </c>
      <c r="C7" s="21">
        <v>8000</v>
      </c>
      <c r="D7" s="22">
        <f t="shared" si="1"/>
        <v>800</v>
      </c>
      <c r="E7" s="22">
        <f t="shared" si="1"/>
        <v>400</v>
      </c>
      <c r="F7" s="22">
        <f t="shared" si="1"/>
        <v>960</v>
      </c>
      <c r="G7" s="22">
        <f t="shared" si="1"/>
        <v>360</v>
      </c>
      <c r="H7" s="22">
        <f t="shared" si="1"/>
        <v>1680</v>
      </c>
      <c r="I7" s="22">
        <f t="shared" si="1"/>
        <v>320</v>
      </c>
      <c r="J7" s="22">
        <f t="shared" si="1"/>
        <v>240</v>
      </c>
    </row>
    <row r="8" spans="2:10">
      <c r="B8" s="3" t="s">
        <v>14</v>
      </c>
      <c r="C8" s="21">
        <v>8000</v>
      </c>
      <c r="D8" s="22">
        <f t="shared" si="1"/>
        <v>800</v>
      </c>
      <c r="E8" s="22">
        <f t="shared" si="1"/>
        <v>400</v>
      </c>
      <c r="F8" s="22">
        <f t="shared" si="1"/>
        <v>960</v>
      </c>
      <c r="G8" s="22">
        <f t="shared" si="1"/>
        <v>360</v>
      </c>
      <c r="H8" s="22">
        <f t="shared" si="1"/>
        <v>1680</v>
      </c>
      <c r="I8" s="22">
        <f t="shared" si="1"/>
        <v>320</v>
      </c>
      <c r="J8" s="22">
        <f t="shared" si="1"/>
        <v>240</v>
      </c>
    </row>
    <row r="9" spans="2:10">
      <c r="B9" s="3" t="s">
        <v>24</v>
      </c>
      <c r="C9" s="21">
        <v>8000</v>
      </c>
      <c r="D9" s="22">
        <f t="shared" si="1"/>
        <v>800</v>
      </c>
      <c r="E9" s="22">
        <f t="shared" si="1"/>
        <v>400</v>
      </c>
      <c r="F9" s="22">
        <f t="shared" si="1"/>
        <v>960</v>
      </c>
      <c r="G9" s="22">
        <f t="shared" si="1"/>
        <v>360</v>
      </c>
      <c r="H9" s="22">
        <f t="shared" si="1"/>
        <v>1680</v>
      </c>
      <c r="I9" s="22">
        <f t="shared" si="1"/>
        <v>320</v>
      </c>
      <c r="J9" s="22">
        <f t="shared" si="1"/>
        <v>240</v>
      </c>
    </row>
    <row r="10" spans="2:10">
      <c r="B10" s="3" t="s">
        <v>25</v>
      </c>
      <c r="C10" s="21">
        <v>10000</v>
      </c>
      <c r="D10" s="22">
        <f t="shared" si="1"/>
        <v>1000</v>
      </c>
      <c r="E10" s="22">
        <f t="shared" si="1"/>
        <v>500</v>
      </c>
      <c r="F10" s="22">
        <f t="shared" si="1"/>
        <v>1200</v>
      </c>
      <c r="G10" s="22">
        <f t="shared" si="1"/>
        <v>450</v>
      </c>
      <c r="H10" s="22">
        <f t="shared" si="1"/>
        <v>2100</v>
      </c>
      <c r="I10" s="22">
        <f t="shared" si="1"/>
        <v>400</v>
      </c>
      <c r="J10" s="22">
        <f t="shared" si="1"/>
        <v>300</v>
      </c>
    </row>
    <row r="11" spans="2:10">
      <c r="B11" s="3" t="s">
        <v>26</v>
      </c>
      <c r="C11" s="21">
        <v>11000</v>
      </c>
      <c r="D11" s="22">
        <f t="shared" si="1"/>
        <v>1100</v>
      </c>
      <c r="E11" s="22">
        <f t="shared" si="1"/>
        <v>550</v>
      </c>
      <c r="F11" s="22">
        <f t="shared" si="1"/>
        <v>1320</v>
      </c>
      <c r="G11" s="22">
        <f t="shared" si="1"/>
        <v>495</v>
      </c>
      <c r="H11" s="22">
        <f t="shared" si="1"/>
        <v>2310</v>
      </c>
      <c r="I11" s="22">
        <f t="shared" si="1"/>
        <v>440</v>
      </c>
      <c r="J11" s="22">
        <f t="shared" si="1"/>
        <v>330</v>
      </c>
    </row>
    <row r="12" spans="2:10">
      <c r="B12" s="3" t="s">
        <v>27</v>
      </c>
      <c r="C12" s="21">
        <v>15000</v>
      </c>
      <c r="D12" s="22">
        <f t="shared" si="1"/>
        <v>1500</v>
      </c>
      <c r="E12" s="22">
        <f t="shared" si="1"/>
        <v>750</v>
      </c>
      <c r="F12" s="22">
        <f t="shared" si="1"/>
        <v>1800</v>
      </c>
      <c r="G12" s="22">
        <f t="shared" si="1"/>
        <v>675</v>
      </c>
      <c r="H12" s="22">
        <f t="shared" si="1"/>
        <v>3150</v>
      </c>
      <c r="I12" s="22">
        <f t="shared" si="1"/>
        <v>600</v>
      </c>
      <c r="J12" s="22">
        <f t="shared" si="1"/>
        <v>450</v>
      </c>
    </row>
    <row r="15" spans="1:10">
      <c r="A15" s="23" t="s">
        <v>19</v>
      </c>
      <c r="B15" s="23"/>
      <c r="D15" s="23" t="s">
        <v>19</v>
      </c>
      <c r="E15" s="23"/>
      <c r="F15" s="23"/>
      <c r="G15" s="23"/>
      <c r="H15" s="23"/>
      <c r="I15" s="23"/>
      <c r="J15" s="23"/>
    </row>
    <row r="16" spans="1:10">
      <c r="A16" s="20" t="s">
        <v>94</v>
      </c>
      <c r="B16" s="24">
        <v>0.1</v>
      </c>
      <c r="D16" s="20" t="s">
        <v>94</v>
      </c>
      <c r="E16" s="20" t="s">
        <v>95</v>
      </c>
      <c r="F16" s="20" t="s">
        <v>96</v>
      </c>
      <c r="G16" s="20" t="s">
        <v>97</v>
      </c>
      <c r="H16" s="20" t="s">
        <v>98</v>
      </c>
      <c r="I16" s="20" t="s">
        <v>101</v>
      </c>
      <c r="J16" s="20" t="s">
        <v>102</v>
      </c>
    </row>
    <row r="17" spans="1:10">
      <c r="A17" s="20" t="s">
        <v>95</v>
      </c>
      <c r="B17" s="24">
        <v>0.05</v>
      </c>
      <c r="D17" s="24">
        <v>0.1</v>
      </c>
      <c r="E17" s="24">
        <v>0.05</v>
      </c>
      <c r="F17" s="24">
        <v>0.12</v>
      </c>
      <c r="G17" s="24">
        <v>0.045</v>
      </c>
      <c r="H17" s="24">
        <v>0.21</v>
      </c>
      <c r="I17" s="24">
        <v>0.04</v>
      </c>
      <c r="J17" s="24">
        <v>0.03</v>
      </c>
    </row>
    <row r="18" spans="1:2">
      <c r="A18" s="20" t="s">
        <v>96</v>
      </c>
      <c r="B18" s="24">
        <v>0.12</v>
      </c>
    </row>
    <row r="19" spans="1:2">
      <c r="A19" s="20" t="s">
        <v>97</v>
      </c>
      <c r="B19" s="24">
        <v>0.045</v>
      </c>
    </row>
    <row r="20" spans="1:2">
      <c r="A20" s="20" t="s">
        <v>98</v>
      </c>
      <c r="B20" s="24">
        <v>0.21</v>
      </c>
    </row>
    <row r="21" spans="1:2">
      <c r="A21" s="20" t="s">
        <v>101</v>
      </c>
      <c r="B21" s="24">
        <v>0.04</v>
      </c>
    </row>
    <row r="22" spans="1:2">
      <c r="A22" s="20" t="s">
        <v>102</v>
      </c>
      <c r="B22" s="24">
        <v>0.03</v>
      </c>
    </row>
  </sheetData>
  <pageMargins left="0.7" right="0.7" top="0.75" bottom="0.75" header="0.3" footer="0.3"/>
  <pageSetup paperSize="1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J17"/>
  <sheetViews>
    <sheetView tabSelected="1" workbookViewId="0">
      <selection activeCell="L16" sqref="L16"/>
    </sheetView>
  </sheetViews>
  <sheetFormatPr defaultColWidth="9" defaultRowHeight="15"/>
  <cols>
    <col min="1" max="1" width="13.1428571428571" customWidth="1"/>
  </cols>
  <sheetData>
    <row r="1" spans="1:9">
      <c r="A1" s="1" t="s">
        <v>92</v>
      </c>
      <c r="B1" s="2"/>
      <c r="C1" s="2"/>
      <c r="D1" s="2"/>
      <c r="E1" s="2"/>
      <c r="F1" s="2"/>
      <c r="G1" s="2"/>
      <c r="H1" s="2"/>
      <c r="I1" s="12"/>
    </row>
    <row r="3" spans="1:7">
      <c r="A3" s="3"/>
      <c r="B3" s="4" t="s">
        <v>10</v>
      </c>
      <c r="C3" s="4" t="s">
        <v>11</v>
      </c>
      <c r="D3" s="4" t="s">
        <v>12</v>
      </c>
      <c r="E3" s="4" t="s">
        <v>13</v>
      </c>
      <c r="F3" s="4" t="s">
        <v>14</v>
      </c>
      <c r="G3" s="4" t="s">
        <v>24</v>
      </c>
    </row>
    <row r="4" spans="1:10">
      <c r="A4" s="4" t="s">
        <v>103</v>
      </c>
      <c r="B4" s="16">
        <v>100</v>
      </c>
      <c r="C4" s="16">
        <v>200</v>
      </c>
      <c r="D4" s="16">
        <v>300</v>
      </c>
      <c r="E4" s="16">
        <v>400</v>
      </c>
      <c r="F4" s="16">
        <v>500</v>
      </c>
      <c r="G4" s="16">
        <v>600</v>
      </c>
      <c r="I4" s="13" t="s">
        <v>4</v>
      </c>
      <c r="J4" s="13"/>
    </row>
    <row r="5" spans="1:10">
      <c r="A5" s="4" t="s">
        <v>104</v>
      </c>
      <c r="B5" s="17">
        <f>B$4*$J5</f>
        <v>3</v>
      </c>
      <c r="C5" s="17">
        <f>C$4*$J5</f>
        <v>6</v>
      </c>
      <c r="D5" s="17">
        <f>D$4*$J5</f>
        <v>9</v>
      </c>
      <c r="E5" s="17">
        <f>E$4*$J5</f>
        <v>12</v>
      </c>
      <c r="F5" s="17">
        <f>F$4*$J5</f>
        <v>15</v>
      </c>
      <c r="G5" s="17">
        <f>G$4*$J5</f>
        <v>18</v>
      </c>
      <c r="I5" s="3" t="s">
        <v>104</v>
      </c>
      <c r="J5" s="14">
        <v>0.03</v>
      </c>
    </row>
    <row r="6" spans="1:10">
      <c r="A6" s="4" t="s">
        <v>105</v>
      </c>
      <c r="B6" s="17">
        <f t="shared" ref="B6:B15" si="0">B$4*$J6</f>
        <v>4</v>
      </c>
      <c r="C6" s="17">
        <f>C$4*$J6</f>
        <v>8</v>
      </c>
      <c r="D6" s="17">
        <f>D$4*$J6</f>
        <v>12</v>
      </c>
      <c r="E6" s="17">
        <f>E$4*$J6</f>
        <v>16</v>
      </c>
      <c r="F6" s="17">
        <f>F$4*$J6</f>
        <v>20</v>
      </c>
      <c r="G6" s="17">
        <f>G$4*$J6</f>
        <v>24</v>
      </c>
      <c r="I6" s="3" t="s">
        <v>105</v>
      </c>
      <c r="J6" s="14">
        <v>0.04</v>
      </c>
    </row>
    <row r="7" spans="1:10">
      <c r="A7" s="4" t="s">
        <v>106</v>
      </c>
      <c r="B7" s="17">
        <f t="shared" si="0"/>
        <v>5</v>
      </c>
      <c r="C7" s="17">
        <f>C$4*$J7</f>
        <v>10</v>
      </c>
      <c r="D7" s="17">
        <f>D$4*$J7</f>
        <v>15</v>
      </c>
      <c r="E7" s="17">
        <f>E$4*$J7</f>
        <v>20</v>
      </c>
      <c r="F7" s="17">
        <f>F$4*$J7</f>
        <v>25</v>
      </c>
      <c r="G7" s="17">
        <f>G$4*$J7</f>
        <v>30</v>
      </c>
      <c r="I7" s="3" t="s">
        <v>106</v>
      </c>
      <c r="J7" s="14">
        <v>0.05</v>
      </c>
    </row>
    <row r="8" spans="1:10">
      <c r="A8" s="4" t="s">
        <v>107</v>
      </c>
      <c r="B8" s="17">
        <f t="shared" si="0"/>
        <v>6</v>
      </c>
      <c r="C8" s="17">
        <f>C$4*$J8</f>
        <v>12</v>
      </c>
      <c r="D8" s="17">
        <f>D$4*$J8</f>
        <v>18</v>
      </c>
      <c r="E8" s="17">
        <f>E$4*$J8</f>
        <v>24</v>
      </c>
      <c r="F8" s="17">
        <f>F$4*$J8</f>
        <v>30</v>
      </c>
      <c r="G8" s="17">
        <f>G$4*$J8</f>
        <v>36</v>
      </c>
      <c r="I8" s="3" t="s">
        <v>107</v>
      </c>
      <c r="J8" s="14">
        <v>0.06</v>
      </c>
    </row>
    <row r="9" spans="1:10">
      <c r="A9" s="4" t="s">
        <v>108</v>
      </c>
      <c r="B9" s="17">
        <f t="shared" si="0"/>
        <v>7</v>
      </c>
      <c r="C9" s="17">
        <f>C$4*$J9</f>
        <v>14</v>
      </c>
      <c r="D9" s="17">
        <f>D$4*$J9</f>
        <v>21</v>
      </c>
      <c r="E9" s="17">
        <f>E$4*$J9</f>
        <v>28</v>
      </c>
      <c r="F9" s="17">
        <f>F$4*$J9</f>
        <v>35</v>
      </c>
      <c r="G9" s="17">
        <f>G$4*$J9</f>
        <v>42</v>
      </c>
      <c r="I9" s="3" t="s">
        <v>108</v>
      </c>
      <c r="J9" s="14">
        <v>0.07</v>
      </c>
    </row>
    <row r="10" spans="1:10">
      <c r="A10" s="4" t="s">
        <v>109</v>
      </c>
      <c r="B10" s="17">
        <f t="shared" si="0"/>
        <v>8</v>
      </c>
      <c r="C10" s="17">
        <f>C$4*$J10</f>
        <v>16</v>
      </c>
      <c r="D10" s="17">
        <f>D$4*$J10</f>
        <v>24</v>
      </c>
      <c r="E10" s="17">
        <f>E$4*$J10</f>
        <v>32</v>
      </c>
      <c r="F10" s="17">
        <f>F$4*$J10</f>
        <v>40</v>
      </c>
      <c r="G10" s="17">
        <f>G$4*$J10</f>
        <v>48</v>
      </c>
      <c r="I10" s="3" t="s">
        <v>109</v>
      </c>
      <c r="J10" s="14">
        <v>0.08</v>
      </c>
    </row>
    <row r="11" spans="1:10">
      <c r="A11" s="4" t="s">
        <v>110</v>
      </c>
      <c r="B11" s="17">
        <f t="shared" si="0"/>
        <v>9</v>
      </c>
      <c r="C11" s="17">
        <f>C$4*$J11</f>
        <v>18</v>
      </c>
      <c r="D11" s="17">
        <f>D$4*$J11</f>
        <v>27</v>
      </c>
      <c r="E11" s="17">
        <f>E$4*$J11</f>
        <v>36</v>
      </c>
      <c r="F11" s="17">
        <f>F$4*$J11</f>
        <v>45</v>
      </c>
      <c r="G11" s="17">
        <f>G$4*$J11</f>
        <v>54</v>
      </c>
      <c r="I11" s="3" t="s">
        <v>110</v>
      </c>
      <c r="J11" s="14">
        <v>0.09</v>
      </c>
    </row>
    <row r="12" spans="1:10">
      <c r="A12" s="4" t="s">
        <v>111</v>
      </c>
      <c r="B12" s="17">
        <f t="shared" si="0"/>
        <v>10</v>
      </c>
      <c r="C12" s="17">
        <f>C$4*$J12</f>
        <v>20</v>
      </c>
      <c r="D12" s="17">
        <f>D$4*$J12</f>
        <v>30</v>
      </c>
      <c r="E12" s="17">
        <f>E$4*$J12</f>
        <v>40</v>
      </c>
      <c r="F12" s="17">
        <f>F$4*$J12</f>
        <v>50</v>
      </c>
      <c r="G12" s="17">
        <f>G$4*$J12</f>
        <v>60</v>
      </c>
      <c r="I12" s="3" t="s">
        <v>111</v>
      </c>
      <c r="J12" s="14">
        <v>0.1</v>
      </c>
    </row>
    <row r="13" spans="1:10">
      <c r="A13" s="4" t="s">
        <v>112</v>
      </c>
      <c r="B13" s="17">
        <f t="shared" si="0"/>
        <v>11</v>
      </c>
      <c r="C13" s="17">
        <f>C$4*$J13</f>
        <v>22</v>
      </c>
      <c r="D13" s="17">
        <f>D$4*$J13</f>
        <v>33</v>
      </c>
      <c r="E13" s="17">
        <f>E$4*$J13</f>
        <v>44</v>
      </c>
      <c r="F13" s="17">
        <f>F$4*$J13</f>
        <v>55</v>
      </c>
      <c r="G13" s="17">
        <f>G$4*$J13</f>
        <v>66</v>
      </c>
      <c r="I13" s="3" t="s">
        <v>112</v>
      </c>
      <c r="J13" s="14">
        <v>0.11</v>
      </c>
    </row>
    <row r="14" spans="1:10">
      <c r="A14" s="4" t="s">
        <v>113</v>
      </c>
      <c r="B14" s="17">
        <f t="shared" si="0"/>
        <v>12</v>
      </c>
      <c r="C14" s="17">
        <f>C$4*$J14</f>
        <v>24</v>
      </c>
      <c r="D14" s="17">
        <f>D$4*$J14</f>
        <v>36</v>
      </c>
      <c r="E14" s="17">
        <f>E$4*$J14</f>
        <v>48</v>
      </c>
      <c r="F14" s="17">
        <f>F$4*$J14</f>
        <v>60</v>
      </c>
      <c r="G14" s="17">
        <f>G$4*$J14</f>
        <v>72</v>
      </c>
      <c r="I14" s="3" t="s">
        <v>113</v>
      </c>
      <c r="J14" s="14">
        <v>0.12</v>
      </c>
    </row>
    <row r="15" spans="1:10">
      <c r="A15" s="4" t="s">
        <v>114</v>
      </c>
      <c r="B15" s="17">
        <f t="shared" si="0"/>
        <v>13</v>
      </c>
      <c r="C15" s="17">
        <f>C$4*$J15</f>
        <v>26</v>
      </c>
      <c r="D15" s="17">
        <f>D$4*$J15</f>
        <v>39</v>
      </c>
      <c r="E15" s="17">
        <f>E$4*$J15</f>
        <v>52</v>
      </c>
      <c r="F15" s="17">
        <f>F$4*$J15</f>
        <v>65</v>
      </c>
      <c r="G15" s="17">
        <f>G$4*$J15</f>
        <v>78</v>
      </c>
      <c r="I15" s="3" t="s">
        <v>114</v>
      </c>
      <c r="J15" s="14">
        <v>0.13</v>
      </c>
    </row>
    <row r="16" ht="15.75" spans="1:7">
      <c r="A16" s="8" t="s">
        <v>115</v>
      </c>
      <c r="B16" s="18">
        <f>SUM(B5:B15)</f>
        <v>88</v>
      </c>
      <c r="C16" s="18">
        <f>SUM(C5:C15)</f>
        <v>176</v>
      </c>
      <c r="D16" s="18">
        <f>SUM(D5:D15)</f>
        <v>264</v>
      </c>
      <c r="E16" s="18">
        <f>SUM(E5:E15)</f>
        <v>352</v>
      </c>
      <c r="F16" s="18">
        <f>SUM(F5:F15)</f>
        <v>440</v>
      </c>
      <c r="G16" s="18">
        <f>SUM(G5:G15)</f>
        <v>528</v>
      </c>
    </row>
    <row r="17" ht="15.75" spans="1:7">
      <c r="A17" s="10" t="s">
        <v>18</v>
      </c>
      <c r="B17" s="19">
        <f>B4-B16</f>
        <v>12</v>
      </c>
      <c r="C17" s="19">
        <f>C4-C16</f>
        <v>24</v>
      </c>
      <c r="D17" s="19">
        <f>D4-D16</f>
        <v>36</v>
      </c>
      <c r="E17" s="19">
        <f>E4-E16</f>
        <v>48</v>
      </c>
      <c r="F17" s="19">
        <f>F4-F16</f>
        <v>60</v>
      </c>
      <c r="G17" s="19">
        <f>G4-G16</f>
        <v>72</v>
      </c>
    </row>
  </sheetData>
  <pageMargins left="0.7" right="0.7" top="0.75" bottom="0.75" header="0.3" footer="0.3"/>
  <pageSetup paperSize="1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J18"/>
  <sheetViews>
    <sheetView workbookViewId="0">
      <selection activeCell="B5" sqref="B5"/>
    </sheetView>
  </sheetViews>
  <sheetFormatPr defaultColWidth="9" defaultRowHeight="15"/>
  <cols>
    <col min="1" max="1" width="13" customWidth="1"/>
  </cols>
  <sheetData>
    <row r="1" spans="1:9">
      <c r="A1" s="1" t="s">
        <v>92</v>
      </c>
      <c r="B1" s="2"/>
      <c r="C1" s="2"/>
      <c r="D1" s="2"/>
      <c r="E1" s="2"/>
      <c r="F1" s="2"/>
      <c r="G1" s="2"/>
      <c r="H1" s="2"/>
      <c r="I1" s="12"/>
    </row>
    <row r="3" spans="1:7">
      <c r="A3" s="3"/>
      <c r="B3" s="4" t="s">
        <v>10</v>
      </c>
      <c r="C3" s="4" t="s">
        <v>11</v>
      </c>
      <c r="D3" s="4" t="s">
        <v>12</v>
      </c>
      <c r="E3" s="4" t="s">
        <v>13</v>
      </c>
      <c r="F3" s="4" t="s">
        <v>14</v>
      </c>
      <c r="G3" s="4" t="s">
        <v>24</v>
      </c>
    </row>
    <row r="4" spans="1:10">
      <c r="A4" s="4" t="s">
        <v>103</v>
      </c>
      <c r="B4" s="5">
        <v>100</v>
      </c>
      <c r="C4" s="5">
        <v>200</v>
      </c>
      <c r="D4" s="5">
        <v>300</v>
      </c>
      <c r="E4" s="5">
        <v>400</v>
      </c>
      <c r="F4" s="5">
        <v>500</v>
      </c>
      <c r="G4" s="5">
        <v>600</v>
      </c>
      <c r="I4" s="13" t="s">
        <v>4</v>
      </c>
      <c r="J4" s="13"/>
    </row>
    <row r="5" spans="1:10">
      <c r="A5" s="4" t="s">
        <v>104</v>
      </c>
      <c r="B5" s="6">
        <f t="shared" ref="B5:G15" si="0">ROUND(B$4*$J5,2)</f>
        <v>3</v>
      </c>
      <c r="C5" s="6">
        <f t="shared" si="0"/>
        <v>6</v>
      </c>
      <c r="D5" s="6">
        <f t="shared" si="0"/>
        <v>9</v>
      </c>
      <c r="E5" s="6">
        <f t="shared" si="0"/>
        <v>12</v>
      </c>
      <c r="F5" s="6">
        <f t="shared" si="0"/>
        <v>15</v>
      </c>
      <c r="G5" s="6">
        <f t="shared" si="0"/>
        <v>18</v>
      </c>
      <c r="I5" s="3" t="s">
        <v>104</v>
      </c>
      <c r="J5" s="14">
        <v>0.03</v>
      </c>
    </row>
    <row r="6" spans="1:10">
      <c r="A6" s="4" t="s">
        <v>105</v>
      </c>
      <c r="B6" s="6">
        <f t="shared" si="0"/>
        <v>4</v>
      </c>
      <c r="C6" s="6">
        <f t="shared" si="0"/>
        <v>8</v>
      </c>
      <c r="D6" s="6">
        <f t="shared" si="0"/>
        <v>12</v>
      </c>
      <c r="E6" s="6">
        <f t="shared" si="0"/>
        <v>16</v>
      </c>
      <c r="F6" s="6">
        <f t="shared" si="0"/>
        <v>20</v>
      </c>
      <c r="G6" s="6">
        <f t="shared" si="0"/>
        <v>24</v>
      </c>
      <c r="I6" s="3" t="s">
        <v>105</v>
      </c>
      <c r="J6" s="14">
        <v>0.04</v>
      </c>
    </row>
    <row r="7" spans="1:10">
      <c r="A7" s="4" t="s">
        <v>106</v>
      </c>
      <c r="B7" s="6">
        <f t="shared" si="0"/>
        <v>5</v>
      </c>
      <c r="C7" s="6">
        <f t="shared" si="0"/>
        <v>10</v>
      </c>
      <c r="D7" s="6">
        <f t="shared" si="0"/>
        <v>15</v>
      </c>
      <c r="E7" s="6">
        <f t="shared" si="0"/>
        <v>20</v>
      </c>
      <c r="F7" s="6">
        <f t="shared" si="0"/>
        <v>25</v>
      </c>
      <c r="G7" s="6">
        <f t="shared" si="0"/>
        <v>30</v>
      </c>
      <c r="I7" s="3" t="s">
        <v>106</v>
      </c>
      <c r="J7" s="14">
        <v>0.05</v>
      </c>
    </row>
    <row r="8" spans="1:10">
      <c r="A8" s="4" t="s">
        <v>107</v>
      </c>
      <c r="B8" s="6">
        <f t="shared" si="0"/>
        <v>6</v>
      </c>
      <c r="C8" s="6">
        <f t="shared" si="0"/>
        <v>12</v>
      </c>
      <c r="D8" s="6">
        <f t="shared" si="0"/>
        <v>18</v>
      </c>
      <c r="E8" s="6">
        <f t="shared" si="0"/>
        <v>24</v>
      </c>
      <c r="F8" s="6">
        <f t="shared" si="0"/>
        <v>30</v>
      </c>
      <c r="G8" s="6">
        <f t="shared" si="0"/>
        <v>36</v>
      </c>
      <c r="I8" s="3" t="s">
        <v>107</v>
      </c>
      <c r="J8" s="14">
        <v>0.06</v>
      </c>
    </row>
    <row r="9" spans="1:10">
      <c r="A9" s="4" t="s">
        <v>108</v>
      </c>
      <c r="B9" s="6">
        <f t="shared" si="0"/>
        <v>7</v>
      </c>
      <c r="C9" s="6">
        <f t="shared" si="0"/>
        <v>14</v>
      </c>
      <c r="D9" s="6">
        <f t="shared" si="0"/>
        <v>21</v>
      </c>
      <c r="E9" s="6">
        <f t="shared" si="0"/>
        <v>28</v>
      </c>
      <c r="F9" s="6">
        <f t="shared" si="0"/>
        <v>35</v>
      </c>
      <c r="G9" s="6">
        <f t="shared" si="0"/>
        <v>42</v>
      </c>
      <c r="I9" s="3" t="s">
        <v>108</v>
      </c>
      <c r="J9" s="14">
        <v>0.07</v>
      </c>
    </row>
    <row r="10" spans="1:10">
      <c r="A10" s="4" t="s">
        <v>109</v>
      </c>
      <c r="B10" s="6">
        <f t="shared" si="0"/>
        <v>8</v>
      </c>
      <c r="C10" s="6">
        <f t="shared" si="0"/>
        <v>16</v>
      </c>
      <c r="D10" s="6">
        <f t="shared" si="0"/>
        <v>24</v>
      </c>
      <c r="E10" s="6">
        <f t="shared" si="0"/>
        <v>32</v>
      </c>
      <c r="F10" s="6">
        <f t="shared" si="0"/>
        <v>40</v>
      </c>
      <c r="G10" s="6">
        <f t="shared" si="0"/>
        <v>48</v>
      </c>
      <c r="I10" s="3" t="s">
        <v>109</v>
      </c>
      <c r="J10" s="14">
        <v>0.08</v>
      </c>
    </row>
    <row r="11" spans="1:10">
      <c r="A11" s="4" t="s">
        <v>110</v>
      </c>
      <c r="B11" s="6">
        <f t="shared" si="0"/>
        <v>9</v>
      </c>
      <c r="C11" s="6">
        <f t="shared" si="0"/>
        <v>18</v>
      </c>
      <c r="D11" s="6">
        <f t="shared" si="0"/>
        <v>27</v>
      </c>
      <c r="E11" s="6">
        <f t="shared" si="0"/>
        <v>36</v>
      </c>
      <c r="F11" s="6">
        <f t="shared" si="0"/>
        <v>45</v>
      </c>
      <c r="G11" s="6">
        <f t="shared" si="0"/>
        <v>54</v>
      </c>
      <c r="I11" s="3" t="s">
        <v>110</v>
      </c>
      <c r="J11" s="14">
        <v>0.09</v>
      </c>
    </row>
    <row r="12" spans="1:10">
      <c r="A12" s="4" t="s">
        <v>111</v>
      </c>
      <c r="B12" s="6">
        <f t="shared" si="0"/>
        <v>10</v>
      </c>
      <c r="C12" s="6">
        <f t="shared" si="0"/>
        <v>20</v>
      </c>
      <c r="D12" s="6">
        <f t="shared" si="0"/>
        <v>30</v>
      </c>
      <c r="E12" s="6">
        <f t="shared" si="0"/>
        <v>40</v>
      </c>
      <c r="F12" s="6">
        <f t="shared" si="0"/>
        <v>50</v>
      </c>
      <c r="G12" s="6">
        <f t="shared" si="0"/>
        <v>60</v>
      </c>
      <c r="I12" s="3" t="s">
        <v>111</v>
      </c>
      <c r="J12" s="14">
        <v>0.1</v>
      </c>
    </row>
    <row r="13" spans="1:10">
      <c r="A13" s="4" t="s">
        <v>112</v>
      </c>
      <c r="B13" s="6">
        <f t="shared" si="0"/>
        <v>11</v>
      </c>
      <c r="C13" s="6">
        <f t="shared" si="0"/>
        <v>22</v>
      </c>
      <c r="D13" s="6">
        <f t="shared" si="0"/>
        <v>33</v>
      </c>
      <c r="E13" s="6">
        <f t="shared" si="0"/>
        <v>44</v>
      </c>
      <c r="F13" s="6">
        <f t="shared" si="0"/>
        <v>55</v>
      </c>
      <c r="G13" s="6">
        <f t="shared" si="0"/>
        <v>66</v>
      </c>
      <c r="I13" s="3" t="s">
        <v>112</v>
      </c>
      <c r="J13" s="14">
        <v>0.11</v>
      </c>
    </row>
    <row r="14" spans="1:10">
      <c r="A14" s="4" t="s">
        <v>113</v>
      </c>
      <c r="B14" s="6">
        <f t="shared" si="0"/>
        <v>12</v>
      </c>
      <c r="C14" s="6">
        <f t="shared" si="0"/>
        <v>24</v>
      </c>
      <c r="D14" s="6">
        <f t="shared" si="0"/>
        <v>36</v>
      </c>
      <c r="E14" s="6">
        <f t="shared" si="0"/>
        <v>48</v>
      </c>
      <c r="F14" s="6">
        <f t="shared" si="0"/>
        <v>60</v>
      </c>
      <c r="G14" s="6">
        <f t="shared" si="0"/>
        <v>72</v>
      </c>
      <c r="I14" s="3" t="s">
        <v>113</v>
      </c>
      <c r="J14" s="14">
        <v>0.12</v>
      </c>
    </row>
    <row r="15" ht="15.75" spans="1:10">
      <c r="A15" s="4" t="s">
        <v>114</v>
      </c>
      <c r="B15" s="7">
        <f t="shared" si="0"/>
        <v>13</v>
      </c>
      <c r="C15" s="7">
        <f t="shared" si="0"/>
        <v>26</v>
      </c>
      <c r="D15" s="7">
        <f t="shared" si="0"/>
        <v>39</v>
      </c>
      <c r="E15" s="7">
        <f t="shared" si="0"/>
        <v>52</v>
      </c>
      <c r="F15" s="7">
        <f t="shared" si="0"/>
        <v>65</v>
      </c>
      <c r="G15" s="7">
        <f t="shared" si="0"/>
        <v>78</v>
      </c>
      <c r="I15" s="3" t="s">
        <v>114</v>
      </c>
      <c r="J15" s="14">
        <v>0.13</v>
      </c>
    </row>
    <row r="16" ht="15.75" spans="1:10">
      <c r="A16" s="8" t="s">
        <v>115</v>
      </c>
      <c r="B16" s="9">
        <f>SUM(B5:B15)</f>
        <v>88</v>
      </c>
      <c r="C16" s="9">
        <f t="shared" ref="C16:G16" si="1">SUM(C5:C15)</f>
        <v>176</v>
      </c>
      <c r="D16" s="9">
        <f t="shared" si="1"/>
        <v>264</v>
      </c>
      <c r="E16" s="9">
        <f t="shared" si="1"/>
        <v>352</v>
      </c>
      <c r="F16" s="9">
        <f t="shared" si="1"/>
        <v>440</v>
      </c>
      <c r="G16" s="9">
        <f t="shared" si="1"/>
        <v>528</v>
      </c>
      <c r="J16" s="15">
        <f>SUM(J5:J15)</f>
        <v>0.88</v>
      </c>
    </row>
    <row r="17" ht="15.75" spans="1:7">
      <c r="A17" s="10" t="s">
        <v>18</v>
      </c>
      <c r="B17" s="11">
        <f t="shared" ref="B17:G17" si="2">B4-B16</f>
        <v>12</v>
      </c>
      <c r="C17" s="11">
        <f t="shared" si="2"/>
        <v>24</v>
      </c>
      <c r="D17" s="11">
        <f t="shared" si="2"/>
        <v>36</v>
      </c>
      <c r="E17" s="11">
        <f t="shared" si="2"/>
        <v>48</v>
      </c>
      <c r="F17" s="11">
        <f t="shared" si="2"/>
        <v>60</v>
      </c>
      <c r="G17" s="11">
        <f t="shared" si="2"/>
        <v>72</v>
      </c>
    </row>
    <row r="18" ht="15.75"/>
  </sheetData>
  <pageMargins left="0.7" right="0.7" top="0.75" bottom="0.75" header="0.3" footer="0.3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Cover</vt:lpstr>
      <vt:lpstr>Multiplication</vt:lpstr>
      <vt:lpstr>Multiplication (an)</vt:lpstr>
      <vt:lpstr>Video 02</vt:lpstr>
      <vt:lpstr>Budget</vt:lpstr>
      <vt:lpstr>Budget (an)</vt:lpstr>
      <vt:lpstr>Budget &amp; Assumption T.</vt:lpstr>
      <vt:lpstr>Budget &amp; Assumption T. (an)</vt:lpstr>
      <vt:lpstr>Pension</vt:lpstr>
      <vt:lpstr>Pension (an)</vt:lpstr>
      <vt:lpstr>Payroll</vt:lpstr>
      <vt:lpstr>Payroll (an)</vt:lpstr>
      <vt:lpstr>HW==&gt;&gt;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WPS_1644060671</cp:lastModifiedBy>
  <dcterms:created xsi:type="dcterms:W3CDTF">2017-11-06T17:31:00Z</dcterms:created>
  <dcterms:modified xsi:type="dcterms:W3CDTF">2023-06-04T16:23:42Z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52716B2A20B0441EBE019C913CB6DE48</vt:lpwstr>
  </property>
  <property fmtid="{D5CDD505-2E9C-101B-9397-08002B2CF9AE}" pid="3" name="KSOProductBuildVer">
    <vt:lpwstr>1033-11.2.0.11537</vt:lpwstr>
  </property>
</Properties>
</file>