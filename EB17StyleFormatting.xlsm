
<file path=[Content_Types].xml><?xml version="1.0" encoding="utf-8"?>
<Types xmlns="http://schemas.openxmlformats.org/package/2006/content-types"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490" windowHeight="7695" firstSheet="9" activeTab="14"/>
  </bookViews>
  <sheets>
    <sheet name="Cover" sheetId="1" r:id="rId1"/>
    <sheet name="Accounting Style" sheetId="47" r:id="rId2"/>
    <sheet name="Accounting Style (an)" sheetId="65" r:id="rId3"/>
    <sheet name="Column W" sheetId="48" r:id="rId4"/>
    <sheet name="Column W (an)" sheetId="60" r:id="rId5"/>
    <sheet name="Wrap Text" sheetId="50" r:id="rId6"/>
    <sheet name="Wrap Text (an)" sheetId="61" r:id="rId7"/>
    <sheet name="Table" sheetId="51" r:id="rId8"/>
    <sheet name="Table (an)" sheetId="62" r:id="rId9"/>
    <sheet name="Cell" sheetId="52" r:id="rId10"/>
    <sheet name="Cell (an)" sheetId="63" r:id="rId11"/>
    <sheet name="CF" sheetId="54" r:id="rId12"/>
    <sheet name="CF (an)" sheetId="66" r:id="rId13"/>
    <sheet name="HW==&gt;&gt;" sheetId="44" r:id="rId14"/>
    <sheet name="HW(1)" sheetId="56" r:id="rId15"/>
    <sheet name="HW(1an)" sheetId="57" r:id="rId16"/>
    <sheet name="HW(2)" sheetId="58" r:id="rId17"/>
    <sheet name="HW(2an)" sheetId="59" r:id="rId18"/>
  </sheets>
  <calcPr calcId="144525"/>
</workbook>
</file>

<file path=xl/sharedStrings.xml><?xml version="1.0" encoding="utf-8"?>
<sst xmlns="http://schemas.openxmlformats.org/spreadsheetml/2006/main" count="330" uniqueCount="71">
  <si>
    <t>Excel Basics 17: Style Formatting: By Hand, Cell, Table &amp; Conditional Formatting</t>
  </si>
  <si>
    <t>Examples:</t>
  </si>
  <si>
    <t>Office 2016 Video #29</t>
  </si>
  <si>
    <t>Example 1: Accounting Style Formatting</t>
  </si>
  <si>
    <t>Example 2: Accounting Borders</t>
  </si>
  <si>
    <t>Jan</t>
  </si>
  <si>
    <t>Feb</t>
  </si>
  <si>
    <t>Mar</t>
  </si>
  <si>
    <t>Apr</t>
  </si>
  <si>
    <t>Net Sales</t>
  </si>
  <si>
    <t>Operating Expenses</t>
  </si>
  <si>
    <t>Date</t>
  </si>
  <si>
    <t>Check #</t>
  </si>
  <si>
    <t>Description</t>
  </si>
  <si>
    <t>Deduction</t>
  </si>
  <si>
    <t>Addition</t>
  </si>
  <si>
    <t>Balance</t>
  </si>
  <si>
    <t>Administrating Expenses</t>
  </si>
  <si>
    <t>Other</t>
  </si>
  <si>
    <t>Pay Rent</t>
  </si>
  <si>
    <t>Total Expenses</t>
  </si>
  <si>
    <t>ATM124</t>
  </si>
  <si>
    <t>withdraw</t>
  </si>
  <si>
    <t>Net Income</t>
  </si>
  <si>
    <t>Rev</t>
  </si>
  <si>
    <t>or</t>
  </si>
  <si>
    <t>Example 3: Column widths!!</t>
  </si>
  <si>
    <t>Product</t>
  </si>
  <si>
    <t>Sales</t>
  </si>
  <si>
    <t>Flying Eagle</t>
  </si>
  <si>
    <t>Smooth Arch</t>
  </si>
  <si>
    <t>Example 4: Wrap Text in Cell: Multiple Lines in a Cell</t>
  </si>
  <si>
    <t>1) While typing: Alt + Enter</t>
  </si>
  <si>
    <t>2) Command button in Alignment group in Home Ribbon Tab</t>
  </si>
  <si>
    <t>Boomerang Product Name</t>
  </si>
  <si>
    <t>Employee Name</t>
  </si>
  <si>
    <t>Sales Amount</t>
  </si>
  <si>
    <t>Majestic Beaut</t>
  </si>
  <si>
    <t>Jo</t>
  </si>
  <si>
    <t>Delicate Arch Deluxe</t>
  </si>
  <si>
    <t>Moe</t>
  </si>
  <si>
    <t>Carlota Doublers</t>
  </si>
  <si>
    <t>Sheliadawn</t>
  </si>
  <si>
    <t>Tina</t>
  </si>
  <si>
    <t>Quad Freestyle</t>
  </si>
  <si>
    <t>Boomerang
Product Name</t>
  </si>
  <si>
    <t>Boomerang
Product</t>
  </si>
  <si>
    <t>Example 5: Table Format button (Converts to Excel table)</t>
  </si>
  <si>
    <t>Example 6: Cell Styles</t>
  </si>
  <si>
    <t>Great if you use thesame Style and Number formatting over and over</t>
  </si>
  <si>
    <t>Boomerang Product</t>
  </si>
  <si>
    <t>Example 7: Built-in Conditional Formatting to Visualize Data</t>
  </si>
  <si>
    <t>Criteria</t>
  </si>
  <si>
    <t>Data Bars</t>
  </si>
  <si>
    <t>Top 25%</t>
  </si>
  <si>
    <t>Losses</t>
  </si>
  <si>
    <t>Stock</t>
  </si>
  <si>
    <t>Buy Price</t>
  </si>
  <si>
    <t>Price today</t>
  </si>
  <si>
    <t>Quantity</t>
  </si>
  <si>
    <t>Profit</t>
  </si>
  <si>
    <t>GOOG</t>
  </si>
  <si>
    <t>GE</t>
  </si>
  <si>
    <t>KO</t>
  </si>
  <si>
    <t>MSFT</t>
  </si>
  <si>
    <t>KK</t>
  </si>
  <si>
    <t>SW</t>
  </si>
  <si>
    <t>Add some Style and Number Formatting to this report. You can add the formatting that you would like.</t>
  </si>
  <si>
    <t>Following Excel's Golden Rule, Add Conditionally Formatting so that Numbers Over $112,500 get the formatting.</t>
  </si>
  <si>
    <t>Hurdle</t>
  </si>
  <si>
    <t>Hurdle:</t>
  </si>
</sst>
</file>

<file path=xl/styles.xml><?xml version="1.0" encoding="utf-8"?>
<styleSheet xmlns="http://schemas.openxmlformats.org/spreadsheetml/2006/main">
  <numFmts count="8">
    <numFmt numFmtId="176" formatCode="_ * #,##0_ ;_ * \-#,##0_ ;_ * &quot;-&quot;_ ;_ @_ "/>
    <numFmt numFmtId="42" formatCode="_(&quot;$&quot;* #,##0_);_(&quot;$&quot;* \(#,##0\);_(&quot;$&quot;* &quot;-&quot;_);_(@_)"/>
    <numFmt numFmtId="177" formatCode="_ * #,##0.00_ ;_ * \-#,##0.00_ ;_ * &quot;-&quot;??_ ;_ @_ "/>
    <numFmt numFmtId="44" formatCode="_(&quot;$&quot;* #,##0.00_);_(&quot;$&quot;* \(#,##0.00\);_(&quot;$&quot;* &quot;-&quot;??_);_(@_)"/>
    <numFmt numFmtId="178" formatCode="&quot;$&quot;#,##0.00"/>
    <numFmt numFmtId="179" formatCode="_(&quot;$&quot;* #,##0_);_(&quot;$&quot;* \(#,##0\);_(&quot;$&quot;* &quot;-&quot;??_);_(@_)"/>
    <numFmt numFmtId="8" formatCode="&quot;$&quot;#,##0.00_);[Red]\(&quot;$&quot;#,##0.00\)"/>
    <numFmt numFmtId="43" formatCode="_(* #,##0.00_);_(* \(#,##0.00\);_(* &quot;-&quot;??_);_(@_)"/>
  </numFmts>
  <fonts count="37">
    <font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i/>
      <sz val="11"/>
      <color theme="1"/>
      <name val="Calibri"/>
      <charset val="134"/>
      <scheme val="minor"/>
    </font>
    <font>
      <u/>
      <sz val="11"/>
      <color theme="1"/>
      <name val="Calibri"/>
      <charset val="134"/>
      <scheme val="minor"/>
    </font>
    <font>
      <u val="double"/>
      <sz val="11"/>
      <color theme="1"/>
      <name val="Calibri"/>
      <charset val="134"/>
      <scheme val="minor"/>
    </font>
    <font>
      <u val="singleAccounting"/>
      <sz val="11"/>
      <color theme="1"/>
      <name val="Calibri"/>
      <charset val="134"/>
      <scheme val="minor"/>
    </font>
    <font>
      <u val="doubleAccounting"/>
      <sz val="11"/>
      <color theme="1"/>
      <name val="Calibri"/>
      <charset val="134"/>
      <scheme val="minor"/>
    </font>
    <font>
      <b/>
      <sz val="23"/>
      <color theme="1"/>
      <name val="Calibri"/>
      <charset val="134"/>
      <scheme val="minor"/>
    </font>
    <font>
      <b/>
      <sz val="18"/>
      <color theme="1"/>
      <name val="Calibri"/>
      <charset val="134"/>
      <scheme val="minor"/>
    </font>
    <font>
      <b/>
      <sz val="17"/>
      <color theme="1"/>
      <name val="Calibri"/>
      <charset val="134"/>
      <scheme val="minor"/>
    </font>
    <font>
      <sz val="17"/>
      <color theme="1"/>
      <name val="Calibri"/>
      <charset val="134"/>
      <scheme val="minor"/>
    </font>
    <font>
      <b/>
      <u/>
      <sz val="11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sz val="16"/>
      <color theme="1"/>
      <name val="Calibri"/>
      <charset val="134"/>
      <scheme val="minor"/>
    </font>
    <font>
      <sz val="14"/>
      <color theme="1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sz val="11"/>
      <color rgb="FF00610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theme="1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11"/>
      <color theme="1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sz val="11"/>
      <color rgb="FFFA7D00"/>
      <name val="Calibri"/>
      <charset val="0"/>
      <scheme val="minor"/>
    </font>
    <font>
      <sz val="11"/>
      <color rgb="FF9C6500"/>
      <name val="Calibri"/>
      <charset val="0"/>
      <scheme val="minor"/>
    </font>
    <font>
      <u/>
      <sz val="10"/>
      <color theme="10"/>
      <name val="Arial"/>
      <charset val="134"/>
    </font>
  </fonts>
  <fills count="3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/>
      <diagonal/>
    </border>
    <border>
      <left/>
      <right style="thick">
        <color rgb="FFFF0000"/>
      </right>
      <top/>
      <bottom/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0">
    <xf numFmtId="0" fontId="0" fillId="0" borderId="0"/>
    <xf numFmtId="0" fontId="24" fillId="18" borderId="0" applyNumberFormat="0" applyBorder="0" applyAlignment="0" applyProtection="0">
      <alignment vertical="center"/>
    </xf>
    <xf numFmtId="177" fontId="19" fillId="0" borderId="0" applyFont="0" applyFill="0" applyBorder="0" applyAlignment="0" applyProtection="0">
      <alignment vertical="center"/>
    </xf>
    <xf numFmtId="176" fontId="19" fillId="0" borderId="0" applyFont="0" applyFill="0" applyBorder="0" applyAlignment="0" applyProtection="0">
      <alignment vertical="center"/>
    </xf>
    <xf numFmtId="42" fontId="19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/>
    <xf numFmtId="9" fontId="19" fillId="0" borderId="0" applyFon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2" fillId="8" borderId="27" applyNumberFormat="0" applyAlignment="0" applyProtection="0">
      <alignment vertical="center"/>
    </xf>
    <xf numFmtId="0" fontId="33" fillId="0" borderId="30" applyNumberFormat="0" applyFill="0" applyAlignment="0" applyProtection="0">
      <alignment vertical="center"/>
    </xf>
    <xf numFmtId="0" fontId="19" fillId="22" borderId="33" applyNumberFormat="0" applyFont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31" fillId="0" borderId="30" applyNumberFormat="0" applyFill="0" applyAlignment="0" applyProtection="0">
      <alignment vertical="center"/>
    </xf>
    <xf numFmtId="0" fontId="32" fillId="0" borderId="31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8" fillId="14" borderId="26" applyNumberFormat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30" fillId="6" borderId="29" applyNumberFormat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16" fillId="6" borderId="26" applyNumberFormat="0" applyAlignment="0" applyProtection="0">
      <alignment vertical="center"/>
    </xf>
    <xf numFmtId="0" fontId="34" fillId="0" borderId="32" applyNumberFormat="0" applyFill="0" applyAlignment="0" applyProtection="0">
      <alignment vertical="center"/>
    </xf>
    <xf numFmtId="0" fontId="25" fillId="0" borderId="28" applyNumberFormat="0" applyFill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top"/>
      <protection locked="0"/>
    </xf>
  </cellStyleXfs>
  <cellXfs count="8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1" fillId="3" borderId="3" xfId="0" applyFont="1" applyFill="1" applyBorder="1"/>
    <xf numFmtId="178" fontId="0" fillId="0" borderId="3" xfId="0" applyNumberFormat="1" applyBorder="1"/>
    <xf numFmtId="0" fontId="1" fillId="4" borderId="3" xfId="0" applyFont="1" applyFill="1" applyBorder="1"/>
    <xf numFmtId="179" fontId="0" fillId="0" borderId="3" xfId="5" applyNumberFormat="1" applyFont="1" applyBorder="1"/>
    <xf numFmtId="0" fontId="0" fillId="2" borderId="4" xfId="0" applyFill="1" applyBorder="1"/>
    <xf numFmtId="0" fontId="1" fillId="4" borderId="3" xfId="0" applyFont="1" applyFill="1" applyBorder="1"/>
    <xf numFmtId="0" fontId="0" fillId="0" borderId="3" xfId="0" applyBorder="1"/>
    <xf numFmtId="0" fontId="2" fillId="0" borderId="0" xfId="0" applyFont="1"/>
    <xf numFmtId="178" fontId="0" fillId="0" borderId="0" xfId="0" applyNumberFormat="1"/>
    <xf numFmtId="178" fontId="0" fillId="0" borderId="5" xfId="0" applyNumberFormat="1" applyBorder="1"/>
    <xf numFmtId="178" fontId="0" fillId="0" borderId="6" xfId="0" applyNumberFormat="1" applyBorder="1"/>
    <xf numFmtId="0" fontId="3" fillId="0" borderId="0" xfId="0" applyFont="1"/>
    <xf numFmtId="8" fontId="0" fillId="0" borderId="0" xfId="0" applyNumberFormat="1"/>
    <xf numFmtId="8" fontId="0" fillId="0" borderId="7" xfId="0" applyNumberFormat="1" applyBorder="1"/>
    <xf numFmtId="8" fontId="0" fillId="0" borderId="8" xfId="0" applyNumberFormat="1" applyBorder="1"/>
    <xf numFmtId="3" fontId="0" fillId="0" borderId="3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58" fontId="0" fillId="0" borderId="0" xfId="0" applyNumberFormat="1"/>
    <xf numFmtId="179" fontId="0" fillId="0" borderId="0" xfId="5" applyNumberFormat="1" applyFont="1"/>
    <xf numFmtId="8" fontId="0" fillId="0" borderId="3" xfId="0" applyNumberFormat="1" applyBorder="1"/>
    <xf numFmtId="58" fontId="0" fillId="0" borderId="0" xfId="0" applyNumberFormat="1" applyBorder="1"/>
    <xf numFmtId="8" fontId="0" fillId="0" borderId="0" xfId="0" applyNumberFormat="1"/>
    <xf numFmtId="0" fontId="0" fillId="0" borderId="0" xfId="0" applyAlignment="1">
      <alignment wrapText="1"/>
    </xf>
    <xf numFmtId="0" fontId="0" fillId="0" borderId="3" xfId="0" applyBorder="1" applyAlignment="1"/>
    <xf numFmtId="4" fontId="0" fillId="0" borderId="0" xfId="0" applyNumberFormat="1"/>
    <xf numFmtId="0" fontId="2" fillId="0" borderId="0" xfId="0" applyFont="1" applyAlignment="1">
      <alignment horizontal="left" indent="1"/>
    </xf>
    <xf numFmtId="0" fontId="0" fillId="0" borderId="9" xfId="0" applyBorder="1"/>
    <xf numFmtId="0" fontId="0" fillId="0" borderId="10" xfId="0" applyBorder="1"/>
    <xf numFmtId="58" fontId="0" fillId="0" borderId="11" xfId="0" applyNumberFormat="1" applyBorder="1"/>
    <xf numFmtId="0" fontId="0" fillId="0" borderId="12" xfId="0" applyBorder="1"/>
    <xf numFmtId="0" fontId="2" fillId="0" borderId="5" xfId="0" applyFont="1" applyBorder="1"/>
    <xf numFmtId="0" fontId="2" fillId="0" borderId="6" xfId="0" applyFont="1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44" fontId="0" fillId="0" borderId="0" xfId="0" applyNumberFormat="1"/>
    <xf numFmtId="43" fontId="0" fillId="0" borderId="0" xfId="0" applyNumberFormat="1"/>
    <xf numFmtId="44" fontId="0" fillId="0" borderId="5" xfId="0" applyNumberFormat="1" applyBorder="1"/>
    <xf numFmtId="44" fontId="0" fillId="0" borderId="6" xfId="0" applyNumberFormat="1" applyBorder="1"/>
    <xf numFmtId="43" fontId="4" fillId="0" borderId="0" xfId="0" applyNumberFormat="1" applyFont="1"/>
    <xf numFmtId="0" fontId="2" fillId="0" borderId="0" xfId="0" applyFont="1" applyBorder="1"/>
    <xf numFmtId="44" fontId="4" fillId="0" borderId="0" xfId="0" applyNumberFormat="1" applyFont="1" applyBorder="1"/>
    <xf numFmtId="44" fontId="5" fillId="0" borderId="0" xfId="0" applyNumberFormat="1" applyFont="1" applyBorder="1"/>
    <xf numFmtId="43" fontId="6" fillId="0" borderId="0" xfId="0" applyNumberFormat="1" applyFont="1"/>
    <xf numFmtId="44" fontId="6" fillId="0" borderId="0" xfId="0" applyNumberFormat="1" applyFont="1" applyBorder="1"/>
    <xf numFmtId="44" fontId="7" fillId="0" borderId="0" xfId="0" applyNumberFormat="1" applyFont="1" applyBorder="1"/>
    <xf numFmtId="0" fontId="0" fillId="0" borderId="15" xfId="0" applyBorder="1"/>
    <xf numFmtId="44" fontId="0" fillId="0" borderId="12" xfId="5" applyFont="1" applyBorder="1"/>
    <xf numFmtId="44" fontId="0" fillId="0" borderId="16" xfId="5" applyFont="1" applyBorder="1"/>
    <xf numFmtId="44" fontId="0" fillId="0" borderId="14" xfId="5" applyFont="1" applyBorder="1"/>
    <xf numFmtId="44" fontId="0" fillId="0" borderId="17" xfId="5" applyFont="1" applyBorder="1"/>
    <xf numFmtId="58" fontId="0" fillId="0" borderId="3" xfId="0" applyNumberFormat="1" applyBorder="1"/>
    <xf numFmtId="44" fontId="0" fillId="0" borderId="3" xfId="5" applyFont="1" applyBorder="1"/>
    <xf numFmtId="0" fontId="0" fillId="4" borderId="0" xfId="0" applyFill="1"/>
    <xf numFmtId="0" fontId="8" fillId="5" borderId="18" xfId="0" applyFont="1" applyFill="1" applyBorder="1" applyAlignment="1">
      <alignment horizontal="centerContinuous"/>
    </xf>
    <xf numFmtId="0" fontId="0" fillId="5" borderId="19" xfId="0" applyFill="1" applyBorder="1" applyAlignment="1">
      <alignment horizontal="centerContinuous"/>
    </xf>
    <xf numFmtId="0" fontId="9" fillId="5" borderId="20" xfId="0" applyFont="1" applyFill="1" applyBorder="1" applyAlignment="1">
      <alignment horizontal="centerContinuous"/>
    </xf>
    <xf numFmtId="0" fontId="0" fillId="5" borderId="0" xfId="0" applyFill="1" applyBorder="1" applyAlignment="1">
      <alignment horizontal="centerContinuous"/>
    </xf>
    <xf numFmtId="0" fontId="0" fillId="5" borderId="0" xfId="0" applyFill="1" applyBorder="1"/>
    <xf numFmtId="0" fontId="10" fillId="5" borderId="20" xfId="0" applyFont="1" applyFill="1" applyBorder="1" applyAlignment="1">
      <alignment horizontal="centerContinuous"/>
    </xf>
    <xf numFmtId="0" fontId="11" fillId="5" borderId="0" xfId="0" applyFont="1" applyFill="1" applyBorder="1" applyAlignment="1">
      <alignment horizontal="centerContinuous"/>
    </xf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4" fillId="5" borderId="0" xfId="0" applyFont="1" applyFill="1" applyBorder="1"/>
    <xf numFmtId="8" fontId="4" fillId="5" borderId="0" xfId="0" applyNumberFormat="1" applyFont="1" applyFill="1" applyBorder="1"/>
    <xf numFmtId="0" fontId="0" fillId="5" borderId="0" xfId="0" applyFont="1" applyFill="1" applyBorder="1" applyAlignment="1">
      <alignment horizontal="centerContinuous"/>
    </xf>
    <xf numFmtId="0" fontId="12" fillId="5" borderId="0" xfId="0" applyFont="1" applyFill="1" applyBorder="1"/>
    <xf numFmtId="0" fontId="13" fillId="5" borderId="0" xfId="0" applyFont="1" applyFill="1" applyBorder="1" applyAlignment="1">
      <alignment horizontal="centerContinuous"/>
    </xf>
    <xf numFmtId="0" fontId="14" fillId="5" borderId="0" xfId="0" applyFont="1" applyFill="1" applyBorder="1"/>
    <xf numFmtId="0" fontId="0" fillId="5" borderId="23" xfId="0" applyFill="1" applyBorder="1" applyAlignment="1">
      <alignment horizontal="centerContinuous"/>
    </xf>
    <xf numFmtId="0" fontId="0" fillId="5" borderId="24" xfId="0" applyFill="1" applyBorder="1" applyAlignment="1">
      <alignment horizontal="centerContinuous"/>
    </xf>
    <xf numFmtId="0" fontId="11" fillId="5" borderId="24" xfId="0" applyFont="1" applyFill="1" applyBorder="1" applyAlignment="1">
      <alignment horizontal="centerContinuous"/>
    </xf>
    <xf numFmtId="0" fontId="15" fillId="5" borderId="0" xfId="0" applyFont="1" applyFill="1" applyBorder="1"/>
    <xf numFmtId="0" fontId="0" fillId="5" borderId="24" xfId="0" applyFill="1" applyBorder="1"/>
    <xf numFmtId="0" fontId="0" fillId="5" borderId="25" xfId="0" applyFill="1" applyBorder="1"/>
  </cellXfs>
  <cellStyles count="50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  <cellStyle name="Hyperlink 2" xfId="49"/>
  </cellStyles>
  <dxfs count="7">
    <dxf>
      <numFmt numFmtId="58" formatCode="m/d/yyyy"/>
    </dxf>
    <dxf>
      <numFmt numFmtId="178" formatCode="&quot;$&quot;#,##0.0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theme="0"/>
      </font>
      <fill>
        <patternFill patternType="solid">
          <bgColor rgb="FFFF0000"/>
        </patternFill>
      </fill>
    </dxf>
    <dxf>
      <font>
        <color rgb="FF006100"/>
      </font>
      <fill>
        <patternFill patternType="solid">
          <bgColor rgb="FFC6EFCE"/>
        </patternFill>
      </fill>
    </dxf>
    <dxf>
      <fill>
        <patternFill patternType="solid">
          <bgColor rgb="FF00FF99"/>
        </patternFill>
      </fill>
    </dxf>
  </dxfs>
  <tableStyles count="0" defaultTableStyle="TableStyleMedium2" defaultPivotStyle="PivotStyleLight16"/>
  <colors>
    <mruColors>
      <color rgb="0000FF00"/>
      <color rgb="0000FF99"/>
      <color rgb="000000FF"/>
      <color rgb="00FFFFCC"/>
      <color rgb="00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20" Type="http://schemas.openxmlformats.org/officeDocument/2006/relationships/styles" Target="styles.xml"/><Relationship Id="rId2" Type="http://schemas.openxmlformats.org/officeDocument/2006/relationships/worksheet" Target="worksheets/sheet2.xml"/><Relationship Id="rId19" Type="http://schemas.openxmlformats.org/officeDocument/2006/relationships/theme" Target="theme/theme1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15</xdr:col>
      <xdr:colOff>383541</xdr:colOff>
      <xdr:row>15</xdr:row>
      <xdr:rowOff>180138</xdr:rowOff>
    </xdr:from>
    <xdr:to>
      <xdr:col>17</xdr:col>
      <xdr:colOff>380800</xdr:colOff>
      <xdr:row>21</xdr:row>
      <xdr:rowOff>72098</xdr:rowOff>
    </xdr:to>
    <xdr:pic>
      <xdr:nvPicPr>
        <xdr:cNvPr id="6" name="Picture 5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13415" y="4237355"/>
          <a:ext cx="1196975" cy="1606550"/>
        </a:xfrm>
        <a:prstGeom prst="rect">
          <a:avLst/>
        </a:prstGeom>
      </xdr:spPr>
    </xdr:pic>
    <xdr:clientData/>
  </xdr:twoCellAnchor>
  <xdr:twoCellAnchor editAs="oneCell">
    <xdr:from>
      <xdr:col>1</xdr:col>
      <xdr:colOff>403411</xdr:colOff>
      <xdr:row>11</xdr:row>
      <xdr:rowOff>75838</xdr:rowOff>
    </xdr:from>
    <xdr:to>
      <xdr:col>14</xdr:col>
      <xdr:colOff>268941</xdr:colOff>
      <xdr:row>24</xdr:row>
      <xdr:rowOff>4159</xdr:rowOff>
    </xdr:to>
    <xdr:pic>
      <xdr:nvPicPr>
        <xdr:cNvPr id="8" name="Picture 7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300" y="3085465"/>
          <a:ext cx="9095105" cy="3547745"/>
        </a:xfrm>
        <a:prstGeom prst="rect">
          <a:avLst/>
        </a:prstGeom>
      </xdr:spPr>
    </xdr:pic>
    <xdr:clientData/>
  </xdr:twoCellAnchor>
  <xdr:twoCellAnchor editAs="oneCell">
    <xdr:from>
      <xdr:col>1</xdr:col>
      <xdr:colOff>425825</xdr:colOff>
      <xdr:row>2</xdr:row>
      <xdr:rowOff>168088</xdr:rowOff>
    </xdr:from>
    <xdr:to>
      <xdr:col>10</xdr:col>
      <xdr:colOff>1621289</xdr:colOff>
      <xdr:row>10</xdr:row>
      <xdr:rowOff>112059</xdr:rowOff>
    </xdr:to>
    <xdr:pic>
      <xdr:nvPicPr>
        <xdr:cNvPr id="3" name="Picture 2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5525" y="758190"/>
          <a:ext cx="6596380" cy="207772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alesAnswer" displayName="SalesAnswer" ref="A5:C12" totalsRowShown="0">
  <autoFilter ref="A5:C12"/>
  <tableColumns count="3">
    <tableColumn id="1" name="Date" dataDxfId="0"/>
    <tableColumn id="2" name="Product"/>
    <tableColumn id="3" name="Sales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FFFF00"/>
  </sheetPr>
  <dimension ref="A1:T27"/>
  <sheetViews>
    <sheetView zoomScale="97" zoomScaleNormal="97" topLeftCell="A11" workbookViewId="0">
      <selection activeCell="U1" sqref="U1"/>
    </sheetView>
  </sheetViews>
  <sheetFormatPr defaultColWidth="9" defaultRowHeight="15"/>
  <cols>
    <col min="11" max="11" width="30.4285714285714" customWidth="1"/>
    <col min="19" max="19" width="7.42857142857143" customWidth="1"/>
  </cols>
  <sheetData>
    <row r="1" ht="15.75" spans="1:20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</row>
    <row r="2" ht="30.75" spans="1:20">
      <c r="A2" s="57"/>
      <c r="B2" s="58" t="s">
        <v>0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74"/>
      <c r="T2" s="57"/>
    </row>
    <row r="3" ht="23.25" spans="1:20">
      <c r="A3" s="57"/>
      <c r="B3" s="60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75"/>
      <c r="T3" s="57"/>
    </row>
    <row r="4" ht="23.25" spans="1:20">
      <c r="A4" s="57"/>
      <c r="B4" s="60"/>
      <c r="C4" s="61"/>
      <c r="D4" s="61"/>
      <c r="E4" s="61"/>
      <c r="F4" s="61"/>
      <c r="G4" s="61"/>
      <c r="H4" s="62"/>
      <c r="I4" s="62"/>
      <c r="J4" s="68"/>
      <c r="K4" s="69"/>
      <c r="L4" s="70"/>
      <c r="M4" s="71" t="s">
        <v>1</v>
      </c>
      <c r="N4" s="72"/>
      <c r="O4" s="61"/>
      <c r="P4" s="73" t="s">
        <v>2</v>
      </c>
      <c r="Q4" s="61"/>
      <c r="R4" s="61"/>
      <c r="S4" s="75"/>
      <c r="T4" s="57"/>
    </row>
    <row r="5" ht="22.5" spans="1:20">
      <c r="A5" s="57"/>
      <c r="B5" s="63"/>
      <c r="C5" s="64"/>
      <c r="D5" s="64"/>
      <c r="E5" s="64"/>
      <c r="F5" s="64"/>
      <c r="G5" s="64"/>
      <c r="H5" s="62"/>
      <c r="I5" s="62"/>
      <c r="J5" s="68"/>
      <c r="K5" s="69"/>
      <c r="L5" s="68">
        <v>1</v>
      </c>
      <c r="M5" s="69" t="str">
        <f>'Accounting Style (an)'!A1</f>
        <v>Example 1: Accounting Style Formatting</v>
      </c>
      <c r="N5" s="72"/>
      <c r="O5" s="64"/>
      <c r="P5" s="64"/>
      <c r="Q5" s="64"/>
      <c r="R5" s="64"/>
      <c r="S5" s="76"/>
      <c r="T5" s="57"/>
    </row>
    <row r="6" ht="22.5" spans="1:20">
      <c r="A6" s="57"/>
      <c r="B6" s="63"/>
      <c r="C6" s="64"/>
      <c r="D6" s="64"/>
      <c r="E6" s="64"/>
      <c r="F6" s="64"/>
      <c r="G6" s="64"/>
      <c r="H6" s="62"/>
      <c r="I6" s="62"/>
      <c r="J6" s="68"/>
      <c r="K6" s="69"/>
      <c r="L6" s="68">
        <v>2</v>
      </c>
      <c r="M6" s="69" t="str">
        <f>'Accounting Style (an)'!G1</f>
        <v>Example 2: Accounting Borders</v>
      </c>
      <c r="N6" s="72"/>
      <c r="O6" s="62"/>
      <c r="P6" s="64"/>
      <c r="Q6" s="77"/>
      <c r="R6" s="62"/>
      <c r="S6" s="78"/>
      <c r="T6" s="57"/>
    </row>
    <row r="7" ht="15.75" spans="1:20">
      <c r="A7" s="57"/>
      <c r="B7" s="65"/>
      <c r="C7" s="62"/>
      <c r="D7" s="62"/>
      <c r="E7" s="62"/>
      <c r="F7" s="62"/>
      <c r="G7" s="62"/>
      <c r="H7" s="62"/>
      <c r="I7" s="62"/>
      <c r="J7" s="68"/>
      <c r="K7" s="69"/>
      <c r="L7" s="68">
        <v>3</v>
      </c>
      <c r="M7" s="69" t="str">
        <f>'Column W'!A1</f>
        <v>Example 3: Column widths!!</v>
      </c>
      <c r="N7" s="72"/>
      <c r="O7" s="62"/>
      <c r="P7" s="62"/>
      <c r="Q7" s="62"/>
      <c r="R7" s="62"/>
      <c r="S7" s="78"/>
      <c r="T7" s="57"/>
    </row>
    <row r="8" ht="15.75" spans="1:20">
      <c r="A8" s="57"/>
      <c r="B8" s="65"/>
      <c r="C8" s="62"/>
      <c r="D8" s="62"/>
      <c r="E8" s="62"/>
      <c r="F8" s="62"/>
      <c r="G8" s="62"/>
      <c r="H8" s="62"/>
      <c r="I8" s="62"/>
      <c r="J8" s="68"/>
      <c r="K8" s="69"/>
      <c r="L8" s="68">
        <v>4</v>
      </c>
      <c r="M8" s="69" t="str">
        <f>'Wrap Text'!A1</f>
        <v>Example 4: Wrap Text in Cell: Multiple Lines in a Cell</v>
      </c>
      <c r="N8" s="72"/>
      <c r="O8" s="62"/>
      <c r="P8" s="62"/>
      <c r="Q8" s="62"/>
      <c r="R8" s="62"/>
      <c r="S8" s="78"/>
      <c r="T8" s="57"/>
    </row>
    <row r="9" ht="22.5" spans="1:20">
      <c r="A9" s="57"/>
      <c r="B9" s="65"/>
      <c r="C9" s="62"/>
      <c r="D9" s="62"/>
      <c r="E9" s="62"/>
      <c r="F9" s="62"/>
      <c r="G9" s="62"/>
      <c r="H9" s="62"/>
      <c r="I9" s="62"/>
      <c r="J9" s="68"/>
      <c r="K9" s="69"/>
      <c r="L9" s="68">
        <v>5</v>
      </c>
      <c r="M9" s="69" t="str">
        <f>'Table (an)'!A1</f>
        <v>Example 5: Table Format button (Converts to Excel table)</v>
      </c>
      <c r="N9" s="64"/>
      <c r="O9" s="62"/>
      <c r="P9" s="62"/>
      <c r="Q9" s="62"/>
      <c r="R9" s="62"/>
      <c r="S9" s="78"/>
      <c r="T9" s="57"/>
    </row>
    <row r="10" ht="22.5" spans="1:20">
      <c r="A10" s="57"/>
      <c r="B10" s="65"/>
      <c r="C10" s="62"/>
      <c r="D10" s="62"/>
      <c r="E10" s="62"/>
      <c r="F10" s="62"/>
      <c r="G10" s="62"/>
      <c r="H10" s="62"/>
      <c r="I10" s="62"/>
      <c r="J10" s="68"/>
      <c r="K10" s="69"/>
      <c r="L10" s="68">
        <v>6</v>
      </c>
      <c r="M10" s="69" t="str">
        <f>'Cell (an)'!A1</f>
        <v>Example 6: Cell Styles</v>
      </c>
      <c r="N10" s="64"/>
      <c r="O10" s="62"/>
      <c r="P10" s="62"/>
      <c r="Q10" s="62"/>
      <c r="R10" s="62"/>
      <c r="S10" s="78"/>
      <c r="T10" s="57"/>
    </row>
    <row r="11" ht="22.5" spans="1:20">
      <c r="A11" s="57"/>
      <c r="B11" s="65"/>
      <c r="C11" s="62"/>
      <c r="D11" s="62"/>
      <c r="E11" s="62"/>
      <c r="F11" s="62"/>
      <c r="G11" s="62"/>
      <c r="H11" s="62"/>
      <c r="I11" s="62"/>
      <c r="J11" s="68"/>
      <c r="K11" s="69"/>
      <c r="L11" s="68">
        <v>7</v>
      </c>
      <c r="M11" s="69" t="str">
        <f>'CF (an)'!A1</f>
        <v>Example 7: Built-in Conditional Formatting to Visualize Data</v>
      </c>
      <c r="N11" s="64"/>
      <c r="O11" s="62"/>
      <c r="P11" s="62"/>
      <c r="Q11" s="62"/>
      <c r="R11" s="62"/>
      <c r="S11" s="78"/>
      <c r="T11" s="57"/>
    </row>
    <row r="12" spans="1:20">
      <c r="A12" s="57"/>
      <c r="B12" s="65"/>
      <c r="C12" s="62"/>
      <c r="D12" s="62"/>
      <c r="E12" s="62"/>
      <c r="F12" s="62"/>
      <c r="G12" s="62"/>
      <c r="H12" s="62"/>
      <c r="I12" s="62"/>
      <c r="J12" s="68"/>
      <c r="K12" s="69"/>
      <c r="L12" s="69"/>
      <c r="M12" s="69"/>
      <c r="N12" s="69"/>
      <c r="O12" s="62"/>
      <c r="P12" s="62"/>
      <c r="Q12" s="62"/>
      <c r="R12" s="62"/>
      <c r="S12" s="78"/>
      <c r="T12" s="57"/>
    </row>
    <row r="13" ht="22.5" spans="1:20">
      <c r="A13" s="57"/>
      <c r="B13" s="65"/>
      <c r="C13" s="62"/>
      <c r="D13" s="62"/>
      <c r="E13" s="62"/>
      <c r="F13" s="62"/>
      <c r="G13" s="62"/>
      <c r="H13" s="62"/>
      <c r="I13" s="62"/>
      <c r="J13" s="68"/>
      <c r="K13" s="69"/>
      <c r="L13" s="68"/>
      <c r="M13" s="69"/>
      <c r="N13" s="64"/>
      <c r="O13" s="62"/>
      <c r="P13" s="62"/>
      <c r="Q13" s="62"/>
      <c r="R13" s="62"/>
      <c r="S13" s="78"/>
      <c r="T13" s="57"/>
    </row>
    <row r="14" ht="22.5" spans="1:20">
      <c r="A14" s="57"/>
      <c r="B14" s="65"/>
      <c r="C14" s="62"/>
      <c r="D14" s="62"/>
      <c r="E14" s="62"/>
      <c r="F14" s="62"/>
      <c r="G14" s="62"/>
      <c r="H14" s="62"/>
      <c r="I14" s="62"/>
      <c r="J14" s="68"/>
      <c r="K14" s="69"/>
      <c r="L14" s="68"/>
      <c r="M14" s="69"/>
      <c r="N14" s="64"/>
      <c r="O14" s="62"/>
      <c r="P14" s="62"/>
      <c r="Q14" s="62"/>
      <c r="R14" s="62"/>
      <c r="S14" s="78"/>
      <c r="T14" s="57"/>
    </row>
    <row r="15" ht="22.5" spans="1:20">
      <c r="A15" s="57"/>
      <c r="B15" s="65"/>
      <c r="C15" s="62"/>
      <c r="D15" s="62"/>
      <c r="E15" s="62"/>
      <c r="F15" s="62"/>
      <c r="G15" s="62"/>
      <c r="H15" s="62"/>
      <c r="I15" s="62"/>
      <c r="J15" s="68"/>
      <c r="K15" s="69"/>
      <c r="L15" s="68"/>
      <c r="M15" s="69"/>
      <c r="N15" s="64"/>
      <c r="O15" s="62"/>
      <c r="P15" s="62"/>
      <c r="Q15" s="62"/>
      <c r="R15" s="62"/>
      <c r="S15" s="78"/>
      <c r="T15" s="57"/>
    </row>
    <row r="16" ht="22.5" spans="1:20">
      <c r="A16" s="57"/>
      <c r="B16" s="65"/>
      <c r="C16" s="62"/>
      <c r="D16" s="62"/>
      <c r="E16" s="62"/>
      <c r="F16" s="62"/>
      <c r="G16" s="62"/>
      <c r="H16" s="62"/>
      <c r="I16" s="62"/>
      <c r="J16" s="68"/>
      <c r="K16" s="69"/>
      <c r="L16" s="62"/>
      <c r="M16" s="62"/>
      <c r="N16" s="64"/>
      <c r="O16" s="62"/>
      <c r="P16" s="62"/>
      <c r="Q16" s="62"/>
      <c r="R16" s="62"/>
      <c r="S16" s="78"/>
      <c r="T16" s="57"/>
    </row>
    <row r="17" ht="22.5" spans="1:20">
      <c r="A17" s="57"/>
      <c r="B17" s="65"/>
      <c r="C17" s="62"/>
      <c r="D17" s="62"/>
      <c r="E17" s="62"/>
      <c r="F17" s="62"/>
      <c r="G17" s="62"/>
      <c r="H17" s="62"/>
      <c r="I17" s="62"/>
      <c r="J17" s="68"/>
      <c r="K17" s="69"/>
      <c r="L17" s="62"/>
      <c r="M17" s="62"/>
      <c r="N17" s="64"/>
      <c r="O17" s="62"/>
      <c r="P17" s="62"/>
      <c r="Q17" s="62"/>
      <c r="R17" s="62"/>
      <c r="S17" s="78"/>
      <c r="T17" s="57"/>
    </row>
    <row r="18" ht="22.5" spans="1:20">
      <c r="A18" s="57"/>
      <c r="B18" s="65"/>
      <c r="C18" s="62"/>
      <c r="D18" s="62"/>
      <c r="E18" s="62"/>
      <c r="F18" s="62"/>
      <c r="G18" s="62"/>
      <c r="H18" s="62"/>
      <c r="I18" s="62"/>
      <c r="J18" s="68"/>
      <c r="K18" s="69"/>
      <c r="L18" s="62"/>
      <c r="M18" s="62"/>
      <c r="N18" s="64"/>
      <c r="O18" s="62"/>
      <c r="P18" s="62"/>
      <c r="Q18" s="62"/>
      <c r="R18" s="62"/>
      <c r="S18" s="78"/>
      <c r="T18" s="57"/>
    </row>
    <row r="19" ht="22.5" spans="1:20">
      <c r="A19" s="57"/>
      <c r="B19" s="65"/>
      <c r="C19" s="62"/>
      <c r="D19" s="62"/>
      <c r="E19" s="62"/>
      <c r="F19" s="62"/>
      <c r="G19" s="62"/>
      <c r="H19" s="62"/>
      <c r="I19" s="62"/>
      <c r="J19" s="68"/>
      <c r="K19" s="69"/>
      <c r="L19" s="62"/>
      <c r="M19" s="62"/>
      <c r="N19" s="64"/>
      <c r="O19" s="62"/>
      <c r="P19" s="62"/>
      <c r="Q19" s="62"/>
      <c r="R19" s="62"/>
      <c r="S19" s="78"/>
      <c r="T19" s="57"/>
    </row>
    <row r="20" ht="22.5" spans="1:20">
      <c r="A20" s="57"/>
      <c r="B20" s="65"/>
      <c r="C20" s="62"/>
      <c r="D20" s="62"/>
      <c r="E20" s="62"/>
      <c r="F20" s="62"/>
      <c r="G20" s="62"/>
      <c r="H20" s="62"/>
      <c r="I20" s="62"/>
      <c r="J20" s="68"/>
      <c r="K20" s="69"/>
      <c r="L20" s="62"/>
      <c r="M20" s="62"/>
      <c r="N20" s="64"/>
      <c r="O20" s="62"/>
      <c r="P20" s="62"/>
      <c r="Q20" s="62"/>
      <c r="R20" s="62"/>
      <c r="S20" s="78"/>
      <c r="T20" s="57"/>
    </row>
    <row r="21" ht="22.5" spans="1:20">
      <c r="A21" s="57"/>
      <c r="B21" s="65"/>
      <c r="C21" s="62"/>
      <c r="D21" s="62"/>
      <c r="E21" s="62"/>
      <c r="F21" s="62"/>
      <c r="G21" s="62"/>
      <c r="H21" s="62"/>
      <c r="I21" s="62"/>
      <c r="J21" s="68"/>
      <c r="K21" s="69"/>
      <c r="L21" s="62"/>
      <c r="M21" s="62"/>
      <c r="N21" s="64"/>
      <c r="O21" s="62"/>
      <c r="P21" s="62"/>
      <c r="Q21" s="62"/>
      <c r="R21" s="62"/>
      <c r="S21" s="78"/>
      <c r="T21" s="57"/>
    </row>
    <row r="22" ht="22.5" spans="1:20">
      <c r="A22" s="57"/>
      <c r="B22" s="65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4"/>
      <c r="O22" s="62"/>
      <c r="P22" s="62"/>
      <c r="Q22" s="62"/>
      <c r="R22" s="62"/>
      <c r="S22" s="78"/>
      <c r="T22" s="57"/>
    </row>
    <row r="23" ht="22.5" spans="1:20">
      <c r="A23" s="57"/>
      <c r="B23" s="65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4"/>
      <c r="O23" s="62"/>
      <c r="P23" s="62"/>
      <c r="Q23" s="62"/>
      <c r="R23" s="62"/>
      <c r="S23" s="78"/>
      <c r="T23" s="57"/>
    </row>
    <row r="24" ht="22.5" spans="1:20">
      <c r="A24" s="57"/>
      <c r="B24" s="65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4"/>
      <c r="O24" s="62"/>
      <c r="P24" s="62"/>
      <c r="Q24" s="62"/>
      <c r="R24" s="62"/>
      <c r="S24" s="78"/>
      <c r="T24" s="57"/>
    </row>
    <row r="25" ht="15.75" spans="1:20">
      <c r="A25" s="57"/>
      <c r="B25" s="66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79"/>
      <c r="T25" s="57"/>
    </row>
    <row r="26" ht="15.75" spans="1:20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</row>
    <row r="27" spans="1:20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</row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L39"/>
  <sheetViews>
    <sheetView zoomScale="85" zoomScaleNormal="85" workbookViewId="0">
      <selection activeCell="G5" sqref="G5"/>
    </sheetView>
  </sheetViews>
  <sheetFormatPr defaultColWidth="9" defaultRowHeight="15"/>
  <cols>
    <col min="1" max="1" width="23.2857142857143" customWidth="1"/>
    <col min="2" max="5" width="11.2857142857143" customWidth="1"/>
    <col min="7" max="12" width="13.7142857142857" customWidth="1"/>
  </cols>
  <sheetData>
    <row r="1" spans="1:7">
      <c r="A1" s="10" t="s">
        <v>3</v>
      </c>
      <c r="G1" s="10" t="s">
        <v>4</v>
      </c>
    </row>
    <row r="3" spans="2:5">
      <c r="B3" t="s">
        <v>5</v>
      </c>
      <c r="C3" t="s">
        <v>6</v>
      </c>
      <c r="D3" t="s">
        <v>7</v>
      </c>
      <c r="E3" t="s">
        <v>8</v>
      </c>
    </row>
    <row r="4" spans="1:5">
      <c r="A4" t="s">
        <v>9</v>
      </c>
      <c r="B4">
        <v>5689</v>
      </c>
      <c r="C4">
        <v>2569</v>
      </c>
      <c r="D4">
        <v>6587</v>
      </c>
      <c r="E4">
        <v>8700</v>
      </c>
    </row>
    <row r="5" spans="1:12">
      <c r="A5" t="s">
        <v>10</v>
      </c>
      <c r="B5">
        <v>1801.15</v>
      </c>
      <c r="C5">
        <v>2099.15</v>
      </c>
      <c r="D5">
        <v>4100.3</v>
      </c>
      <c r="E5">
        <v>4245</v>
      </c>
      <c r="G5" s="19" t="s">
        <v>11</v>
      </c>
      <c r="H5" s="19" t="s">
        <v>12</v>
      </c>
      <c r="I5" s="19" t="s">
        <v>13</v>
      </c>
      <c r="J5" s="19" t="s">
        <v>14</v>
      </c>
      <c r="K5" s="19" t="s">
        <v>15</v>
      </c>
      <c r="L5" s="19" t="s">
        <v>16</v>
      </c>
    </row>
    <row r="6" spans="1:12">
      <c r="A6" t="s">
        <v>17</v>
      </c>
      <c r="B6">
        <v>537.8</v>
      </c>
      <c r="C6">
        <v>513.8</v>
      </c>
      <c r="D6">
        <v>1617.4</v>
      </c>
      <c r="E6">
        <v>1740</v>
      </c>
      <c r="G6" s="55">
        <v>41548</v>
      </c>
      <c r="H6" s="19"/>
      <c r="I6" s="19"/>
      <c r="J6" s="56"/>
      <c r="K6" s="56"/>
      <c r="L6" s="56">
        <v>5000.5</v>
      </c>
    </row>
    <row r="7" spans="1:12">
      <c r="A7" t="s">
        <v>18</v>
      </c>
      <c r="B7">
        <v>253.35</v>
      </c>
      <c r="C7">
        <v>385.35</v>
      </c>
      <c r="D7">
        <f>D4-D5-D6</f>
        <v>869.3</v>
      </c>
      <c r="E7">
        <v>1305</v>
      </c>
      <c r="G7" s="55">
        <v>41550</v>
      </c>
      <c r="H7" s="19">
        <v>2150</v>
      </c>
      <c r="I7" s="19" t="s">
        <v>19</v>
      </c>
      <c r="J7" s="56">
        <v>500</v>
      </c>
      <c r="K7" s="56"/>
      <c r="L7" s="56">
        <f t="shared" ref="L7:L12" si="0">IF(G7&lt;&gt;"",L6+K7-J7,"")</f>
        <v>4500.5</v>
      </c>
    </row>
    <row r="8" spans="1:12">
      <c r="A8" t="s">
        <v>20</v>
      </c>
      <c r="B8">
        <f t="shared" ref="B8:E8" si="1">SUM(B5:B7)</f>
        <v>2592.3</v>
      </c>
      <c r="C8">
        <f t="shared" si="1"/>
        <v>2998.3</v>
      </c>
      <c r="D8">
        <f t="shared" si="1"/>
        <v>6587</v>
      </c>
      <c r="E8">
        <f t="shared" si="1"/>
        <v>7290</v>
      </c>
      <c r="G8" s="55">
        <v>41550</v>
      </c>
      <c r="H8" s="19" t="s">
        <v>21</v>
      </c>
      <c r="I8" s="19" t="s">
        <v>22</v>
      </c>
      <c r="J8" s="56">
        <v>120</v>
      </c>
      <c r="K8" s="56"/>
      <c r="L8" s="56">
        <f t="shared" si="0"/>
        <v>4380.5</v>
      </c>
    </row>
    <row r="9" spans="1:12">
      <c r="A9" t="s">
        <v>23</v>
      </c>
      <c r="B9">
        <f t="shared" ref="B9:E9" si="2">B4-B8</f>
        <v>3096.7</v>
      </c>
      <c r="C9">
        <f t="shared" si="2"/>
        <v>-429.3</v>
      </c>
      <c r="D9">
        <f t="shared" si="2"/>
        <v>0</v>
      </c>
      <c r="E9">
        <f t="shared" si="2"/>
        <v>1410</v>
      </c>
      <c r="G9" s="55">
        <v>41551</v>
      </c>
      <c r="H9" s="19"/>
      <c r="I9" s="19" t="s">
        <v>24</v>
      </c>
      <c r="J9" s="56"/>
      <c r="K9" s="56">
        <v>654.25</v>
      </c>
      <c r="L9" s="56">
        <f t="shared" si="0"/>
        <v>5034.75</v>
      </c>
    </row>
    <row r="10" spans="7:12">
      <c r="G10" s="19"/>
      <c r="H10" s="19"/>
      <c r="I10" s="19"/>
      <c r="J10" s="56"/>
      <c r="K10" s="56"/>
      <c r="L10" s="56" t="str">
        <f t="shared" si="0"/>
        <v/>
      </c>
    </row>
    <row r="11" spans="3:12">
      <c r="C11" t="s">
        <v>25</v>
      </c>
      <c r="G11" s="19"/>
      <c r="H11" s="19"/>
      <c r="I11" s="19"/>
      <c r="J11" s="56"/>
      <c r="K11" s="56"/>
      <c r="L11" s="56" t="str">
        <f t="shared" si="0"/>
        <v/>
      </c>
    </row>
    <row r="12" spans="7:12">
      <c r="G12" s="19"/>
      <c r="H12" s="19"/>
      <c r="I12" s="19"/>
      <c r="J12" s="56"/>
      <c r="K12" s="56"/>
      <c r="L12" s="56" t="str">
        <f t="shared" si="0"/>
        <v/>
      </c>
    </row>
    <row r="13" spans="2:5">
      <c r="B13" t="s">
        <v>5</v>
      </c>
      <c r="C13" t="s">
        <v>6</v>
      </c>
      <c r="D13" t="s">
        <v>7</v>
      </c>
      <c r="E13" t="s">
        <v>8</v>
      </c>
    </row>
    <row r="14" spans="1:5">
      <c r="A14" t="s">
        <v>9</v>
      </c>
      <c r="B14">
        <v>5689</v>
      </c>
      <c r="C14">
        <v>2569</v>
      </c>
      <c r="D14">
        <v>6587</v>
      </c>
      <c r="E14">
        <v>8700</v>
      </c>
    </row>
    <row r="15" spans="1:5">
      <c r="A15" t="s">
        <v>10</v>
      </c>
      <c r="B15">
        <v>1801.15</v>
      </c>
      <c r="C15">
        <v>2099.15</v>
      </c>
      <c r="D15">
        <v>4100.3</v>
      </c>
      <c r="E15">
        <v>4245</v>
      </c>
    </row>
    <row r="16" spans="1:5">
      <c r="A16" t="s">
        <v>17</v>
      </c>
      <c r="B16">
        <v>537.8</v>
      </c>
      <c r="C16">
        <v>513.8</v>
      </c>
      <c r="D16">
        <v>1617.4</v>
      </c>
      <c r="E16">
        <v>1740</v>
      </c>
    </row>
    <row r="17" spans="1:5">
      <c r="A17" t="s">
        <v>18</v>
      </c>
      <c r="B17">
        <v>253.35</v>
      </c>
      <c r="C17">
        <v>385.35</v>
      </c>
      <c r="D17">
        <f>D14-D15-D16</f>
        <v>869.3</v>
      </c>
      <c r="E17">
        <v>1305</v>
      </c>
    </row>
    <row r="18" spans="1:5">
      <c r="A18" t="s">
        <v>20</v>
      </c>
      <c r="B18">
        <f t="shared" ref="B18:E18" si="3">SUM(B15:B17)</f>
        <v>2592.3</v>
      </c>
      <c r="C18">
        <f t="shared" si="3"/>
        <v>2998.3</v>
      </c>
      <c r="D18">
        <f t="shared" si="3"/>
        <v>6587</v>
      </c>
      <c r="E18">
        <f t="shared" si="3"/>
        <v>7290</v>
      </c>
    </row>
    <row r="19" spans="1:5">
      <c r="A19" t="s">
        <v>23</v>
      </c>
      <c r="B19">
        <f t="shared" ref="B19:E19" si="4">B14-B18</f>
        <v>3096.7</v>
      </c>
      <c r="C19">
        <f t="shared" si="4"/>
        <v>-429.3</v>
      </c>
      <c r="D19">
        <f t="shared" si="4"/>
        <v>0</v>
      </c>
      <c r="E19">
        <f t="shared" si="4"/>
        <v>1410</v>
      </c>
    </row>
    <row r="21" spans="3:3">
      <c r="C21" t="s">
        <v>25</v>
      </c>
    </row>
    <row r="23" spans="2:5">
      <c r="B23" t="s">
        <v>5</v>
      </c>
      <c r="C23" t="s">
        <v>6</v>
      </c>
      <c r="D23" t="s">
        <v>7</v>
      </c>
      <c r="E23" t="s">
        <v>8</v>
      </c>
    </row>
    <row r="24" spans="1:5">
      <c r="A24" t="s">
        <v>9</v>
      </c>
      <c r="B24">
        <v>5689</v>
      </c>
      <c r="C24">
        <v>2569</v>
      </c>
      <c r="D24">
        <v>6587</v>
      </c>
      <c r="E24">
        <v>8700</v>
      </c>
    </row>
    <row r="25" spans="1:5">
      <c r="A25" t="s">
        <v>10</v>
      </c>
      <c r="B25">
        <v>1801.15</v>
      </c>
      <c r="C25">
        <v>2099.15</v>
      </c>
      <c r="D25">
        <v>4100.3</v>
      </c>
      <c r="E25">
        <v>4245</v>
      </c>
    </row>
    <row r="26" spans="1:5">
      <c r="A26" t="s">
        <v>17</v>
      </c>
      <c r="B26">
        <v>537.8</v>
      </c>
      <c r="C26">
        <v>513.8</v>
      </c>
      <c r="D26">
        <v>1617.4</v>
      </c>
      <c r="E26">
        <v>1740</v>
      </c>
    </row>
    <row r="27" spans="1:5">
      <c r="A27" t="s">
        <v>18</v>
      </c>
      <c r="B27">
        <v>253.35</v>
      </c>
      <c r="C27">
        <v>385.35</v>
      </c>
      <c r="D27">
        <f>D24-D25-D26</f>
        <v>869.3</v>
      </c>
      <c r="E27">
        <v>1305</v>
      </c>
    </row>
    <row r="28" spans="1:5">
      <c r="A28" t="s">
        <v>20</v>
      </c>
      <c r="B28">
        <f t="shared" ref="B28:E28" si="5">SUM(B25:B27)</f>
        <v>2592.3</v>
      </c>
      <c r="C28">
        <f t="shared" si="5"/>
        <v>2998.3</v>
      </c>
      <c r="D28">
        <f t="shared" si="5"/>
        <v>6587</v>
      </c>
      <c r="E28">
        <f t="shared" si="5"/>
        <v>7290</v>
      </c>
    </row>
    <row r="29" spans="1:5">
      <c r="A29" t="s">
        <v>23</v>
      </c>
      <c r="B29">
        <f t="shared" ref="B29:E29" si="6">B24-B28</f>
        <v>3096.7</v>
      </c>
      <c r="C29">
        <f t="shared" si="6"/>
        <v>-429.3</v>
      </c>
      <c r="D29">
        <f t="shared" si="6"/>
        <v>0</v>
      </c>
      <c r="E29">
        <f t="shared" si="6"/>
        <v>1410</v>
      </c>
    </row>
    <row r="31" spans="3:3">
      <c r="C31" t="s">
        <v>25</v>
      </c>
    </row>
    <row r="33" spans="2:5">
      <c r="B33" t="s">
        <v>5</v>
      </c>
      <c r="C33" t="s">
        <v>6</v>
      </c>
      <c r="D33" t="s">
        <v>7</v>
      </c>
      <c r="E33" t="s">
        <v>8</v>
      </c>
    </row>
    <row r="34" spans="1:5">
      <c r="A34" t="s">
        <v>9</v>
      </c>
      <c r="B34">
        <v>5689</v>
      </c>
      <c r="C34">
        <v>2569</v>
      </c>
      <c r="D34">
        <v>6587</v>
      </c>
      <c r="E34">
        <v>8700</v>
      </c>
    </row>
    <row r="35" spans="1:5">
      <c r="A35" t="s">
        <v>10</v>
      </c>
      <c r="B35">
        <v>1801.15</v>
      </c>
      <c r="C35">
        <v>2099.15</v>
      </c>
      <c r="D35">
        <v>4100.3</v>
      </c>
      <c r="E35">
        <v>4245</v>
      </c>
    </row>
    <row r="36" spans="1:5">
      <c r="A36" t="s">
        <v>17</v>
      </c>
      <c r="B36">
        <v>537.8</v>
      </c>
      <c r="C36">
        <v>513.8</v>
      </c>
      <c r="D36">
        <v>1617.4</v>
      </c>
      <c r="E36">
        <v>1740</v>
      </c>
    </row>
    <row r="37" spans="1:5">
      <c r="A37" t="s">
        <v>18</v>
      </c>
      <c r="B37">
        <v>253.35</v>
      </c>
      <c r="C37">
        <v>385.35</v>
      </c>
      <c r="D37">
        <f>D34-D35-D36</f>
        <v>869.3</v>
      </c>
      <c r="E37">
        <v>1305</v>
      </c>
    </row>
    <row r="38" spans="1:5">
      <c r="A38" t="s">
        <v>20</v>
      </c>
      <c r="B38">
        <f t="shared" ref="B38:E38" si="7">SUM(B35:B37)</f>
        <v>2592.3</v>
      </c>
      <c r="C38">
        <f t="shared" si="7"/>
        <v>2998.3</v>
      </c>
      <c r="D38">
        <f t="shared" si="7"/>
        <v>6587</v>
      </c>
      <c r="E38">
        <f t="shared" si="7"/>
        <v>7290</v>
      </c>
    </row>
    <row r="39" spans="1:5">
      <c r="A39" t="s">
        <v>23</v>
      </c>
      <c r="B39">
        <f t="shared" ref="B39:E39" si="8">B34-B38</f>
        <v>3096.7</v>
      </c>
      <c r="C39">
        <f t="shared" si="8"/>
        <v>-429.3</v>
      </c>
      <c r="D39">
        <f t="shared" si="8"/>
        <v>0</v>
      </c>
      <c r="E39">
        <f t="shared" si="8"/>
        <v>1410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L39"/>
  <sheetViews>
    <sheetView zoomScale="85" zoomScaleNormal="85" workbookViewId="0">
      <selection activeCell="G16" sqref="G16"/>
    </sheetView>
  </sheetViews>
  <sheetFormatPr defaultColWidth="9" defaultRowHeight="15"/>
  <cols>
    <col min="1" max="1" width="23.2857142857143" customWidth="1"/>
    <col min="2" max="5" width="11.2857142857143" customWidth="1"/>
    <col min="6" max="6" width="9.14285714285714"/>
    <col min="7" max="12" width="13.7142857142857" customWidth="1"/>
    <col min="13" max="16384" width="9.14285714285714"/>
  </cols>
  <sheetData>
    <row r="1" spans="1:7">
      <c r="A1" s="10" t="s">
        <v>3</v>
      </c>
      <c r="G1" s="10" t="s">
        <v>4</v>
      </c>
    </row>
    <row r="3" spans="2:5">
      <c r="B3" s="10" t="s">
        <v>5</v>
      </c>
      <c r="C3" s="10" t="s">
        <v>6</v>
      </c>
      <c r="D3" s="10" t="s">
        <v>7</v>
      </c>
      <c r="E3" s="10" t="s">
        <v>8</v>
      </c>
    </row>
    <row r="4" ht="15.75" spans="1:5">
      <c r="A4" s="10" t="s">
        <v>9</v>
      </c>
      <c r="B4" s="11">
        <v>5689</v>
      </c>
      <c r="C4" s="11">
        <v>2569</v>
      </c>
      <c r="D4" s="11">
        <v>6587</v>
      </c>
      <c r="E4" s="11">
        <v>8700</v>
      </c>
    </row>
    <row r="5" ht="15.75" spans="1:12">
      <c r="A5" s="29" t="s">
        <v>10</v>
      </c>
      <c r="B5" s="28">
        <v>1801.15</v>
      </c>
      <c r="C5" s="28">
        <v>2099.15</v>
      </c>
      <c r="D5" s="28">
        <v>4100.3</v>
      </c>
      <c r="E5" s="28">
        <v>4245</v>
      </c>
      <c r="G5" s="30" t="s">
        <v>11</v>
      </c>
      <c r="H5" s="31" t="s">
        <v>12</v>
      </c>
      <c r="I5" s="31" t="s">
        <v>13</v>
      </c>
      <c r="J5" s="31" t="s">
        <v>14</v>
      </c>
      <c r="K5" s="31" t="s">
        <v>15</v>
      </c>
      <c r="L5" s="50" t="s">
        <v>16</v>
      </c>
    </row>
    <row r="6" spans="1:12">
      <c r="A6" s="29" t="s">
        <v>17</v>
      </c>
      <c r="B6" s="28">
        <v>537.8</v>
      </c>
      <c r="C6" s="28">
        <v>513.8</v>
      </c>
      <c r="D6" s="28">
        <v>1617.4</v>
      </c>
      <c r="E6" s="28">
        <v>1740</v>
      </c>
      <c r="G6" s="32">
        <v>41548</v>
      </c>
      <c r="H6" s="33"/>
      <c r="I6" s="33"/>
      <c r="J6" s="51"/>
      <c r="K6" s="51"/>
      <c r="L6" s="52">
        <v>5000.5</v>
      </c>
    </row>
    <row r="7" ht="15.75" spans="1:12">
      <c r="A7" s="29" t="s">
        <v>18</v>
      </c>
      <c r="B7" s="28">
        <v>253.35</v>
      </c>
      <c r="C7" s="28">
        <v>385.35</v>
      </c>
      <c r="D7" s="28">
        <f>D4-D5-D6</f>
        <v>869.3</v>
      </c>
      <c r="E7" s="28">
        <v>1305</v>
      </c>
      <c r="G7" s="32">
        <v>41550</v>
      </c>
      <c r="H7" s="33">
        <v>2150</v>
      </c>
      <c r="I7" s="33" t="s">
        <v>19</v>
      </c>
      <c r="J7" s="51">
        <v>500</v>
      </c>
      <c r="K7" s="51"/>
      <c r="L7" s="52">
        <f t="shared" ref="L7:L12" si="0">IF(G7&lt;&gt;"",L6+K7-J7,"")</f>
        <v>4500.5</v>
      </c>
    </row>
    <row r="8" ht="15.75" spans="1:12">
      <c r="A8" s="34" t="s">
        <v>20</v>
      </c>
      <c r="B8" s="12">
        <f t="shared" ref="B8:E8" si="1">SUM(B5:B7)</f>
        <v>2592.3</v>
      </c>
      <c r="C8" s="12">
        <f t="shared" si="1"/>
        <v>2998.3</v>
      </c>
      <c r="D8" s="12">
        <f t="shared" si="1"/>
        <v>6587</v>
      </c>
      <c r="E8" s="12">
        <f t="shared" si="1"/>
        <v>7290</v>
      </c>
      <c r="G8" s="32">
        <v>41550</v>
      </c>
      <c r="H8" s="33" t="s">
        <v>21</v>
      </c>
      <c r="I8" s="33" t="s">
        <v>22</v>
      </c>
      <c r="J8" s="51">
        <v>120</v>
      </c>
      <c r="K8" s="51"/>
      <c r="L8" s="52">
        <f t="shared" si="0"/>
        <v>4380.5</v>
      </c>
    </row>
    <row r="9" ht="15.75" spans="1:12">
      <c r="A9" s="35" t="s">
        <v>23</v>
      </c>
      <c r="B9" s="13">
        <f t="shared" ref="B9:E9" si="2">B4-B8</f>
        <v>3096.7</v>
      </c>
      <c r="C9" s="13">
        <f t="shared" si="2"/>
        <v>-429.3</v>
      </c>
      <c r="D9" s="13">
        <f t="shared" si="2"/>
        <v>0</v>
      </c>
      <c r="E9" s="13">
        <f t="shared" si="2"/>
        <v>1410</v>
      </c>
      <c r="G9" s="32">
        <v>41551</v>
      </c>
      <c r="H9" s="33"/>
      <c r="I9" s="33" t="s">
        <v>24</v>
      </c>
      <c r="J9" s="51"/>
      <c r="K9" s="51">
        <v>654.25</v>
      </c>
      <c r="L9" s="52">
        <f t="shared" si="0"/>
        <v>5034.75</v>
      </c>
    </row>
    <row r="10" ht="15.75" spans="7:12">
      <c r="G10" s="36"/>
      <c r="H10" s="33"/>
      <c r="I10" s="33"/>
      <c r="J10" s="51"/>
      <c r="K10" s="51"/>
      <c r="L10" s="52" t="str">
        <f t="shared" si="0"/>
        <v/>
      </c>
    </row>
    <row r="11" spans="3:12">
      <c r="C11" t="s">
        <v>25</v>
      </c>
      <c r="G11" s="36"/>
      <c r="H11" s="33"/>
      <c r="I11" s="33"/>
      <c r="J11" s="51"/>
      <c r="K11" s="51"/>
      <c r="L11" s="52" t="str">
        <f t="shared" si="0"/>
        <v/>
      </c>
    </row>
    <row r="12" ht="15.75" spans="7:12">
      <c r="G12" s="37"/>
      <c r="H12" s="38"/>
      <c r="I12" s="38"/>
      <c r="J12" s="53"/>
      <c r="K12" s="53"/>
      <c r="L12" s="54" t="str">
        <f t="shared" si="0"/>
        <v/>
      </c>
    </row>
    <row r="13" ht="15.75" spans="2:5">
      <c r="B13" s="10" t="s">
        <v>5</v>
      </c>
      <c r="C13" s="10" t="s">
        <v>6</v>
      </c>
      <c r="D13" s="10" t="s">
        <v>7</v>
      </c>
      <c r="E13" s="10" t="s">
        <v>8</v>
      </c>
    </row>
    <row r="14" spans="1:5">
      <c r="A14" s="10" t="s">
        <v>9</v>
      </c>
      <c r="B14" s="39">
        <v>5689</v>
      </c>
      <c r="C14" s="39">
        <v>2569</v>
      </c>
      <c r="D14" s="39">
        <v>6587</v>
      </c>
      <c r="E14" s="39">
        <v>8700</v>
      </c>
    </row>
    <row r="15" spans="1:5">
      <c r="A15" s="29" t="s">
        <v>10</v>
      </c>
      <c r="B15" s="40">
        <v>1801.15</v>
      </c>
      <c r="C15" s="40">
        <v>2099.15</v>
      </c>
      <c r="D15" s="40">
        <v>4100.3</v>
      </c>
      <c r="E15" s="40">
        <v>4245</v>
      </c>
    </row>
    <row r="16" spans="1:5">
      <c r="A16" s="29" t="s">
        <v>17</v>
      </c>
      <c r="B16" s="40">
        <v>537.8</v>
      </c>
      <c r="C16" s="40">
        <v>513.8</v>
      </c>
      <c r="D16" s="40">
        <v>1617.4</v>
      </c>
      <c r="E16" s="40">
        <v>1740</v>
      </c>
    </row>
    <row r="17" ht="15.75" spans="1:5">
      <c r="A17" s="29" t="s">
        <v>18</v>
      </c>
      <c r="B17" s="40">
        <v>253.35</v>
      </c>
      <c r="C17" s="40">
        <v>385.35</v>
      </c>
      <c r="D17" s="40">
        <f>D14-D15-D16</f>
        <v>869.3</v>
      </c>
      <c r="E17" s="40">
        <v>1305</v>
      </c>
    </row>
    <row r="18" ht="15.75" spans="1:5">
      <c r="A18" s="34" t="s">
        <v>20</v>
      </c>
      <c r="B18" s="41">
        <f t="shared" ref="B18:E18" si="3">SUM(B15:B17)</f>
        <v>2592.3</v>
      </c>
      <c r="C18" s="41">
        <f t="shared" si="3"/>
        <v>2998.3</v>
      </c>
      <c r="D18" s="41">
        <f t="shared" si="3"/>
        <v>6587</v>
      </c>
      <c r="E18" s="41">
        <f t="shared" si="3"/>
        <v>7290</v>
      </c>
    </row>
    <row r="19" ht="15.75" spans="1:5">
      <c r="A19" s="35" t="s">
        <v>23</v>
      </c>
      <c r="B19" s="42">
        <f t="shared" ref="B19:E19" si="4">B14-B18</f>
        <v>3096.7</v>
      </c>
      <c r="C19" s="42">
        <f t="shared" si="4"/>
        <v>-429.3</v>
      </c>
      <c r="D19" s="42">
        <f t="shared" si="4"/>
        <v>0</v>
      </c>
      <c r="E19" s="42">
        <f t="shared" si="4"/>
        <v>1410</v>
      </c>
    </row>
    <row r="20" ht="15.75"/>
    <row r="21" spans="3:3">
      <c r="C21" t="s">
        <v>25</v>
      </c>
    </row>
    <row r="23" spans="2:5">
      <c r="B23" s="10" t="s">
        <v>5</v>
      </c>
      <c r="C23" s="10" t="s">
        <v>6</v>
      </c>
      <c r="D23" s="10" t="s">
        <v>7</v>
      </c>
      <c r="E23" s="10" t="s">
        <v>8</v>
      </c>
    </row>
    <row r="24" spans="1:5">
      <c r="A24" s="10" t="s">
        <v>9</v>
      </c>
      <c r="B24" s="39">
        <v>5689</v>
      </c>
      <c r="C24" s="39">
        <v>2569</v>
      </c>
      <c r="D24" s="39">
        <v>6587</v>
      </c>
      <c r="E24" s="39">
        <v>8700</v>
      </c>
    </row>
    <row r="25" spans="1:5">
      <c r="A25" s="29" t="s">
        <v>10</v>
      </c>
      <c r="B25" s="40">
        <v>1801.15</v>
      </c>
      <c r="C25" s="40">
        <v>2099.15</v>
      </c>
      <c r="D25" s="40">
        <v>4100.3</v>
      </c>
      <c r="E25" s="40">
        <v>4245</v>
      </c>
    </row>
    <row r="26" spans="1:5">
      <c r="A26" s="29" t="s">
        <v>17</v>
      </c>
      <c r="B26" s="40">
        <v>537.8</v>
      </c>
      <c r="C26" s="40">
        <v>513.8</v>
      </c>
      <c r="D26" s="40">
        <v>1617.4</v>
      </c>
      <c r="E26" s="40">
        <v>1740</v>
      </c>
    </row>
    <row r="27" spans="1:5">
      <c r="A27" s="29" t="s">
        <v>18</v>
      </c>
      <c r="B27" s="43">
        <v>253.35</v>
      </c>
      <c r="C27" s="43">
        <v>385.35</v>
      </c>
      <c r="D27" s="43">
        <f>D24-D25-D26</f>
        <v>869.3</v>
      </c>
      <c r="E27" s="43">
        <v>1305</v>
      </c>
    </row>
    <row r="28" spans="1:5">
      <c r="A28" s="44" t="s">
        <v>20</v>
      </c>
      <c r="B28" s="45">
        <f t="shared" ref="B28:E28" si="5">SUM(B25:B27)</f>
        <v>2592.3</v>
      </c>
      <c r="C28" s="45">
        <f t="shared" si="5"/>
        <v>2998.3</v>
      </c>
      <c r="D28" s="45">
        <f t="shared" si="5"/>
        <v>6587</v>
      </c>
      <c r="E28" s="45">
        <f t="shared" si="5"/>
        <v>7290</v>
      </c>
    </row>
    <row r="29" spans="1:5">
      <c r="A29" s="44" t="s">
        <v>23</v>
      </c>
      <c r="B29" s="46">
        <f t="shared" ref="B29:E29" si="6">B24-B28</f>
        <v>3096.7</v>
      </c>
      <c r="C29" s="46">
        <f t="shared" si="6"/>
        <v>-429.3</v>
      </c>
      <c r="D29" s="46">
        <f t="shared" si="6"/>
        <v>0</v>
      </c>
      <c r="E29" s="46">
        <f t="shared" si="6"/>
        <v>1410</v>
      </c>
    </row>
    <row r="31" spans="3:3">
      <c r="C31" t="s">
        <v>25</v>
      </c>
    </row>
    <row r="33" spans="2:5">
      <c r="B33" s="10" t="s">
        <v>5</v>
      </c>
      <c r="C33" s="10" t="s">
        <v>6</v>
      </c>
      <c r="D33" s="10" t="s">
        <v>7</v>
      </c>
      <c r="E33" s="10" t="s">
        <v>8</v>
      </c>
    </row>
    <row r="34" spans="1:5">
      <c r="A34" s="10" t="s">
        <v>9</v>
      </c>
      <c r="B34" s="39">
        <v>5689</v>
      </c>
      <c r="C34" s="39">
        <v>2569</v>
      </c>
      <c r="D34" s="39">
        <v>6587</v>
      </c>
      <c r="E34" s="39">
        <v>8700</v>
      </c>
    </row>
    <row r="35" spans="1:5">
      <c r="A35" s="29" t="s">
        <v>10</v>
      </c>
      <c r="B35" s="40">
        <v>1801.15</v>
      </c>
      <c r="C35" s="40">
        <v>2099.15</v>
      </c>
      <c r="D35" s="40">
        <v>4100.3</v>
      </c>
      <c r="E35" s="40">
        <v>4245</v>
      </c>
    </row>
    <row r="36" spans="1:5">
      <c r="A36" s="29" t="s">
        <v>17</v>
      </c>
      <c r="B36" s="40">
        <v>537.8</v>
      </c>
      <c r="C36" s="40">
        <v>513.8</v>
      </c>
      <c r="D36" s="40">
        <v>1617.4</v>
      </c>
      <c r="E36" s="40">
        <v>1740</v>
      </c>
    </row>
    <row r="37" ht="17.25" spans="1:5">
      <c r="A37" s="29" t="s">
        <v>18</v>
      </c>
      <c r="B37" s="47">
        <v>253.35</v>
      </c>
      <c r="C37" s="47">
        <v>385.35</v>
      </c>
      <c r="D37" s="47">
        <f>D34-D35-D36</f>
        <v>869.3</v>
      </c>
      <c r="E37" s="47">
        <v>1305</v>
      </c>
    </row>
    <row r="38" ht="17.25" spans="1:5">
      <c r="A38" s="44" t="s">
        <v>20</v>
      </c>
      <c r="B38" s="48">
        <f t="shared" ref="B38:E38" si="7">SUM(B35:B37)</f>
        <v>2592.3</v>
      </c>
      <c r="C38" s="48">
        <f t="shared" si="7"/>
        <v>2998.3</v>
      </c>
      <c r="D38" s="48">
        <f t="shared" si="7"/>
        <v>6587</v>
      </c>
      <c r="E38" s="48">
        <f t="shared" si="7"/>
        <v>7290</v>
      </c>
    </row>
    <row r="39" ht="17.25" spans="1:5">
      <c r="A39" s="44" t="s">
        <v>23</v>
      </c>
      <c r="B39" s="49">
        <f t="shared" ref="B39:E39" si="8">B34-B38</f>
        <v>3096.7</v>
      </c>
      <c r="C39" s="49">
        <f t="shared" si="8"/>
        <v>-429.3</v>
      </c>
      <c r="D39" s="49">
        <f t="shared" si="8"/>
        <v>0</v>
      </c>
      <c r="E39" s="49">
        <f t="shared" si="8"/>
        <v>1410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C11"/>
  <sheetViews>
    <sheetView zoomScale="190" zoomScaleNormal="190" workbookViewId="0">
      <selection activeCell="E9" sqref="E9"/>
    </sheetView>
  </sheetViews>
  <sheetFormatPr defaultColWidth="9" defaultRowHeight="15" outlineLevelCol="2"/>
  <cols>
    <col min="1" max="2" width="7.57142857142857" customWidth="1"/>
    <col min="3" max="3" width="10" customWidth="1"/>
  </cols>
  <sheetData>
    <row r="1" spans="1:1">
      <c r="A1" s="10" t="s">
        <v>26</v>
      </c>
    </row>
    <row r="4" spans="1:3">
      <c r="A4" t="s">
        <v>11</v>
      </c>
      <c r="B4" t="s">
        <v>27</v>
      </c>
      <c r="C4" t="s">
        <v>28</v>
      </c>
    </row>
    <row r="5" spans="1:3">
      <c r="A5" s="21">
        <v>41576</v>
      </c>
      <c r="B5" t="s">
        <v>29</v>
      </c>
      <c r="C5" s="28">
        <v>13490</v>
      </c>
    </row>
    <row r="6" spans="1:3">
      <c r="A6" s="21">
        <v>41576</v>
      </c>
      <c r="B6" t="s">
        <v>30</v>
      </c>
      <c r="C6" s="28">
        <v>9077</v>
      </c>
    </row>
    <row r="7" spans="1:3">
      <c r="A7" s="21">
        <v>41576</v>
      </c>
      <c r="B7" t="s">
        <v>29</v>
      </c>
      <c r="C7" s="28">
        <v>10167</v>
      </c>
    </row>
    <row r="8" spans="1:3">
      <c r="A8" s="21">
        <v>41576</v>
      </c>
      <c r="B8" t="s">
        <v>29</v>
      </c>
      <c r="C8" s="28">
        <v>13248</v>
      </c>
    </row>
    <row r="9" spans="1:3">
      <c r="A9" s="21">
        <v>41576</v>
      </c>
      <c r="B9" t="s">
        <v>30</v>
      </c>
      <c r="C9" s="28">
        <v>6360</v>
      </c>
    </row>
    <row r="10" spans="1:3">
      <c r="A10" s="21">
        <v>41576</v>
      </c>
      <c r="B10" t="s">
        <v>30</v>
      </c>
      <c r="C10" s="28">
        <v>11740</v>
      </c>
    </row>
    <row r="11" spans="1:3">
      <c r="A11" s="21">
        <v>41576</v>
      </c>
      <c r="B11" t="s">
        <v>29</v>
      </c>
      <c r="C11" s="28">
        <v>5325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C11"/>
  <sheetViews>
    <sheetView zoomScale="190" zoomScaleNormal="190" workbookViewId="0">
      <selection activeCell="B8" sqref="B8"/>
    </sheetView>
  </sheetViews>
  <sheetFormatPr defaultColWidth="18.7142857142857" defaultRowHeight="15" outlineLevelCol="2"/>
  <cols>
    <col min="1" max="1" width="13.5714285714286" customWidth="1"/>
    <col min="2" max="2" width="15" customWidth="1"/>
    <col min="3" max="3" width="11.4285714285714" customWidth="1"/>
  </cols>
  <sheetData>
    <row r="1" spans="1:1">
      <c r="A1" s="10" t="s">
        <v>26</v>
      </c>
    </row>
    <row r="4" spans="1:3">
      <c r="A4" t="s">
        <v>11</v>
      </c>
      <c r="B4" t="s">
        <v>27</v>
      </c>
      <c r="C4" t="s">
        <v>28</v>
      </c>
    </row>
    <row r="5" spans="1:3">
      <c r="A5" s="21">
        <v>41576</v>
      </c>
      <c r="B5" t="s">
        <v>29</v>
      </c>
      <c r="C5" s="28">
        <v>13490</v>
      </c>
    </row>
    <row r="6" spans="1:3">
      <c r="A6" s="21">
        <v>41576</v>
      </c>
      <c r="B6" t="s">
        <v>30</v>
      </c>
      <c r="C6" s="28">
        <v>9077</v>
      </c>
    </row>
    <row r="7" spans="1:3">
      <c r="A7" s="21">
        <v>41576</v>
      </c>
      <c r="B7" t="s">
        <v>29</v>
      </c>
      <c r="C7" s="28">
        <v>10167</v>
      </c>
    </row>
    <row r="8" spans="1:3">
      <c r="A8" s="21">
        <v>41576</v>
      </c>
      <c r="B8" t="s">
        <v>29</v>
      </c>
      <c r="C8" s="28">
        <v>13248</v>
      </c>
    </row>
    <row r="9" spans="1:3">
      <c r="A9" s="21">
        <v>41576</v>
      </c>
      <c r="B9" t="s">
        <v>30</v>
      </c>
      <c r="C9" s="28">
        <v>6360</v>
      </c>
    </row>
    <row r="10" spans="1:3">
      <c r="A10" s="21">
        <v>41576</v>
      </c>
      <c r="B10" t="s">
        <v>30</v>
      </c>
      <c r="C10" s="28">
        <v>11740</v>
      </c>
    </row>
    <row r="11" spans="1:3">
      <c r="A11" s="21">
        <v>41576</v>
      </c>
      <c r="B11" t="s">
        <v>29</v>
      </c>
      <c r="C11" s="28">
        <v>5325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C13"/>
  <sheetViews>
    <sheetView zoomScale="190" zoomScaleNormal="190" topLeftCell="A2" workbookViewId="0">
      <selection activeCell="A5" sqref="A5"/>
    </sheetView>
  </sheetViews>
  <sheetFormatPr defaultColWidth="9" defaultRowHeight="15" outlineLevelCol="2"/>
  <cols>
    <col min="1" max="1" width="20.8571428571429" customWidth="1"/>
    <col min="2" max="3" width="11.2857142857143" customWidth="1"/>
    <col min="5" max="5" width="17.1428571428571" customWidth="1"/>
  </cols>
  <sheetData>
    <row r="1" spans="1:1">
      <c r="A1" s="10" t="s">
        <v>31</v>
      </c>
    </row>
    <row r="2" spans="1:1">
      <c r="A2" t="s">
        <v>32</v>
      </c>
    </row>
    <row r="3" spans="1:1">
      <c r="A3" t="s">
        <v>33</v>
      </c>
    </row>
    <row r="5" spans="1:3">
      <c r="A5" s="27" t="s">
        <v>34</v>
      </c>
      <c r="B5" s="27" t="s">
        <v>35</v>
      </c>
      <c r="C5" s="27" t="s">
        <v>36</v>
      </c>
    </row>
    <row r="6" spans="1:3">
      <c r="A6" s="19" t="s">
        <v>37</v>
      </c>
      <c r="B6" s="19" t="s">
        <v>38</v>
      </c>
      <c r="C6" s="23">
        <v>505</v>
      </c>
    </row>
    <row r="7" spans="1:3">
      <c r="A7" s="19" t="s">
        <v>39</v>
      </c>
      <c r="B7" s="19" t="s">
        <v>40</v>
      </c>
      <c r="C7" s="23">
        <v>657</v>
      </c>
    </row>
    <row r="8" spans="1:3">
      <c r="A8" s="19" t="s">
        <v>41</v>
      </c>
      <c r="B8" s="19" t="s">
        <v>42</v>
      </c>
      <c r="C8" s="23">
        <v>329</v>
      </c>
    </row>
    <row r="9" spans="1:3">
      <c r="A9" s="19" t="s">
        <v>37</v>
      </c>
      <c r="B9" s="19" t="s">
        <v>43</v>
      </c>
      <c r="C9" s="23">
        <v>618</v>
      </c>
    </row>
    <row r="10" spans="1:3">
      <c r="A10" s="19" t="s">
        <v>39</v>
      </c>
      <c r="B10" s="19" t="s">
        <v>43</v>
      </c>
      <c r="C10" s="23">
        <v>888</v>
      </c>
    </row>
    <row r="11" spans="1:3">
      <c r="A11" s="19" t="s">
        <v>39</v>
      </c>
      <c r="B11" s="19" t="s">
        <v>40</v>
      </c>
      <c r="C11" s="23">
        <v>138</v>
      </c>
    </row>
    <row r="12" spans="1:3">
      <c r="A12" s="19" t="s">
        <v>44</v>
      </c>
      <c r="B12" s="19" t="s">
        <v>42</v>
      </c>
      <c r="C12" s="23">
        <v>125</v>
      </c>
    </row>
    <row r="13" spans="1:3">
      <c r="A13" s="19" t="s">
        <v>44</v>
      </c>
      <c r="B13" s="19" t="s">
        <v>42</v>
      </c>
      <c r="C13" s="23">
        <v>238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E15"/>
  <sheetViews>
    <sheetView zoomScale="190" zoomScaleNormal="190" workbookViewId="0">
      <selection activeCell="A5" sqref="A5"/>
    </sheetView>
  </sheetViews>
  <sheetFormatPr defaultColWidth="9" defaultRowHeight="15" outlineLevelCol="4"/>
  <cols>
    <col min="1" max="1" width="20.8571428571429" customWidth="1"/>
    <col min="2" max="3" width="11.2857142857143" customWidth="1"/>
    <col min="4" max="4" width="9.14285714285714"/>
    <col min="5" max="5" width="17.1428571428571" customWidth="1"/>
    <col min="6" max="16384" width="9.14285714285714"/>
  </cols>
  <sheetData>
    <row r="1" spans="1:1">
      <c r="A1" s="10" t="s">
        <v>31</v>
      </c>
    </row>
    <row r="2" spans="1:1">
      <c r="A2" t="s">
        <v>32</v>
      </c>
    </row>
    <row r="3" spans="1:1">
      <c r="A3" t="s">
        <v>33</v>
      </c>
    </row>
    <row r="5" ht="30" spans="1:3">
      <c r="A5" s="20" t="s">
        <v>45</v>
      </c>
      <c r="B5" s="20" t="s">
        <v>35</v>
      </c>
      <c r="C5" s="20" t="s">
        <v>36</v>
      </c>
    </row>
    <row r="6" spans="1:3">
      <c r="A6" s="19" t="s">
        <v>37</v>
      </c>
      <c r="B6" s="19" t="s">
        <v>38</v>
      </c>
      <c r="C6" s="23">
        <v>505</v>
      </c>
    </row>
    <row r="7" spans="1:3">
      <c r="A7" s="19" t="s">
        <v>39</v>
      </c>
      <c r="B7" s="19" t="s">
        <v>40</v>
      </c>
      <c r="C7" s="23">
        <v>657</v>
      </c>
    </row>
    <row r="8" spans="1:3">
      <c r="A8" s="19" t="s">
        <v>41</v>
      </c>
      <c r="B8" s="19" t="s">
        <v>42</v>
      </c>
      <c r="C8" s="23">
        <v>329</v>
      </c>
    </row>
    <row r="9" spans="1:3">
      <c r="A9" s="19" t="s">
        <v>37</v>
      </c>
      <c r="B9" s="19" t="s">
        <v>43</v>
      </c>
      <c r="C9" s="23">
        <v>618</v>
      </c>
    </row>
    <row r="10" spans="1:3">
      <c r="A10" s="19" t="s">
        <v>39</v>
      </c>
      <c r="B10" s="19" t="s">
        <v>43</v>
      </c>
      <c r="C10" s="23">
        <v>888</v>
      </c>
    </row>
    <row r="11" spans="1:3">
      <c r="A11" s="19" t="s">
        <v>39</v>
      </c>
      <c r="B11" s="19" t="s">
        <v>40</v>
      </c>
      <c r="C11" s="23">
        <v>138</v>
      </c>
    </row>
    <row r="12" spans="1:3">
      <c r="A12" s="19" t="s">
        <v>44</v>
      </c>
      <c r="B12" s="19" t="s">
        <v>42</v>
      </c>
      <c r="C12" s="23">
        <v>125</v>
      </c>
    </row>
    <row r="13" spans="1:3">
      <c r="A13" s="19" t="s">
        <v>44</v>
      </c>
      <c r="B13" s="19" t="s">
        <v>42</v>
      </c>
      <c r="C13" s="23">
        <v>238</v>
      </c>
    </row>
    <row r="15" ht="30" spans="5:5">
      <c r="E15" s="26" t="s">
        <v>46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C12"/>
  <sheetViews>
    <sheetView zoomScale="160" zoomScaleNormal="160" workbookViewId="0">
      <selection activeCell="C5" sqref="C5"/>
    </sheetView>
  </sheetViews>
  <sheetFormatPr defaultColWidth="9" defaultRowHeight="15" outlineLevelCol="2"/>
  <cols>
    <col min="1" max="1" width="19.7142857142857" customWidth="1"/>
    <col min="2" max="2" width="12.2857142857143" customWidth="1"/>
    <col min="3" max="3" width="13.7142857142857" customWidth="1"/>
    <col min="4" max="4" width="17.4285714285714" customWidth="1"/>
  </cols>
  <sheetData>
    <row r="1" spans="1:1">
      <c r="A1" s="10" t="s">
        <v>47</v>
      </c>
    </row>
    <row r="2" spans="1:1">
      <c r="A2" s="10"/>
    </row>
    <row r="5" spans="1:3">
      <c r="A5" t="s">
        <v>11</v>
      </c>
      <c r="B5" t="s">
        <v>27</v>
      </c>
      <c r="C5" t="s">
        <v>28</v>
      </c>
    </row>
    <row r="6" spans="1:3">
      <c r="A6" s="24">
        <v>41576</v>
      </c>
      <c r="B6" t="s">
        <v>29</v>
      </c>
      <c r="C6" s="25">
        <v>13490</v>
      </c>
    </row>
    <row r="7" spans="1:3">
      <c r="A7" s="24">
        <v>41576</v>
      </c>
      <c r="B7" t="s">
        <v>30</v>
      </c>
      <c r="C7" s="25">
        <v>9077</v>
      </c>
    </row>
    <row r="8" spans="1:3">
      <c r="A8" s="24">
        <v>41576</v>
      </c>
      <c r="B8" t="s">
        <v>29</v>
      </c>
      <c r="C8" s="25">
        <v>10167</v>
      </c>
    </row>
    <row r="9" spans="1:3">
      <c r="A9" s="24">
        <v>41576</v>
      </c>
      <c r="B9" t="s">
        <v>29</v>
      </c>
      <c r="C9" s="25">
        <v>13248</v>
      </c>
    </row>
    <row r="10" spans="1:3">
      <c r="A10" s="24">
        <v>41576</v>
      </c>
      <c r="B10" t="s">
        <v>30</v>
      </c>
      <c r="C10" s="25">
        <v>6360</v>
      </c>
    </row>
    <row r="11" spans="1:3">
      <c r="A11" s="24">
        <v>41576</v>
      </c>
      <c r="B11" t="s">
        <v>30</v>
      </c>
      <c r="C11" s="25">
        <v>11740</v>
      </c>
    </row>
    <row r="12" spans="1:3">
      <c r="A12" s="24">
        <v>41576</v>
      </c>
      <c r="B12" t="s">
        <v>29</v>
      </c>
      <c r="C12" s="25">
        <v>5325</v>
      </c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C12"/>
  <sheetViews>
    <sheetView zoomScale="160" zoomScaleNormal="160" workbookViewId="0">
      <selection activeCell="B8" sqref="B8"/>
    </sheetView>
  </sheetViews>
  <sheetFormatPr defaultColWidth="9" defaultRowHeight="15" outlineLevelCol="2"/>
  <cols>
    <col min="1" max="1" width="19.7142857142857" customWidth="1"/>
    <col min="2" max="2" width="12.2857142857143" customWidth="1"/>
    <col min="3" max="3" width="13.7142857142857" customWidth="1"/>
    <col min="4" max="4" width="17.4285714285714" customWidth="1"/>
  </cols>
  <sheetData>
    <row r="1" spans="1:1">
      <c r="A1" s="10" t="s">
        <v>47</v>
      </c>
    </row>
    <row r="2" spans="1:1">
      <c r="A2" s="10"/>
    </row>
    <row r="5" spans="1:3">
      <c r="A5" t="s">
        <v>11</v>
      </c>
      <c r="B5" t="s">
        <v>27</v>
      </c>
      <c r="C5" t="s">
        <v>28</v>
      </c>
    </row>
    <row r="6" spans="1:3">
      <c r="A6" s="21">
        <v>41576</v>
      </c>
      <c r="B6" t="s">
        <v>29</v>
      </c>
      <c r="C6" s="11">
        <v>13490</v>
      </c>
    </row>
    <row r="7" spans="1:3">
      <c r="A7" s="21">
        <v>41576</v>
      </c>
      <c r="B7" t="s">
        <v>30</v>
      </c>
      <c r="C7" s="11">
        <v>9077</v>
      </c>
    </row>
    <row r="8" spans="1:3">
      <c r="A8" s="21">
        <v>41576</v>
      </c>
      <c r="B8" t="s">
        <v>29</v>
      </c>
      <c r="C8" s="11">
        <v>10167</v>
      </c>
    </row>
    <row r="9" spans="1:3">
      <c r="A9" s="21">
        <v>41576</v>
      </c>
      <c r="B9" t="s">
        <v>29</v>
      </c>
      <c r="C9" s="11">
        <v>13248</v>
      </c>
    </row>
    <row r="10" spans="1:3">
      <c r="A10" s="21">
        <v>41576</v>
      </c>
      <c r="B10" t="s">
        <v>30</v>
      </c>
      <c r="C10" s="11">
        <v>6360</v>
      </c>
    </row>
    <row r="11" spans="1:3">
      <c r="A11" s="21">
        <v>41576</v>
      </c>
      <c r="B11" t="s">
        <v>30</v>
      </c>
      <c r="C11" s="11">
        <v>11740</v>
      </c>
    </row>
    <row r="12" spans="1:3">
      <c r="A12" s="21">
        <v>41576</v>
      </c>
      <c r="B12" t="s">
        <v>29</v>
      </c>
      <c r="C12" s="11">
        <v>5325</v>
      </c>
    </row>
  </sheetData>
  <pageMargins left="0.7" right="0.7" top="0.75" bottom="0.75" header="0.3" footer="0.3"/>
  <headerFooter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G13"/>
  <sheetViews>
    <sheetView zoomScale="190" zoomScaleNormal="190" workbookViewId="0">
      <selection activeCell="F5" sqref="F5"/>
    </sheetView>
  </sheetViews>
  <sheetFormatPr defaultColWidth="9" defaultRowHeight="15" outlineLevelCol="6"/>
  <cols>
    <col min="1" max="1" width="15" customWidth="1"/>
    <col min="2" max="2" width="13.7142857142857" customWidth="1"/>
    <col min="3" max="3" width="11.8571428571429" customWidth="1"/>
    <col min="5" max="5" width="20.4285714285714" customWidth="1"/>
    <col min="6" max="7" width="13.2857142857143" customWidth="1"/>
  </cols>
  <sheetData>
    <row r="1" spans="1:1">
      <c r="A1" s="10" t="s">
        <v>48</v>
      </c>
    </row>
    <row r="2" spans="1:1">
      <c r="A2" s="10" t="s">
        <v>49</v>
      </c>
    </row>
    <row r="5" spans="1:7">
      <c r="A5" t="s">
        <v>11</v>
      </c>
      <c r="B5" t="s">
        <v>27</v>
      </c>
      <c r="C5" t="s">
        <v>28</v>
      </c>
      <c r="E5" t="s">
        <v>50</v>
      </c>
      <c r="F5" t="s">
        <v>35</v>
      </c>
      <c r="G5" t="s">
        <v>36</v>
      </c>
    </row>
    <row r="6" spans="1:7">
      <c r="A6" s="21">
        <v>41576</v>
      </c>
      <c r="B6" t="s">
        <v>29</v>
      </c>
      <c r="C6" s="22">
        <v>13490</v>
      </c>
      <c r="E6" s="19" t="s">
        <v>37</v>
      </c>
      <c r="F6" s="19" t="s">
        <v>38</v>
      </c>
      <c r="G6" s="23">
        <v>505</v>
      </c>
    </row>
    <row r="7" spans="1:7">
      <c r="A7" s="21">
        <v>41576</v>
      </c>
      <c r="B7" t="s">
        <v>30</v>
      </c>
      <c r="C7" s="22">
        <v>9077</v>
      </c>
      <c r="E7" s="19" t="s">
        <v>39</v>
      </c>
      <c r="F7" s="19" t="s">
        <v>40</v>
      </c>
      <c r="G7" s="23">
        <v>657</v>
      </c>
    </row>
    <row r="8" spans="1:7">
      <c r="A8" s="21">
        <v>41576</v>
      </c>
      <c r="B8" t="s">
        <v>29</v>
      </c>
      <c r="C8" s="22">
        <v>10167</v>
      </c>
      <c r="E8" s="19" t="s">
        <v>41</v>
      </c>
      <c r="F8" s="19" t="s">
        <v>42</v>
      </c>
      <c r="G8" s="23">
        <v>329</v>
      </c>
    </row>
    <row r="9" spans="1:7">
      <c r="A9" s="21">
        <v>41576</v>
      </c>
      <c r="B9" t="s">
        <v>29</v>
      </c>
      <c r="C9" s="22">
        <v>13248</v>
      </c>
      <c r="E9" s="19" t="s">
        <v>37</v>
      </c>
      <c r="F9" s="19" t="s">
        <v>43</v>
      </c>
      <c r="G9" s="23">
        <v>618</v>
      </c>
    </row>
    <row r="10" spans="1:7">
      <c r="A10" s="21">
        <v>41576</v>
      </c>
      <c r="B10" t="s">
        <v>30</v>
      </c>
      <c r="C10" s="22">
        <v>6360</v>
      </c>
      <c r="E10" s="19" t="s">
        <v>39</v>
      </c>
      <c r="F10" s="19" t="s">
        <v>43</v>
      </c>
      <c r="G10" s="23">
        <v>888</v>
      </c>
    </row>
    <row r="11" spans="1:7">
      <c r="A11" s="21">
        <v>41576</v>
      </c>
      <c r="B11" t="s">
        <v>30</v>
      </c>
      <c r="C11" s="22">
        <v>11740</v>
      </c>
      <c r="E11" s="19" t="s">
        <v>39</v>
      </c>
      <c r="F11" s="19" t="s">
        <v>40</v>
      </c>
      <c r="G11" s="23">
        <v>138</v>
      </c>
    </row>
    <row r="12" spans="1:7">
      <c r="A12" s="21">
        <v>41576</v>
      </c>
      <c r="B12" t="s">
        <v>29</v>
      </c>
      <c r="C12" s="22">
        <v>5325</v>
      </c>
      <c r="E12" s="19" t="s">
        <v>44</v>
      </c>
      <c r="F12" s="19" t="s">
        <v>42</v>
      </c>
      <c r="G12" s="23">
        <v>125</v>
      </c>
    </row>
    <row r="13" spans="5:7">
      <c r="E13" s="19" t="s">
        <v>44</v>
      </c>
      <c r="F13" s="19" t="s">
        <v>42</v>
      </c>
      <c r="G13" s="23">
        <v>238</v>
      </c>
    </row>
  </sheetData>
  <pageMargins left="0.7" right="0.7" top="0.75" bottom="0.75" header="0.3" footer="0.3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G13"/>
  <sheetViews>
    <sheetView zoomScale="190" zoomScaleNormal="190" workbookViewId="0">
      <selection activeCell="A3" sqref="A3"/>
    </sheetView>
  </sheetViews>
  <sheetFormatPr defaultColWidth="9" defaultRowHeight="15" outlineLevelCol="6"/>
  <cols>
    <col min="1" max="1" width="15" customWidth="1"/>
    <col min="2" max="2" width="13.7142857142857" customWidth="1"/>
    <col min="3" max="3" width="11.8571428571429" customWidth="1"/>
    <col min="5" max="5" width="20.4285714285714" customWidth="1"/>
    <col min="6" max="7" width="13.2857142857143" customWidth="1"/>
  </cols>
  <sheetData>
    <row r="1" spans="1:1">
      <c r="A1" s="10" t="s">
        <v>48</v>
      </c>
    </row>
    <row r="2" spans="1:1">
      <c r="A2" s="10" t="s">
        <v>49</v>
      </c>
    </row>
    <row r="5" spans="1:7">
      <c r="A5" t="s">
        <v>11</v>
      </c>
      <c r="B5" t="s">
        <v>27</v>
      </c>
      <c r="C5" t="s">
        <v>28</v>
      </c>
      <c r="E5" s="20" t="s">
        <v>50</v>
      </c>
      <c r="F5" s="19" t="s">
        <v>35</v>
      </c>
      <c r="G5" s="19" t="s">
        <v>36</v>
      </c>
    </row>
    <row r="6" spans="1:7">
      <c r="A6" s="21">
        <v>41576</v>
      </c>
      <c r="B6" t="s">
        <v>29</v>
      </c>
      <c r="C6" s="22">
        <v>13490</v>
      </c>
      <c r="E6" s="19" t="s">
        <v>37</v>
      </c>
      <c r="F6" s="19" t="s">
        <v>38</v>
      </c>
      <c r="G6" s="23">
        <v>505</v>
      </c>
    </row>
    <row r="7" spans="1:7">
      <c r="A7" s="21">
        <v>41576</v>
      </c>
      <c r="B7" t="s">
        <v>30</v>
      </c>
      <c r="C7" s="22">
        <v>9077</v>
      </c>
      <c r="E7" s="19" t="s">
        <v>39</v>
      </c>
      <c r="F7" s="19" t="s">
        <v>40</v>
      </c>
      <c r="G7" s="23">
        <v>657</v>
      </c>
    </row>
    <row r="8" spans="1:7">
      <c r="A8" s="21">
        <v>41576</v>
      </c>
      <c r="B8" t="s">
        <v>29</v>
      </c>
      <c r="C8" s="22">
        <v>10167</v>
      </c>
      <c r="E8" s="19" t="s">
        <v>41</v>
      </c>
      <c r="F8" s="19" t="s">
        <v>42</v>
      </c>
      <c r="G8" s="23">
        <v>329</v>
      </c>
    </row>
    <row r="9" spans="1:7">
      <c r="A9" s="21">
        <v>41576</v>
      </c>
      <c r="B9" t="s">
        <v>29</v>
      </c>
      <c r="C9" s="22">
        <v>13248</v>
      </c>
      <c r="E9" s="19" t="s">
        <v>37</v>
      </c>
      <c r="F9" s="19" t="s">
        <v>43</v>
      </c>
      <c r="G9" s="23">
        <v>618</v>
      </c>
    </row>
    <row r="10" spans="1:7">
      <c r="A10" s="21">
        <v>41576</v>
      </c>
      <c r="B10" t="s">
        <v>30</v>
      </c>
      <c r="C10" s="22">
        <v>6360</v>
      </c>
      <c r="E10" s="19" t="s">
        <v>39</v>
      </c>
      <c r="F10" s="19" t="s">
        <v>43</v>
      </c>
      <c r="G10" s="23">
        <v>888</v>
      </c>
    </row>
    <row r="11" spans="1:7">
      <c r="A11" s="21">
        <v>41576</v>
      </c>
      <c r="B11" t="s">
        <v>30</v>
      </c>
      <c r="C11" s="22">
        <v>11740</v>
      </c>
      <c r="E11" s="19" t="s">
        <v>39</v>
      </c>
      <c r="F11" s="19" t="s">
        <v>40</v>
      </c>
      <c r="G11" s="23">
        <v>138</v>
      </c>
    </row>
    <row r="12" spans="1:7">
      <c r="A12" s="21">
        <v>41576</v>
      </c>
      <c r="B12" t="s">
        <v>29</v>
      </c>
      <c r="C12" s="22">
        <v>5325</v>
      </c>
      <c r="E12" s="19" t="s">
        <v>44</v>
      </c>
      <c r="F12" s="19" t="s">
        <v>42</v>
      </c>
      <c r="G12" s="23">
        <v>125</v>
      </c>
    </row>
    <row r="13" spans="5:7">
      <c r="E13" s="19" t="s">
        <v>44</v>
      </c>
      <c r="F13" s="19" t="s">
        <v>42</v>
      </c>
      <c r="G13" s="23">
        <v>238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K19"/>
  <sheetViews>
    <sheetView zoomScale="160" zoomScaleNormal="160" workbookViewId="0">
      <selection activeCell="A7" sqref="A7"/>
    </sheetView>
  </sheetViews>
  <sheetFormatPr defaultColWidth="9" defaultRowHeight="15"/>
  <cols>
    <col min="1" max="1" width="11.5714285714286" customWidth="1"/>
    <col min="3" max="3" width="11.5714285714286" customWidth="1"/>
    <col min="5" max="5" width="11.5714285714286" customWidth="1"/>
    <col min="8" max="8" width="14.2857142857143" customWidth="1"/>
    <col min="9" max="9" width="14" customWidth="1"/>
  </cols>
  <sheetData>
    <row r="1" spans="1:1">
      <c r="A1" s="10" t="s">
        <v>51</v>
      </c>
    </row>
    <row r="2" spans="1:6">
      <c r="A2" s="10"/>
      <c r="E2" s="3" t="s">
        <v>52</v>
      </c>
      <c r="F2" s="18">
        <v>18000</v>
      </c>
    </row>
    <row r="4" spans="1:8">
      <c r="A4" t="s">
        <v>53</v>
      </c>
      <c r="C4" t="s">
        <v>54</v>
      </c>
      <c r="E4" t="str">
        <f>"Greater than "&amp;FIXED(F2,0)</f>
        <v>Greater than 18,000</v>
      </c>
      <c r="H4" t="s">
        <v>55</v>
      </c>
    </row>
    <row r="6" spans="1:11">
      <c r="A6" s="5" t="s">
        <v>28</v>
      </c>
      <c r="C6" s="5" t="s">
        <v>28</v>
      </c>
      <c r="E6" s="5" t="s">
        <v>28</v>
      </c>
      <c r="G6" s="5" t="s">
        <v>56</v>
      </c>
      <c r="H6" s="5" t="s">
        <v>57</v>
      </c>
      <c r="I6" s="5" t="s">
        <v>58</v>
      </c>
      <c r="J6" s="5" t="s">
        <v>59</v>
      </c>
      <c r="K6" s="5" t="s">
        <v>60</v>
      </c>
    </row>
    <row r="7" spans="1:11">
      <c r="A7" s="6">
        <v>18000</v>
      </c>
      <c r="C7" s="6">
        <v>18000</v>
      </c>
      <c r="E7" s="6">
        <v>18000</v>
      </c>
      <c r="G7" s="19" t="s">
        <v>61</v>
      </c>
      <c r="H7" s="19">
        <v>755</v>
      </c>
      <c r="I7" s="19">
        <v>1015</v>
      </c>
      <c r="J7" s="19">
        <v>700</v>
      </c>
      <c r="K7" s="19">
        <f t="shared" ref="K7:K12" si="0">J7*(I7-H7)</f>
        <v>182000</v>
      </c>
    </row>
    <row r="8" spans="1:11">
      <c r="A8" s="6">
        <v>19077</v>
      </c>
      <c r="C8" s="6">
        <v>19077</v>
      </c>
      <c r="E8" s="6">
        <v>19077</v>
      </c>
      <c r="G8" s="19" t="s">
        <v>62</v>
      </c>
      <c r="H8" s="19">
        <v>22</v>
      </c>
      <c r="I8" s="19">
        <v>29.1</v>
      </c>
      <c r="J8" s="19">
        <v>2200</v>
      </c>
      <c r="K8" s="19">
        <f t="shared" si="0"/>
        <v>15620</v>
      </c>
    </row>
    <row r="9" spans="1:11">
      <c r="A9" s="6">
        <v>10167</v>
      </c>
      <c r="C9" s="6">
        <v>10167</v>
      </c>
      <c r="E9" s="6">
        <v>10167</v>
      </c>
      <c r="G9" s="19" t="s">
        <v>63</v>
      </c>
      <c r="H9" s="19">
        <v>36</v>
      </c>
      <c r="I9" s="19">
        <v>32.4</v>
      </c>
      <c r="J9" s="19">
        <v>300</v>
      </c>
      <c r="K9" s="19">
        <f t="shared" si="0"/>
        <v>-1080</v>
      </c>
    </row>
    <row r="10" spans="1:11">
      <c r="A10" s="6">
        <v>13248</v>
      </c>
      <c r="C10" s="6">
        <v>13248</v>
      </c>
      <c r="E10" s="6">
        <v>13248</v>
      </c>
      <c r="G10" s="19" t="s">
        <v>64</v>
      </c>
      <c r="H10" s="19">
        <v>36</v>
      </c>
      <c r="I10" s="19">
        <v>36</v>
      </c>
      <c r="J10" s="19">
        <v>4000</v>
      </c>
      <c r="K10" s="19">
        <f t="shared" si="0"/>
        <v>0</v>
      </c>
    </row>
    <row r="11" spans="1:11">
      <c r="A11" s="6">
        <v>6360</v>
      </c>
      <c r="C11" s="6">
        <v>6360</v>
      </c>
      <c r="E11" s="6">
        <v>6360</v>
      </c>
      <c r="G11" s="19" t="s">
        <v>65</v>
      </c>
      <c r="H11" s="19">
        <v>51</v>
      </c>
      <c r="I11" s="19">
        <v>42</v>
      </c>
      <c r="J11" s="19">
        <v>700</v>
      </c>
      <c r="K11" s="19">
        <f t="shared" si="0"/>
        <v>-6300</v>
      </c>
    </row>
    <row r="12" spans="1:11">
      <c r="A12" s="6">
        <v>11740</v>
      </c>
      <c r="C12" s="6">
        <v>11740</v>
      </c>
      <c r="E12" s="6">
        <v>11740</v>
      </c>
      <c r="G12" s="19" t="s">
        <v>66</v>
      </c>
      <c r="H12" s="19">
        <v>31</v>
      </c>
      <c r="I12" s="19">
        <v>17</v>
      </c>
      <c r="J12" s="19">
        <v>400</v>
      </c>
      <c r="K12" s="19">
        <f t="shared" si="0"/>
        <v>-5600</v>
      </c>
    </row>
    <row r="13" spans="1:5">
      <c r="A13" s="6">
        <v>5325</v>
      </c>
      <c r="C13" s="6">
        <v>5325</v>
      </c>
      <c r="E13" s="6">
        <v>5325</v>
      </c>
    </row>
    <row r="14" spans="1:5">
      <c r="A14" s="6">
        <v>7873</v>
      </c>
      <c r="C14" s="6">
        <v>7873</v>
      </c>
      <c r="E14" s="6">
        <v>7873</v>
      </c>
    </row>
    <row r="15" spans="1:5">
      <c r="A15" s="6">
        <v>19043</v>
      </c>
      <c r="C15" s="6">
        <v>19043</v>
      </c>
      <c r="E15" s="6">
        <v>19043</v>
      </c>
    </row>
    <row r="16" spans="1:5">
      <c r="A16" s="6">
        <v>12143</v>
      </c>
      <c r="C16" s="6">
        <v>12143</v>
      </c>
      <c r="E16" s="6">
        <v>12143</v>
      </c>
    </row>
    <row r="17" spans="1:5">
      <c r="A17" s="6">
        <v>22300</v>
      </c>
      <c r="C17" s="6">
        <v>22300</v>
      </c>
      <c r="E17" s="6">
        <v>22300</v>
      </c>
    </row>
    <row r="18" spans="1:5">
      <c r="A18" s="6">
        <v>10145</v>
      </c>
      <c r="C18" s="6">
        <v>10145</v>
      </c>
      <c r="E18" s="6">
        <v>10145</v>
      </c>
    </row>
    <row r="19" spans="1:5">
      <c r="A19" s="6">
        <v>14309</v>
      </c>
      <c r="C19" s="6">
        <v>14309</v>
      </c>
      <c r="E19" s="6">
        <v>14309</v>
      </c>
    </row>
  </sheetData>
  <pageMargins left="0.7" right="0.7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K19"/>
  <sheetViews>
    <sheetView zoomScale="160" zoomScaleNormal="160" workbookViewId="0">
      <selection activeCell="K7" sqref="K7:K12"/>
    </sheetView>
  </sheetViews>
  <sheetFormatPr defaultColWidth="9" defaultRowHeight="15"/>
  <cols>
    <col min="1" max="1" width="11.5714285714286" customWidth="1"/>
    <col min="2" max="2" width="9.14285714285714"/>
    <col min="3" max="3" width="11.5714285714286" customWidth="1"/>
    <col min="4" max="4" width="9.14285714285714"/>
    <col min="5" max="5" width="11.5714285714286" customWidth="1"/>
    <col min="6" max="7" width="9.14285714285714"/>
    <col min="8" max="8" width="14.2857142857143" customWidth="1"/>
    <col min="9" max="9" width="14" customWidth="1"/>
    <col min="10" max="16384" width="9.14285714285714"/>
  </cols>
  <sheetData>
    <row r="1" spans="1:1">
      <c r="A1" s="10" t="s">
        <v>51</v>
      </c>
    </row>
    <row r="2" spans="1:6">
      <c r="A2" s="10"/>
      <c r="E2" s="3" t="s">
        <v>52</v>
      </c>
      <c r="F2" s="18">
        <v>18000</v>
      </c>
    </row>
    <row r="4" spans="1:8">
      <c r="A4" t="s">
        <v>53</v>
      </c>
      <c r="C4" t="s">
        <v>54</v>
      </c>
      <c r="E4" t="str">
        <f>"Greater than "&amp;FIXED(F2,0)</f>
        <v>Greater than 18,000</v>
      </c>
      <c r="H4" t="s">
        <v>55</v>
      </c>
    </row>
    <row r="6" spans="1:11">
      <c r="A6" s="5" t="s">
        <v>28</v>
      </c>
      <c r="C6" s="5" t="s">
        <v>28</v>
      </c>
      <c r="E6" s="5" t="s">
        <v>28</v>
      </c>
      <c r="G6" s="5" t="s">
        <v>56</v>
      </c>
      <c r="H6" s="5" t="s">
        <v>57</v>
      </c>
      <c r="I6" s="5" t="s">
        <v>58</v>
      </c>
      <c r="J6" s="5" t="s">
        <v>59</v>
      </c>
      <c r="K6" s="5" t="s">
        <v>60</v>
      </c>
    </row>
    <row r="7" spans="1:11">
      <c r="A7" s="6">
        <v>18000</v>
      </c>
      <c r="C7" s="6">
        <v>18000</v>
      </c>
      <c r="E7" s="6">
        <v>18000</v>
      </c>
      <c r="G7" s="19" t="s">
        <v>61</v>
      </c>
      <c r="H7" s="19">
        <v>755</v>
      </c>
      <c r="I7" s="19">
        <v>1015</v>
      </c>
      <c r="J7" s="19">
        <v>700</v>
      </c>
      <c r="K7" s="19">
        <f t="shared" ref="K7:K12" si="0">J7*(I7-H7)</f>
        <v>182000</v>
      </c>
    </row>
    <row r="8" spans="1:11">
      <c r="A8" s="6">
        <v>19077</v>
      </c>
      <c r="C8" s="6">
        <v>19077</v>
      </c>
      <c r="E8" s="6">
        <v>19077</v>
      </c>
      <c r="G8" s="19" t="s">
        <v>62</v>
      </c>
      <c r="H8" s="19">
        <v>22</v>
      </c>
      <c r="I8" s="19">
        <v>29.1</v>
      </c>
      <c r="J8" s="19">
        <v>2200</v>
      </c>
      <c r="K8" s="19">
        <f t="shared" si="0"/>
        <v>15620</v>
      </c>
    </row>
    <row r="9" spans="1:11">
      <c r="A9" s="6">
        <v>10167</v>
      </c>
      <c r="C9" s="6">
        <v>10167</v>
      </c>
      <c r="E9" s="6">
        <v>10167</v>
      </c>
      <c r="G9" s="19" t="s">
        <v>63</v>
      </c>
      <c r="H9" s="19">
        <v>36</v>
      </c>
      <c r="I9" s="19">
        <v>32.4</v>
      </c>
      <c r="J9" s="19">
        <v>300</v>
      </c>
      <c r="K9" s="19">
        <f t="shared" si="0"/>
        <v>-1080</v>
      </c>
    </row>
    <row r="10" spans="1:11">
      <c r="A10" s="6">
        <v>13248</v>
      </c>
      <c r="C10" s="6">
        <v>13248</v>
      </c>
      <c r="E10" s="6">
        <v>13248</v>
      </c>
      <c r="G10" s="19" t="s">
        <v>64</v>
      </c>
      <c r="H10" s="19">
        <v>36</v>
      </c>
      <c r="I10" s="19">
        <v>36</v>
      </c>
      <c r="J10" s="19">
        <v>4000</v>
      </c>
      <c r="K10" s="19">
        <f t="shared" si="0"/>
        <v>0</v>
      </c>
    </row>
    <row r="11" spans="1:11">
      <c r="A11" s="6">
        <v>6360</v>
      </c>
      <c r="C11" s="6">
        <v>6360</v>
      </c>
      <c r="E11" s="6">
        <v>6360</v>
      </c>
      <c r="G11" s="19" t="s">
        <v>65</v>
      </c>
      <c r="H11" s="19">
        <v>51</v>
      </c>
      <c r="I11" s="19">
        <v>42</v>
      </c>
      <c r="J11" s="19">
        <v>700</v>
      </c>
      <c r="K11" s="19">
        <f t="shared" si="0"/>
        <v>-6300</v>
      </c>
    </row>
    <row r="12" spans="1:11">
      <c r="A12" s="6">
        <v>11740</v>
      </c>
      <c r="C12" s="6">
        <v>11740</v>
      </c>
      <c r="E12" s="6">
        <v>11740</v>
      </c>
      <c r="G12" s="19" t="s">
        <v>66</v>
      </c>
      <c r="H12" s="19">
        <v>31</v>
      </c>
      <c r="I12" s="19">
        <v>17</v>
      </c>
      <c r="J12" s="19">
        <v>400</v>
      </c>
      <c r="K12" s="19">
        <f t="shared" si="0"/>
        <v>-5600</v>
      </c>
    </row>
    <row r="13" spans="1:5">
      <c r="A13" s="6">
        <v>5325</v>
      </c>
      <c r="C13" s="6">
        <v>5325</v>
      </c>
      <c r="E13" s="6">
        <v>5325</v>
      </c>
    </row>
    <row r="14" spans="1:5">
      <c r="A14" s="6">
        <v>7873</v>
      </c>
      <c r="C14" s="6">
        <v>7873</v>
      </c>
      <c r="E14" s="6">
        <v>7873</v>
      </c>
    </row>
    <row r="15" spans="1:5">
      <c r="A15" s="6">
        <v>19043</v>
      </c>
      <c r="C15" s="6">
        <v>19043</v>
      </c>
      <c r="E15" s="6">
        <v>19043</v>
      </c>
    </row>
    <row r="16" spans="1:5">
      <c r="A16" s="6">
        <v>12143</v>
      </c>
      <c r="C16" s="6">
        <v>12143</v>
      </c>
      <c r="E16" s="6">
        <v>12143</v>
      </c>
    </row>
    <row r="17" spans="1:5">
      <c r="A17" s="6">
        <v>22300</v>
      </c>
      <c r="C17" s="6">
        <v>22300</v>
      </c>
      <c r="E17" s="6">
        <v>22300</v>
      </c>
    </row>
    <row r="18" spans="1:5">
      <c r="A18" s="6">
        <v>10145</v>
      </c>
      <c r="C18" s="6">
        <v>10145</v>
      </c>
      <c r="E18" s="6">
        <v>10145</v>
      </c>
    </row>
    <row r="19" spans="1:5">
      <c r="A19" s="6">
        <v>14309</v>
      </c>
      <c r="C19" s="6">
        <v>14309</v>
      </c>
      <c r="E19" s="6">
        <v>14309</v>
      </c>
    </row>
  </sheetData>
  <conditionalFormatting sqref="A7:A1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{dcf8f9bd-a633-43eb-8476-c1b545b730cc}</x14:id>
        </ext>
      </extLst>
    </cfRule>
  </conditionalFormatting>
  <conditionalFormatting sqref="C7:C19">
    <cfRule type="top10" dxfId="2" priority="3" percent="1" rank="25"/>
  </conditionalFormatting>
  <conditionalFormatting sqref="E7:E19">
    <cfRule type="cellIs" dxfId="3" priority="2" operator="greaterThan">
      <formula>$F$2</formula>
    </cfRule>
  </conditionalFormatting>
  <conditionalFormatting sqref="K7:K12">
    <cfRule type="cellIs" dxfId="4" priority="1" operator="lessThan">
      <formula>0</formula>
    </cfRule>
  </conditionalFormatting>
  <pageMargins left="0.7" right="0.7" top="0.75" bottom="0.75" header="0.3" footer="0.3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cf8f9bd-a633-43eb-8476-c1b545b730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A7:A19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1"/>
  </sheetPr>
  <dimension ref="A1"/>
  <sheetViews>
    <sheetView workbookViewId="0">
      <selection activeCell="A1" sqref="A1"/>
    </sheetView>
  </sheetViews>
  <sheetFormatPr defaultColWidth="9" defaultRowHeight="15"/>
  <sheetData/>
  <pageMargins left="0.7" right="0.7" top="0.75" bottom="0.75" header="0.3" footer="0.3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K10"/>
  <sheetViews>
    <sheetView tabSelected="1" zoomScale="190" zoomScaleNormal="190" workbookViewId="0">
      <selection activeCell="F6" sqref="F6"/>
    </sheetView>
  </sheetViews>
  <sheetFormatPr defaultColWidth="9" defaultRowHeight="15"/>
  <cols>
    <col min="1" max="1" width="23.3809523809524" customWidth="1"/>
    <col min="2" max="5" width="11.2857142857143"/>
  </cols>
  <sheetData>
    <row r="1" spans="1:11">
      <c r="A1" s="1" t="s">
        <v>67</v>
      </c>
      <c r="B1" s="2"/>
      <c r="C1" s="2"/>
      <c r="D1" s="2"/>
      <c r="E1" s="2"/>
      <c r="F1" s="2"/>
      <c r="G1" s="2"/>
      <c r="H1" s="2"/>
      <c r="I1" s="2"/>
      <c r="J1" s="2"/>
      <c r="K1" s="7"/>
    </row>
    <row r="4" spans="2:5">
      <c r="B4" s="10" t="s">
        <v>5</v>
      </c>
      <c r="C4" s="10" t="s">
        <v>6</v>
      </c>
      <c r="D4" s="10" t="s">
        <v>7</v>
      </c>
      <c r="E4" s="10" t="s">
        <v>8</v>
      </c>
    </row>
    <row r="5" spans="1:5">
      <c r="A5" s="14" t="s">
        <v>9</v>
      </c>
      <c r="B5" s="15">
        <v>5689</v>
      </c>
      <c r="C5" s="15">
        <v>2569</v>
      </c>
      <c r="D5" s="15">
        <v>6587</v>
      </c>
      <c r="E5" s="15">
        <v>8700</v>
      </c>
    </row>
    <row r="6" spans="1:5">
      <c r="A6" s="14" t="s">
        <v>10</v>
      </c>
      <c r="B6" s="15">
        <v>1801.15</v>
      </c>
      <c r="C6" s="15">
        <v>2099.15</v>
      </c>
      <c r="D6" s="15">
        <v>4100.3</v>
      </c>
      <c r="E6" s="15">
        <v>4245</v>
      </c>
    </row>
    <row r="7" spans="1:5">
      <c r="A7" s="14" t="s">
        <v>17</v>
      </c>
      <c r="B7" s="15">
        <v>537.8</v>
      </c>
      <c r="C7" s="15">
        <v>513.8</v>
      </c>
      <c r="D7" s="15">
        <v>1617.4</v>
      </c>
      <c r="E7" s="15">
        <v>1740</v>
      </c>
    </row>
    <row r="8" spans="1:5">
      <c r="A8" s="14" t="s">
        <v>18</v>
      </c>
      <c r="B8" s="15">
        <v>253.35</v>
      </c>
      <c r="C8" s="15">
        <v>385.35</v>
      </c>
      <c r="D8" s="15">
        <f>D5-D6-D7</f>
        <v>869.3</v>
      </c>
      <c r="E8" s="15">
        <v>1305</v>
      </c>
    </row>
    <row r="9" ht="15.75" spans="1:5">
      <c r="A9" s="14" t="s">
        <v>20</v>
      </c>
      <c r="B9" s="16">
        <f t="shared" ref="B9:E9" si="0">SUM(B6:B8)</f>
        <v>2592.3</v>
      </c>
      <c r="C9" s="16">
        <f t="shared" si="0"/>
        <v>2998.3</v>
      </c>
      <c r="D9" s="16">
        <f t="shared" si="0"/>
        <v>6587</v>
      </c>
      <c r="E9" s="16">
        <f t="shared" si="0"/>
        <v>7290</v>
      </c>
    </row>
    <row r="10" ht="15.75" spans="1:5">
      <c r="A10" s="14" t="s">
        <v>23</v>
      </c>
      <c r="B10" s="17">
        <f t="shared" ref="B10:E10" si="1">B5-B9</f>
        <v>3096.7</v>
      </c>
      <c r="C10" s="17">
        <f t="shared" si="1"/>
        <v>-429.3</v>
      </c>
      <c r="D10" s="17">
        <f t="shared" si="1"/>
        <v>0</v>
      </c>
      <c r="E10" s="17">
        <f t="shared" si="1"/>
        <v>1410</v>
      </c>
    </row>
  </sheetData>
  <pageMargins left="0.7" right="0.7" top="0.75" bottom="0.75" header="0.3" footer="0.3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K11"/>
  <sheetViews>
    <sheetView zoomScale="220" zoomScaleNormal="220" topLeftCell="A3" workbookViewId="0">
      <selection activeCell="A1" sqref="A1"/>
    </sheetView>
  </sheetViews>
  <sheetFormatPr defaultColWidth="9" defaultRowHeight="15"/>
  <cols>
    <col min="1" max="1" width="23.4285714285714" customWidth="1"/>
    <col min="2" max="5" width="11.1428571428571" customWidth="1"/>
  </cols>
  <sheetData>
    <row r="1" spans="1:11">
      <c r="A1" s="1" t="s">
        <v>67</v>
      </c>
      <c r="B1" s="2"/>
      <c r="C1" s="2"/>
      <c r="D1" s="2"/>
      <c r="E1" s="2"/>
      <c r="F1" s="2"/>
      <c r="G1" s="2"/>
      <c r="H1" s="2"/>
      <c r="I1" s="2"/>
      <c r="J1" s="2"/>
      <c r="K1" s="7"/>
    </row>
    <row r="4" spans="2:5">
      <c r="B4" s="10" t="s">
        <v>5</v>
      </c>
      <c r="C4" s="10" t="s">
        <v>6</v>
      </c>
      <c r="D4" s="10" t="s">
        <v>7</v>
      </c>
      <c r="E4" s="10" t="s">
        <v>8</v>
      </c>
    </row>
    <row r="5" spans="1:5">
      <c r="A5" s="10" t="s">
        <v>9</v>
      </c>
      <c r="B5" s="11">
        <v>5689</v>
      </c>
      <c r="C5" s="11">
        <v>2569</v>
      </c>
      <c r="D5" s="11">
        <v>6587</v>
      </c>
      <c r="E5" s="11">
        <v>8700</v>
      </c>
    </row>
    <row r="6" spans="1:5">
      <c r="A6" s="10" t="s">
        <v>10</v>
      </c>
      <c r="B6" s="11">
        <v>1801.15</v>
      </c>
      <c r="C6" s="11">
        <v>2099.15</v>
      </c>
      <c r="D6" s="11">
        <v>4100.3</v>
      </c>
      <c r="E6" s="11">
        <v>4245</v>
      </c>
    </row>
    <row r="7" spans="1:5">
      <c r="A7" s="10" t="s">
        <v>17</v>
      </c>
      <c r="B7" s="11">
        <v>537.8</v>
      </c>
      <c r="C7" s="11">
        <v>513.8</v>
      </c>
      <c r="D7" s="11">
        <v>1617.4</v>
      </c>
      <c r="E7" s="11">
        <v>1740</v>
      </c>
    </row>
    <row r="8" ht="15.75" spans="1:5">
      <c r="A8" s="10" t="s">
        <v>18</v>
      </c>
      <c r="B8" s="11">
        <v>253.35</v>
      </c>
      <c r="C8" s="11">
        <v>385.35</v>
      </c>
      <c r="D8" s="11">
        <f>D5-D6-D7</f>
        <v>869.3</v>
      </c>
      <c r="E8" s="11">
        <v>1305</v>
      </c>
    </row>
    <row r="9" ht="15.75" spans="1:5">
      <c r="A9" s="10" t="s">
        <v>20</v>
      </c>
      <c r="B9" s="12">
        <f t="shared" ref="B9:E9" si="0">SUM(B6:B8)</f>
        <v>2592.3</v>
      </c>
      <c r="C9" s="12">
        <f t="shared" si="0"/>
        <v>2998.3</v>
      </c>
      <c r="D9" s="12">
        <f t="shared" si="0"/>
        <v>6587</v>
      </c>
      <c r="E9" s="12">
        <f t="shared" si="0"/>
        <v>7290</v>
      </c>
    </row>
    <row r="10" ht="15.75" spans="1:5">
      <c r="A10" s="10" t="s">
        <v>23</v>
      </c>
      <c r="B10" s="13">
        <f t="shared" ref="B10:E10" si="1">B5-B9</f>
        <v>3096.7</v>
      </c>
      <c r="C10" s="13">
        <f t="shared" si="1"/>
        <v>-429.3</v>
      </c>
      <c r="D10" s="13">
        <f t="shared" si="1"/>
        <v>0</v>
      </c>
      <c r="E10" s="13">
        <f t="shared" si="1"/>
        <v>1410</v>
      </c>
    </row>
    <row r="11" ht="15.75"/>
  </sheetData>
  <pageMargins left="0.7" right="0.7" top="0.75" bottom="0.75" header="0.3" footer="0.3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J19"/>
  <sheetViews>
    <sheetView zoomScale="160" zoomScaleNormal="160" topLeftCell="A6" workbookViewId="0">
      <selection activeCell="A7" sqref="A7:A19"/>
    </sheetView>
  </sheetViews>
  <sheetFormatPr defaultColWidth="9" defaultRowHeight="15"/>
  <cols>
    <col min="1" max="1" width="16" customWidth="1"/>
    <col min="3" max="3" width="10.1428571428571" customWidth="1"/>
  </cols>
  <sheetData>
    <row r="1" spans="1:10">
      <c r="A1" s="1" t="s">
        <v>68</v>
      </c>
      <c r="B1" s="2"/>
      <c r="C1" s="2"/>
      <c r="D1" s="2"/>
      <c r="E1" s="2"/>
      <c r="F1" s="2"/>
      <c r="G1" s="2"/>
      <c r="H1" s="2"/>
      <c r="I1" s="2"/>
      <c r="J1" s="7"/>
    </row>
    <row r="6" spans="1:4">
      <c r="A6" s="5" t="s">
        <v>28</v>
      </c>
      <c r="D6" s="8" t="s">
        <v>69</v>
      </c>
    </row>
    <row r="7" spans="1:4">
      <c r="A7" s="6">
        <v>118000</v>
      </c>
      <c r="D7" s="9">
        <v>112500</v>
      </c>
    </row>
    <row r="8" spans="1:1">
      <c r="A8" s="6">
        <v>119077</v>
      </c>
    </row>
    <row r="9" spans="1:1">
      <c r="A9" s="6">
        <v>110167</v>
      </c>
    </row>
    <row r="10" spans="1:1">
      <c r="A10" s="6">
        <v>113248</v>
      </c>
    </row>
    <row r="11" spans="1:1">
      <c r="A11" s="6">
        <v>106360</v>
      </c>
    </row>
    <row r="12" spans="1:1">
      <c r="A12" s="6">
        <v>111740</v>
      </c>
    </row>
    <row r="13" spans="1:1">
      <c r="A13" s="6">
        <v>105325</v>
      </c>
    </row>
    <row r="14" spans="1:1">
      <c r="A14" s="6">
        <v>107873</v>
      </c>
    </row>
    <row r="15" spans="1:1">
      <c r="A15" s="6">
        <v>119043</v>
      </c>
    </row>
    <row r="16" spans="1:1">
      <c r="A16" s="6">
        <v>112143</v>
      </c>
    </row>
    <row r="17" spans="1:1">
      <c r="A17" s="6">
        <v>122300</v>
      </c>
    </row>
    <row r="18" spans="1:1">
      <c r="A18" s="6">
        <v>110145</v>
      </c>
    </row>
    <row r="19" spans="1:1">
      <c r="A19" s="6">
        <v>114309</v>
      </c>
    </row>
  </sheetData>
  <conditionalFormatting sqref="A7:A19">
    <cfRule type="cellIs" dxfId="5" priority="1" operator="greaterThan">
      <formula>$D$7</formula>
    </cfRule>
  </conditionalFormatting>
  <pageMargins left="0.7" right="0.7" top="0.75" bottom="0.75" header="0.3" footer="0.3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J19"/>
  <sheetViews>
    <sheetView zoomScale="160" zoomScaleNormal="160" workbookViewId="0">
      <selection activeCell="A3" sqref="A3"/>
    </sheetView>
  </sheetViews>
  <sheetFormatPr defaultColWidth="9" defaultRowHeight="15"/>
  <cols>
    <col min="1" max="1" width="16" customWidth="1"/>
    <col min="3" max="3" width="10.1428571428571" customWidth="1"/>
  </cols>
  <sheetData>
    <row r="1" spans="1:10">
      <c r="A1" s="1" t="s">
        <v>68</v>
      </c>
      <c r="B1" s="2"/>
      <c r="C1" s="2"/>
      <c r="D1" s="2"/>
      <c r="E1" s="2"/>
      <c r="F1" s="2"/>
      <c r="G1" s="2"/>
      <c r="H1" s="2"/>
      <c r="I1" s="2"/>
      <c r="J1" s="7"/>
    </row>
    <row r="3" spans="1:1">
      <c r="A3" s="3" t="s">
        <v>70</v>
      </c>
    </row>
    <row r="4" spans="1:1">
      <c r="A4" s="4">
        <v>112500</v>
      </c>
    </row>
    <row r="6" spans="1:1">
      <c r="A6" s="5" t="s">
        <v>28</v>
      </c>
    </row>
    <row r="7" spans="1:1">
      <c r="A7" s="6">
        <v>118000</v>
      </c>
    </row>
    <row r="8" spans="1:1">
      <c r="A8" s="6">
        <v>119077</v>
      </c>
    </row>
    <row r="9" spans="1:1">
      <c r="A9" s="6">
        <v>110167</v>
      </c>
    </row>
    <row r="10" spans="1:1">
      <c r="A10" s="6">
        <v>113248</v>
      </c>
    </row>
    <row r="11" spans="1:1">
      <c r="A11" s="6">
        <v>106360</v>
      </c>
    </row>
    <row r="12" spans="1:1">
      <c r="A12" s="6">
        <v>111740</v>
      </c>
    </row>
    <row r="13" spans="1:1">
      <c r="A13" s="6">
        <v>105325</v>
      </c>
    </row>
    <row r="14" spans="1:1">
      <c r="A14" s="6">
        <v>107873</v>
      </c>
    </row>
    <row r="15" spans="1:1">
      <c r="A15" s="6">
        <v>119043</v>
      </c>
    </row>
    <row r="16" spans="1:1">
      <c r="A16" s="6">
        <v>112143</v>
      </c>
    </row>
    <row r="17" spans="1:1">
      <c r="A17" s="6">
        <v>122300</v>
      </c>
    </row>
    <row r="18" spans="1:1">
      <c r="A18" s="6">
        <v>110145</v>
      </c>
    </row>
    <row r="19" spans="1:1">
      <c r="A19" s="6">
        <v>114309</v>
      </c>
    </row>
  </sheetData>
  <conditionalFormatting sqref="A7:A19">
    <cfRule type="cellIs" dxfId="6" priority="1" operator="greaterThan">
      <formula>$A$4</formula>
    </cfRule>
  </conditionalFormatting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Cover</vt:lpstr>
      <vt:lpstr>Accounting Style</vt:lpstr>
      <vt:lpstr>Accounting Style (an)</vt:lpstr>
      <vt:lpstr>Column W</vt:lpstr>
      <vt:lpstr>Column W (an)</vt:lpstr>
      <vt:lpstr>Wrap Text</vt:lpstr>
      <vt:lpstr>Wrap Text (an)</vt:lpstr>
      <vt:lpstr>Table</vt:lpstr>
      <vt:lpstr>Table (an)</vt:lpstr>
      <vt:lpstr>Cell</vt:lpstr>
      <vt:lpstr>Cell (an)</vt:lpstr>
      <vt:lpstr>CF</vt:lpstr>
      <vt:lpstr>CF (an)</vt:lpstr>
      <vt:lpstr>HW==&gt;&gt;</vt:lpstr>
      <vt:lpstr>HW(1)</vt:lpstr>
      <vt:lpstr>HW(1an)</vt:lpstr>
      <vt:lpstr>HW(2)</vt:lpstr>
      <vt:lpstr>HW(2an)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WPS_1644060671</cp:lastModifiedBy>
  <dcterms:created xsi:type="dcterms:W3CDTF">2017-11-06T17:31:00Z</dcterms:created>
  <dcterms:modified xsi:type="dcterms:W3CDTF">2023-06-04T16:23:38Z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7C53772E545A416385A12798D5096CD6</vt:lpwstr>
  </property>
  <property fmtid="{D5CDD505-2E9C-101B-9397-08002B2CF9AE}" pid="3" name="KSOProductBuildVer">
    <vt:lpwstr>1033-11.2.0.11537</vt:lpwstr>
  </property>
</Properties>
</file>