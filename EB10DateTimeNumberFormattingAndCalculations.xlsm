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9815" windowHeight="7695" activeTab="3"/>
  </bookViews>
  <sheets>
    <sheet name="Cover" sheetId="2" r:id="rId1"/>
    <sheet name="Date NF &amp; Calcs" sheetId="1" r:id="rId2"/>
    <sheet name="Date NF &amp; Calcs (an)" sheetId="15" r:id="rId3"/>
    <sheet name="Time NF &amp; Calcs" sheetId="5" r:id="rId4"/>
    <sheet name="Time NF &amp; Calcs (an)" sheetId="17" r:id="rId5"/>
    <sheet name="TimeSheet" sheetId="3" r:id="rId6"/>
    <sheet name="HW ==&gt;&gt;" sheetId="8" r:id="rId7"/>
    <sheet name="HW(1)" sheetId="9" r:id="rId8"/>
    <sheet name="HW(1an)" sheetId="10" r:id="rId9"/>
    <sheet name="HW(2)" sheetId="11" r:id="rId10"/>
    <sheet name="HW(2an)" sheetId="13" r:id="rId11"/>
    <sheet name="HW(3)" sheetId="14" r:id="rId12"/>
    <sheet name="HW(3an)" sheetId="16" r:id="rId13"/>
    <sheet name="HW(4)" sheetId="18" r:id="rId14"/>
    <sheet name="HW(4an)" sheetId="19" r:id="rId15"/>
  </sheets>
  <calcPr calcId="144525"/>
</workbook>
</file>

<file path=xl/sharedStrings.xml><?xml version="1.0" encoding="utf-8"?>
<sst xmlns="http://schemas.openxmlformats.org/spreadsheetml/2006/main" count="378" uniqueCount="142">
  <si>
    <t>Excel Basics 10: Date &amp; Time Number Formatting, Formulas, Functions &amp; Calculations</t>
  </si>
  <si>
    <t>Excel Basics 10: What is Under Date &amp; Time Number Formatting? And How to Make Date &amp; Time Formulas!</t>
  </si>
  <si>
    <t>Office 2016 Video #22</t>
  </si>
  <si>
    <t>Topics:</t>
  </si>
  <si>
    <t>1) Date Number Formatting</t>
  </si>
  <si>
    <t>2) Number Days Invoice Late Calc</t>
  </si>
  <si>
    <t>3) Number Days in Project Calc</t>
  </si>
  <si>
    <t>4) Loan Maturity Date Calc</t>
  </si>
  <si>
    <t>5) EDATE Function</t>
  </si>
  <si>
    <t>6) EOMONTH Function</t>
  </si>
  <si>
    <t>7) Time Number Formatting</t>
  </si>
  <si>
    <t>8) Hours Worked Calc</t>
  </si>
  <si>
    <t>9) Hours Worked Before and After Lunch Calc</t>
  </si>
  <si>
    <t>10) Full Payroll Time Sheet Net Pay Template</t>
  </si>
  <si>
    <t xml:space="preserve">Date Number Formatting: </t>
  </si>
  <si>
    <t>Under dates, there are serial numbers, which are the number of days since Dec 31, 1899.</t>
  </si>
  <si>
    <t>Date:</t>
  </si>
  <si>
    <t>Date</t>
  </si>
  <si>
    <t>Actual Number in Cell</t>
  </si>
  <si>
    <t>Why? So we can do Date Math!</t>
  </si>
  <si>
    <t>Invoice due date</t>
  </si>
  <si>
    <t>Enter dates with forward slashes (there are other ways also)</t>
  </si>
  <si>
    <t>Today</t>
  </si>
  <si>
    <t>Keyboard for today's date: Ctrl + ;</t>
  </si>
  <si>
    <t>Days past due</t>
  </si>
  <si>
    <r>
      <rPr>
        <b/>
        <sz val="11"/>
        <color theme="1"/>
        <rFont val="Calibri"/>
        <charset val="134"/>
        <scheme val="minor"/>
      </rPr>
      <t>Important Formula</t>
    </r>
    <r>
      <rPr>
        <sz val="11"/>
        <color theme="1"/>
        <rFont val="Calibri"/>
        <charset val="134"/>
        <scheme val="minor"/>
      </rPr>
      <t xml:space="preserve">: Days between dates = </t>
    </r>
    <r>
      <rPr>
        <b/>
        <sz val="11"/>
        <color theme="1"/>
        <rFont val="Calibri"/>
        <charset val="134"/>
        <scheme val="minor"/>
      </rPr>
      <t>Later Date - Earlier Date</t>
    </r>
  </si>
  <si>
    <r>
      <rPr>
        <b/>
        <sz val="11"/>
        <color theme="1"/>
        <rFont val="Calibri"/>
        <charset val="134"/>
        <scheme val="minor"/>
      </rPr>
      <t>TODAY</t>
    </r>
    <r>
      <rPr>
        <sz val="11"/>
        <color theme="1"/>
        <rFont val="Calibri"/>
        <charset val="134"/>
        <scheme val="minor"/>
      </rPr>
      <t xml:space="preserve"> function dynamically puts today's date in the cell and updates each new day you open the Workbook file.</t>
    </r>
  </si>
  <si>
    <t>=TODAY() is an argumentless function</t>
  </si>
  <si>
    <t>Loan issue date</t>
  </si>
  <si>
    <t>Days until loan due</t>
  </si>
  <si>
    <t>Maturity Date</t>
  </si>
  <si>
    <t>You can add numbers to dates</t>
  </si>
  <si>
    <t>Project Start Date</t>
  </si>
  <si>
    <t>Project End Date</t>
  </si>
  <si>
    <t># days for project</t>
  </si>
  <si>
    <r>
      <rPr>
        <b/>
        <sz val="11"/>
        <color theme="1"/>
        <rFont val="Calibri"/>
        <charset val="134"/>
        <scheme val="minor"/>
      </rPr>
      <t>Important Formula</t>
    </r>
    <r>
      <rPr>
        <sz val="11"/>
        <color theme="1"/>
        <rFont val="Calibri"/>
        <charset val="134"/>
        <scheme val="minor"/>
      </rPr>
      <t xml:space="preserve">: Days between dates where start date IS included= </t>
    </r>
    <r>
      <rPr>
        <b/>
        <sz val="11"/>
        <color theme="1"/>
        <rFont val="Calibri"/>
        <charset val="134"/>
        <scheme val="minor"/>
      </rPr>
      <t>Later Date - Earlier Date + 1</t>
    </r>
  </si>
  <si>
    <t>Calculate the Due Date if the invoice contract says that the amount is due on the same day, two month's ahead.</t>
  </si>
  <si>
    <t>InvoiceDate</t>
  </si>
  <si>
    <t>Due in 2 Months</t>
  </si>
  <si>
    <t>Due Date</t>
  </si>
  <si>
    <t>EDATE function allows you to take a date and get the same day in a future or past month.</t>
  </si>
  <si>
    <t>=EDATE(Date,2) jumps two months ahead. =EDATE(Date,-2) jumps two months backwards.</t>
  </si>
  <si>
    <t>Calculate the Due Date if the invoice contract says that the amount is due at the end of the month.</t>
  </si>
  <si>
    <t>EOMONTH allows you to take a date get the end of the month date for the current month, a future month, or a past month.</t>
  </si>
  <si>
    <t>=EOMONTH(Date,0) gives you the end of the month</t>
  </si>
  <si>
    <t>=EOMONTH(Date,1) gives you the end of next month</t>
  </si>
  <si>
    <t>=EOMONTH(Date,-1) gives you the end of last month.</t>
  </si>
  <si>
    <t>Customer</t>
  </si>
  <si>
    <t>Amount Owed</t>
  </si>
  <si>
    <t>Invoice Due Date</t>
  </si>
  <si>
    <t>Number Days Invoice Late</t>
  </si>
  <si>
    <t>Cicely Lange</t>
  </si>
  <si>
    <t>Larhonda Goode</t>
  </si>
  <si>
    <t>Lonna Clemens</t>
  </si>
  <si>
    <t>Vanesa Herzog</t>
  </si>
  <si>
    <t>Alessandra Reis</t>
  </si>
  <si>
    <t>Ashanti Anglin</t>
  </si>
  <si>
    <t>Kamala Leyva</t>
  </si>
  <si>
    <t>Robena Briseno</t>
  </si>
  <si>
    <t>Eryn Huntington</t>
  </si>
  <si>
    <t>Clarita Bagwell</t>
  </si>
  <si>
    <t>Antwan Steel</t>
  </si>
  <si>
    <t>Alfonzo Chance</t>
  </si>
  <si>
    <t>Muoi Parrish</t>
  </si>
  <si>
    <t>Chang Teel</t>
  </si>
  <si>
    <t>Hsiu Wallis</t>
  </si>
  <si>
    <t>Rosalyn Huffman</t>
  </si>
  <si>
    <t>Time Number Format:</t>
  </si>
  <si>
    <t>Under the Time Number Format is a serial number that represents the proportion of one 24-hour day</t>
  </si>
  <si>
    <t>Time serial number = Proportion of the 24 hour day</t>
  </si>
  <si>
    <r>
      <rPr>
        <sz val="11"/>
        <color theme="1"/>
        <rFont val="Calibri"/>
        <charset val="134"/>
        <scheme val="minor"/>
      </rPr>
      <t xml:space="preserve">Enter time as: </t>
    </r>
    <r>
      <rPr>
        <b/>
        <sz val="11"/>
        <color theme="1"/>
        <rFont val="Calibri"/>
        <charset val="134"/>
        <scheme val="minor"/>
      </rPr>
      <t>hours</t>
    </r>
    <r>
      <rPr>
        <sz val="11"/>
        <color theme="1"/>
        <rFont val="Calibri"/>
        <charset val="134"/>
        <scheme val="minor"/>
      </rPr>
      <t xml:space="preserve">, </t>
    </r>
    <r>
      <rPr>
        <b/>
        <sz val="11"/>
        <color theme="1"/>
        <rFont val="Calibri"/>
        <charset val="134"/>
        <scheme val="minor"/>
      </rPr>
      <t>colon</t>
    </r>
    <r>
      <rPr>
        <sz val="11"/>
        <color theme="1"/>
        <rFont val="Calibri"/>
        <charset val="134"/>
        <scheme val="minor"/>
      </rPr>
      <t xml:space="preserve">, </t>
    </r>
    <r>
      <rPr>
        <b/>
        <sz val="11"/>
        <color theme="1"/>
        <rFont val="Calibri"/>
        <charset val="134"/>
        <scheme val="minor"/>
      </rPr>
      <t>minutes</t>
    </r>
    <r>
      <rPr>
        <sz val="11"/>
        <color theme="1"/>
        <rFont val="Calibri"/>
        <charset val="134"/>
        <scheme val="minor"/>
      </rPr>
      <t xml:space="preserve">, </t>
    </r>
    <r>
      <rPr>
        <b/>
        <sz val="11"/>
        <color theme="1"/>
        <rFont val="Calibri"/>
        <charset val="134"/>
        <scheme val="minor"/>
      </rPr>
      <t>colon</t>
    </r>
    <r>
      <rPr>
        <sz val="11"/>
        <color theme="1"/>
        <rFont val="Calibri"/>
        <charset val="134"/>
        <scheme val="minor"/>
      </rPr>
      <t xml:space="preserve">, </t>
    </r>
    <r>
      <rPr>
        <b/>
        <sz val="11"/>
        <color theme="1"/>
        <rFont val="Calibri"/>
        <charset val="134"/>
        <scheme val="minor"/>
      </rPr>
      <t>seconds</t>
    </r>
    <r>
      <rPr>
        <sz val="11"/>
        <color theme="1"/>
        <rFont val="Calibri"/>
        <charset val="134"/>
        <scheme val="minor"/>
      </rPr>
      <t xml:space="preserve">, then a </t>
    </r>
    <r>
      <rPr>
        <b/>
        <sz val="11"/>
        <color theme="1"/>
        <rFont val="Calibri"/>
        <charset val="134"/>
        <scheme val="minor"/>
      </rPr>
      <t>space</t>
    </r>
    <r>
      <rPr>
        <sz val="11"/>
        <color theme="1"/>
        <rFont val="Calibri"/>
        <charset val="134"/>
        <scheme val="minor"/>
      </rPr>
      <t xml:space="preserve">, and </t>
    </r>
    <r>
      <rPr>
        <b/>
        <sz val="11"/>
        <color theme="1"/>
        <rFont val="Calibri"/>
        <charset val="134"/>
        <scheme val="minor"/>
      </rPr>
      <t>AM or PM</t>
    </r>
    <r>
      <rPr>
        <sz val="11"/>
        <color theme="1"/>
        <rFont val="Calibri"/>
        <charset val="134"/>
        <scheme val="minor"/>
      </rPr>
      <t xml:space="preserve"> (there are other methods also)</t>
    </r>
  </si>
  <si>
    <t>Enter 8:00 AM Time ==&gt;&gt;</t>
  </si>
  <si>
    <t>Enter 8:00 AM Again ==&gt;&gt;
Then Apply General NF</t>
  </si>
  <si>
    <t>Type formula =8/24</t>
  </si>
  <si>
    <t>Apply General Number Format = Ctrl + Shift + ~</t>
  </si>
  <si>
    <t>Type formula Again ==&gt;&gt;
Then Time NF ==&gt;&gt;</t>
  </si>
  <si>
    <t>Time</t>
  </si>
  <si>
    <t>Proportion of 24 hour day</t>
  </si>
  <si>
    <t>Reduced to:</t>
  </si>
  <si>
    <t>(12+3)/24</t>
  </si>
  <si>
    <t>(12+3.25)/24</t>
  </si>
  <si>
    <r>
      <rPr>
        <sz val="11"/>
        <color theme="1"/>
        <rFont val="Calibri"/>
        <charset val="134"/>
        <scheme val="minor"/>
      </rPr>
      <t>Notice that we took a number and</t>
    </r>
    <r>
      <rPr>
        <b/>
        <sz val="11"/>
        <color theme="1"/>
        <rFont val="Calibri"/>
        <charset val="134"/>
        <scheme val="minor"/>
      </rPr>
      <t xml:space="preserve"> divided by 24</t>
    </r>
    <r>
      <rPr>
        <sz val="11"/>
        <color theme="1"/>
        <rFont val="Calibri"/>
        <charset val="134"/>
        <scheme val="minor"/>
      </rPr>
      <t>!!!!</t>
    </r>
  </si>
  <si>
    <r>
      <rPr>
        <sz val="11"/>
        <color theme="1"/>
        <rFont val="Calibri"/>
        <charset val="134"/>
        <scheme val="minor"/>
      </rPr>
      <t xml:space="preserve">This means that if we want to do Time Math and get hours as a result, we must </t>
    </r>
    <r>
      <rPr>
        <b/>
        <sz val="11"/>
        <color theme="1"/>
        <rFont val="Calibri"/>
        <charset val="134"/>
        <scheme val="minor"/>
      </rPr>
      <t>multiply the decimal time answer by 24</t>
    </r>
    <r>
      <rPr>
        <sz val="11"/>
        <color theme="1"/>
        <rFont val="Calibri"/>
        <charset val="134"/>
        <scheme val="minor"/>
      </rPr>
      <t>!!!!</t>
    </r>
  </si>
  <si>
    <t>Wage per hour</t>
  </si>
  <si>
    <t>Time In</t>
  </si>
  <si>
    <t>Time Out</t>
  </si>
  <si>
    <t>Total Hours worked</t>
  </si>
  <si>
    <r>
      <rPr>
        <b/>
        <sz val="11"/>
        <color theme="1"/>
        <rFont val="Calibri"/>
        <charset val="134"/>
        <scheme val="minor"/>
      </rPr>
      <t>Important Formula</t>
    </r>
    <r>
      <rPr>
        <sz val="11"/>
        <color theme="1"/>
        <rFont val="Calibri"/>
        <charset val="134"/>
        <scheme val="minor"/>
      </rPr>
      <t xml:space="preserve">: Hours Worked = </t>
    </r>
    <r>
      <rPr>
        <b/>
        <sz val="11"/>
        <color theme="1"/>
        <rFont val="Calibri"/>
        <charset val="134"/>
        <scheme val="minor"/>
      </rPr>
      <t>(Later Time - Earlier Time)*24</t>
    </r>
  </si>
  <si>
    <t>Gross Pay</t>
  </si>
  <si>
    <t>Homework tracker:</t>
  </si>
  <si>
    <t>Start Time</t>
  </si>
  <si>
    <t>End Time</t>
  </si>
  <si>
    <t>Hours worked</t>
  </si>
  <si>
    <t>Total</t>
  </si>
  <si>
    <t>or</t>
  </si>
  <si>
    <t>Tax Rate</t>
  </si>
  <si>
    <t>Payroll Example:</t>
  </si>
  <si>
    <t>Employee</t>
  </si>
  <si>
    <t>Wage</t>
  </si>
  <si>
    <t>Hours Worked</t>
  </si>
  <si>
    <t>Deduction</t>
  </si>
  <si>
    <t>Day's Pay</t>
  </si>
  <si>
    <t>Carroll  Stanley</t>
  </si>
  <si>
    <t>Anne  Ramos</t>
  </si>
  <si>
    <t>Blanche  Sanchez</t>
  </si>
  <si>
    <t>Karla  Fletcher</t>
  </si>
  <si>
    <t>Devin  Smith</t>
  </si>
  <si>
    <t>Edna  Hansen</t>
  </si>
  <si>
    <t>Moses  Swanson</t>
  </si>
  <si>
    <t>Sherman  Moss</t>
  </si>
  <si>
    <t>Amber  Rios</t>
  </si>
  <si>
    <t>Lindsey  Powers</t>
  </si>
  <si>
    <t>12?2/2017</t>
  </si>
  <si>
    <t>In the below table, create a formula for today's date and then calculate the number of days the invoice is late.</t>
  </si>
  <si>
    <t>Invoice #</t>
  </si>
  <si>
    <t>Ossie Kimbrough</t>
  </si>
  <si>
    <t>Adrien Dougherty</t>
  </si>
  <si>
    <t>Elwood Koehler</t>
  </si>
  <si>
    <t>Senaida Battles</t>
  </si>
  <si>
    <t>Claudette Barela</t>
  </si>
  <si>
    <t>Providencia Esposito</t>
  </si>
  <si>
    <t>Corliss Coffin</t>
  </si>
  <si>
    <t>Rafaela Sparkman</t>
  </si>
  <si>
    <t>Marvis Block</t>
  </si>
  <si>
    <t>Drucilla Ragsdale</t>
  </si>
  <si>
    <t>In the below table, create a formula to calcualte Number of Days in Project.</t>
  </si>
  <si>
    <t>Project Address</t>
  </si>
  <si>
    <t>Projected Start Date</t>
  </si>
  <si>
    <t>Projected End Date</t>
  </si>
  <si>
    <t>Number Of Days in Project</t>
  </si>
  <si>
    <t>9664 SE. Thomas St. </t>
  </si>
  <si>
    <t>92 Middle River Ave. </t>
  </si>
  <si>
    <t>7275 Belmont Lane </t>
  </si>
  <si>
    <t>9504 Grand St. </t>
  </si>
  <si>
    <t>8016 Applegate Court </t>
  </si>
  <si>
    <t>8 Canal Ave. </t>
  </si>
  <si>
    <t>28 Green Hill Lane </t>
  </si>
  <si>
    <t>26 West Purple Finch Ave. </t>
  </si>
  <si>
    <t>180 Augusta Ave. </t>
  </si>
  <si>
    <t>77 S. Sleepy Hollow Drive </t>
  </si>
  <si>
    <t>Using one of Excel's Date Functions, calculate the Due Date if the invoice contract says that the amount is due on the same day, two month's ahead.</t>
  </si>
  <si>
    <t>Using one of Excel's Date Functions, calculate the Due Date if the invoice contract says that the amount is due at the end of the month.</t>
  </si>
</sst>
</file>

<file path=xl/styles.xml><?xml version="1.0" encoding="utf-8"?>
<styleSheet xmlns="http://schemas.openxmlformats.org/spreadsheetml/2006/main">
  <numFmts count="12">
    <numFmt numFmtId="176" formatCode="?/?"/>
    <numFmt numFmtId="177" formatCode="_ * #,##0.00_ ;_ * \-#,##0.00_ ;_ * &quot;-&quot;??_ ;_ @_ "/>
    <numFmt numFmtId="178" formatCode="&quot;$&quot;#,##0.00"/>
    <numFmt numFmtId="179" formatCode="h:mm\ AM/PM"/>
    <numFmt numFmtId="44" formatCode="_(&quot;$&quot;* #,##0.00_);_(&quot;$&quot;* \(#,##0.00\);_(&quot;$&quot;* &quot;-&quot;??_);_(@_)"/>
    <numFmt numFmtId="180" formatCode="?/24"/>
    <numFmt numFmtId="181" formatCode="_ * #,##0_ ;_ * \-#,##0_ ;_ * &quot;-&quot;_ ;_ @_ "/>
    <numFmt numFmtId="42" formatCode="_(&quot;$&quot;* #,##0_);_(&quot;$&quot;* \(#,##0\);_(&quot;$&quot;* &quot;-&quot;_);_(@_)"/>
    <numFmt numFmtId="8" formatCode="&quot;$&quot;#,##0.00_);[Red]\(&quot;$&quot;#,##0.00\)"/>
    <numFmt numFmtId="182" formatCode="[$-409]h:mm\ AM/PM;@"/>
    <numFmt numFmtId="183" formatCode="[$-409]h:mm:ss\ AM/PM;@"/>
    <numFmt numFmtId="184" formatCode="hh:mm\ AM/PM"/>
  </numFmts>
  <fonts count="31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20"/>
      <color theme="1"/>
      <name val="Calibri"/>
      <charset val="134"/>
      <scheme val="minor"/>
    </font>
    <font>
      <b/>
      <sz val="17"/>
      <color theme="1"/>
      <name val="Calibri"/>
      <charset val="134"/>
      <scheme val="minor"/>
    </font>
    <font>
      <sz val="17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11" fillId="8" borderId="0" applyNumberFormat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181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3" fillId="10" borderId="23" applyNumberFormat="0" applyAlignment="0" applyProtection="0">
      <alignment vertical="center"/>
    </xf>
    <xf numFmtId="0" fontId="24" fillId="0" borderId="27" applyNumberFormat="0" applyFill="0" applyAlignment="0" applyProtection="0">
      <alignment vertical="center"/>
    </xf>
    <xf numFmtId="0" fontId="14" fillId="19" borderId="28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0" fillId="0" borderId="27" applyNumberFormat="0" applyFill="0" applyAlignment="0" applyProtection="0">
      <alignment vertical="center"/>
    </xf>
    <xf numFmtId="0" fontId="18" fillId="0" borderId="25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9" borderId="22" applyNumberFormat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29" fillId="18" borderId="29" applyNumberFormat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8" fillId="18" borderId="22" applyNumberFormat="0" applyAlignment="0" applyProtection="0">
      <alignment vertical="center"/>
    </xf>
    <xf numFmtId="0" fontId="22" fillId="0" borderId="26" applyNumberFormat="0" applyFill="0" applyAlignment="0" applyProtection="0">
      <alignment vertical="center"/>
    </xf>
    <xf numFmtId="0" fontId="16" fillId="0" borderId="24" applyNumberFormat="0" applyFill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</cellStyleXfs>
  <cellXfs count="6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3" borderId="4" xfId="0" applyFont="1" applyFill="1" applyBorder="1"/>
    <xf numFmtId="0" fontId="0" fillId="0" borderId="4" xfId="0" applyBorder="1"/>
    <xf numFmtId="0" fontId="2" fillId="4" borderId="4" xfId="0" applyFont="1" applyFill="1" applyBorder="1"/>
    <xf numFmtId="0" fontId="0" fillId="0" borderId="4" xfId="0" applyFill="1" applyBorder="1"/>
    <xf numFmtId="8" fontId="0" fillId="0" borderId="4" xfId="0" applyNumberFormat="1" applyBorder="1"/>
    <xf numFmtId="179" fontId="0" fillId="0" borderId="4" xfId="0" applyNumberFormat="1" applyBorder="1"/>
    <xf numFmtId="0" fontId="0" fillId="5" borderId="4" xfId="0" applyFill="1" applyBorder="1"/>
    <xf numFmtId="8" fontId="0" fillId="5" borderId="4" xfId="0" applyNumberFormat="1" applyFill="1" applyBorder="1"/>
    <xf numFmtId="0" fontId="0" fillId="5" borderId="4" xfId="0" applyNumberFormat="1" applyFill="1" applyBorder="1"/>
    <xf numFmtId="0" fontId="1" fillId="4" borderId="4" xfId="0" applyFont="1" applyFill="1" applyBorder="1"/>
    <xf numFmtId="58" fontId="0" fillId="0" borderId="4" xfId="0" applyNumberFormat="1" applyBorder="1"/>
    <xf numFmtId="58" fontId="0" fillId="5" borderId="4" xfId="0" applyNumberFormat="1" applyFill="1" applyBorder="1"/>
    <xf numFmtId="0" fontId="1" fillId="4" borderId="4" xfId="0" applyFont="1" applyFill="1" applyBorder="1" applyAlignment="1">
      <alignment wrapText="1"/>
    </xf>
    <xf numFmtId="0" fontId="1" fillId="4" borderId="5" xfId="0" applyFont="1" applyFill="1" applyBorder="1" applyAlignment="1">
      <alignment wrapText="1"/>
    </xf>
    <xf numFmtId="178" fontId="0" fillId="0" borderId="4" xfId="0" applyNumberFormat="1" applyBorder="1"/>
    <xf numFmtId="58" fontId="0" fillId="0" borderId="0" xfId="0" applyNumberFormat="1"/>
    <xf numFmtId="0" fontId="3" fillId="6" borderId="6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0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0" borderId="4" xfId="0" applyNumberFormat="1" applyBorder="1"/>
    <xf numFmtId="182" fontId="0" fillId="0" borderId="4" xfId="0" applyNumberFormat="1" applyBorder="1"/>
    <xf numFmtId="180" fontId="0" fillId="0" borderId="4" xfId="0" applyNumberFormat="1" applyBorder="1"/>
    <xf numFmtId="176" fontId="0" fillId="0" borderId="4" xfId="0" applyNumberFormat="1" applyBorder="1"/>
    <xf numFmtId="0" fontId="0" fillId="0" borderId="4" xfId="0" applyBorder="1" applyAlignment="1">
      <alignment horizontal="right"/>
    </xf>
    <xf numFmtId="0" fontId="0" fillId="6" borderId="6" xfId="0" applyFill="1" applyBorder="1"/>
    <xf numFmtId="0" fontId="3" fillId="0" borderId="0" xfId="0" applyFont="1"/>
    <xf numFmtId="183" fontId="0" fillId="0" borderId="4" xfId="0" applyNumberFormat="1" applyBorder="1"/>
    <xf numFmtId="179" fontId="0" fillId="5" borderId="4" xfId="0" applyNumberFormat="1" applyFill="1" applyBorder="1"/>
    <xf numFmtId="184" fontId="0" fillId="0" borderId="0" xfId="0" applyNumberFormat="1"/>
    <xf numFmtId="0" fontId="3" fillId="6" borderId="6" xfId="0" applyNumberFormat="1" applyFont="1" applyFill="1" applyBorder="1"/>
    <xf numFmtId="0" fontId="0" fillId="6" borderId="7" xfId="0" applyNumberFormat="1" applyFill="1" applyBorder="1"/>
    <xf numFmtId="0" fontId="0" fillId="6" borderId="8" xfId="0" applyNumberFormat="1" applyFill="1" applyBorder="1"/>
    <xf numFmtId="0" fontId="0" fillId="6" borderId="11" xfId="0" applyNumberFormat="1" applyFill="1" applyBorder="1"/>
    <xf numFmtId="0" fontId="0" fillId="6" borderId="12" xfId="0" applyNumberFormat="1" applyFill="1" applyBorder="1"/>
    <xf numFmtId="0" fontId="0" fillId="6" borderId="13" xfId="0" applyNumberFormat="1" applyFill="1" applyBorder="1"/>
    <xf numFmtId="58" fontId="0" fillId="0" borderId="4" xfId="0" applyNumberFormat="1" applyFill="1" applyBorder="1"/>
    <xf numFmtId="0" fontId="0" fillId="0" borderId="4" xfId="0" applyNumberFormat="1" applyFill="1" applyBorder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4" fillId="6" borderId="14" xfId="0" applyFont="1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5" fillId="6" borderId="16" xfId="0" applyFont="1" applyFill="1" applyBorder="1" applyAlignment="1">
      <alignment horizontal="centerContinuous"/>
    </xf>
    <xf numFmtId="0" fontId="6" fillId="6" borderId="0" xfId="0" applyFont="1" applyFill="1" applyBorder="1" applyAlignment="1">
      <alignment horizontal="centerContinuous"/>
    </xf>
    <xf numFmtId="0" fontId="0" fillId="6" borderId="16" xfId="0" applyFill="1" applyBorder="1"/>
    <xf numFmtId="0" fontId="7" fillId="6" borderId="0" xfId="0" applyFont="1" applyFill="1" applyBorder="1" applyAlignment="1">
      <alignment horizontal="centerContinuous"/>
    </xf>
    <xf numFmtId="0" fontId="0" fillId="6" borderId="17" xfId="0" applyFill="1" applyBorder="1"/>
    <xf numFmtId="0" fontId="0" fillId="6" borderId="18" xfId="0" applyFill="1" applyBorder="1"/>
    <xf numFmtId="0" fontId="8" fillId="6" borderId="0" xfId="0" applyFont="1" applyFill="1" applyBorder="1"/>
    <xf numFmtId="0" fontId="9" fillId="6" borderId="0" xfId="0" applyFont="1" applyFill="1" applyBorder="1"/>
    <xf numFmtId="0" fontId="10" fillId="6" borderId="0" xfId="0" applyFont="1" applyFill="1" applyBorder="1"/>
    <xf numFmtId="0" fontId="0" fillId="6" borderId="19" xfId="0" applyFill="1" applyBorder="1" applyAlignment="1">
      <alignment horizontal="centerContinuous"/>
    </xf>
    <xf numFmtId="0" fontId="6" fillId="6" borderId="20" xfId="0" applyFont="1" applyFill="1" applyBorder="1" applyAlignment="1">
      <alignment horizontal="centerContinuous"/>
    </xf>
    <xf numFmtId="0" fontId="0" fillId="6" borderId="20" xfId="0" applyFill="1" applyBorder="1"/>
    <xf numFmtId="0" fontId="0" fillId="6" borderId="21" xfId="0" applyFill="1" applyBorder="1"/>
    <xf numFmtId="0" fontId="0" fillId="0" borderId="0" xfId="0" applyFill="1" applyBorder="1" quotePrefix="1"/>
    <xf numFmtId="0" fontId="0" fillId="0" borderId="0" xfId="0" quotePrefix="1"/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colors>
    <mruColors>
      <color rgb="00CCFFCC"/>
      <color rgb="000000FF"/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jpeg"/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15</xdr:col>
      <xdr:colOff>19050</xdr:colOff>
      <xdr:row>20</xdr:row>
      <xdr:rowOff>153765</xdr:rowOff>
    </xdr:from>
    <xdr:to>
      <xdr:col>17</xdr:col>
      <xdr:colOff>139574</xdr:colOff>
      <xdr:row>29</xdr:row>
      <xdr:rowOff>13363</xdr:rowOff>
    </xdr:to>
    <xdr:pic>
      <xdr:nvPicPr>
        <xdr:cNvPr id="5" name="Picture 4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4458970"/>
          <a:ext cx="1320165" cy="172656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4</xdr:row>
      <xdr:rowOff>190500</xdr:rowOff>
    </xdr:from>
    <xdr:to>
      <xdr:col>5</xdr:col>
      <xdr:colOff>295275</xdr:colOff>
      <xdr:row>16</xdr:row>
      <xdr:rowOff>133350</xdr:rowOff>
    </xdr:to>
    <xdr:pic>
      <xdr:nvPicPr>
        <xdr:cNvPr id="9" name="Picture 8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" y="1209675"/>
          <a:ext cx="2409825" cy="2447925"/>
        </a:xfrm>
        <a:prstGeom prst="rect">
          <a:avLst/>
        </a:prstGeom>
      </xdr:spPr>
    </xdr:pic>
    <xdr:clientData/>
  </xdr:twoCellAnchor>
  <xdr:twoCellAnchor editAs="oneCell">
    <xdr:from>
      <xdr:col>6</xdr:col>
      <xdr:colOff>342900</xdr:colOff>
      <xdr:row>4</xdr:row>
      <xdr:rowOff>163774</xdr:rowOff>
    </xdr:from>
    <xdr:to>
      <xdr:col>12</xdr:col>
      <xdr:colOff>504825</xdr:colOff>
      <xdr:row>16</xdr:row>
      <xdr:rowOff>190499</xdr:rowOff>
    </xdr:to>
    <xdr:pic>
      <xdr:nvPicPr>
        <xdr:cNvPr id="11" name="Picture 10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0" y="1182370"/>
          <a:ext cx="3762375" cy="2531745"/>
        </a:xfrm>
        <a:prstGeom prst="rect">
          <a:avLst/>
        </a:prstGeom>
      </xdr:spPr>
    </xdr:pic>
    <xdr:clientData/>
  </xdr:twoCellAnchor>
  <xdr:twoCellAnchor editAs="oneCell">
    <xdr:from>
      <xdr:col>1</xdr:col>
      <xdr:colOff>228599</xdr:colOff>
      <xdr:row>18</xdr:row>
      <xdr:rowOff>26567</xdr:rowOff>
    </xdr:from>
    <xdr:to>
      <xdr:col>12</xdr:col>
      <xdr:colOff>542924</xdr:colOff>
      <xdr:row>30</xdr:row>
      <xdr:rowOff>4191</xdr:rowOff>
    </xdr:to>
    <xdr:pic>
      <xdr:nvPicPr>
        <xdr:cNvPr id="13" name="Picture 12"/>
        <xdr:cNvPicPr>
          <a:picLocks noChangeAspect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40" y="3950335"/>
          <a:ext cx="6915150" cy="2416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T33"/>
  <sheetViews>
    <sheetView zoomScale="111" zoomScaleNormal="111" workbookViewId="0">
      <selection activeCell="T37" sqref="T37"/>
    </sheetView>
  </sheetViews>
  <sheetFormatPr defaultColWidth="9" defaultRowHeight="15"/>
  <sheetData>
    <row r="1" spans="1:20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</row>
    <row r="2" ht="15.75" spans="1:20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</row>
    <row r="3" ht="27" spans="1:20">
      <c r="A3" s="49"/>
      <c r="B3" s="50" t="s">
        <v>0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61"/>
      <c r="T3" s="49"/>
    </row>
    <row r="4" ht="22.5" spans="1:20">
      <c r="A4" s="49"/>
      <c r="B4" s="52" t="s">
        <v>1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62"/>
      <c r="T4" s="49"/>
    </row>
    <row r="5" ht="22.5" spans="1:20">
      <c r="A5" s="49"/>
      <c r="B5" s="52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62"/>
      <c r="T5" s="49"/>
    </row>
    <row r="6" ht="18.75" spans="1:20">
      <c r="A6" s="49"/>
      <c r="B6" s="5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58" t="s">
        <v>2</v>
      </c>
      <c r="Q6" s="58"/>
      <c r="R6" s="24"/>
      <c r="S6" s="63"/>
      <c r="T6" s="49"/>
    </row>
    <row r="7" spans="1:20">
      <c r="A7" s="49"/>
      <c r="B7" s="5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63"/>
      <c r="T7" s="49"/>
    </row>
    <row r="8" spans="1:20">
      <c r="A8" s="49"/>
      <c r="B8" s="5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59" t="s">
        <v>3</v>
      </c>
      <c r="P8" s="24"/>
      <c r="Q8" s="24"/>
      <c r="R8" s="24"/>
      <c r="S8" s="63"/>
      <c r="T8" s="49"/>
    </row>
    <row r="9" ht="15.75" spans="1:20">
      <c r="A9" s="49"/>
      <c r="B9" s="5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60" t="s">
        <v>4</v>
      </c>
      <c r="P9" s="24"/>
      <c r="Q9" s="24"/>
      <c r="R9" s="24"/>
      <c r="S9" s="63"/>
      <c r="T9" s="49"/>
    </row>
    <row r="10" ht="15.75" spans="1:20">
      <c r="A10" s="49"/>
      <c r="B10" s="5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60" t="s">
        <v>5</v>
      </c>
      <c r="P10" s="24"/>
      <c r="Q10" s="24"/>
      <c r="R10" s="24"/>
      <c r="S10" s="63"/>
      <c r="T10" s="49"/>
    </row>
    <row r="11" ht="15.75" spans="1:20">
      <c r="A11" s="49"/>
      <c r="B11" s="5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60" t="s">
        <v>6</v>
      </c>
      <c r="P11" s="24"/>
      <c r="Q11" s="24"/>
      <c r="R11" s="24"/>
      <c r="S11" s="63"/>
      <c r="T11" s="49"/>
    </row>
    <row r="12" ht="15.75" spans="1:20">
      <c r="A12" s="49"/>
      <c r="B12" s="5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60" t="s">
        <v>7</v>
      </c>
      <c r="P12" s="24"/>
      <c r="Q12" s="24"/>
      <c r="R12" s="24"/>
      <c r="S12" s="63"/>
      <c r="T12" s="49"/>
    </row>
    <row r="13" ht="15.75" spans="1:20">
      <c r="A13" s="49"/>
      <c r="B13" s="5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60" t="s">
        <v>8</v>
      </c>
      <c r="P13" s="24"/>
      <c r="Q13" s="24"/>
      <c r="R13" s="24"/>
      <c r="S13" s="63"/>
      <c r="T13" s="49"/>
    </row>
    <row r="14" ht="15.75" spans="1:20">
      <c r="A14" s="49"/>
      <c r="B14" s="5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60" t="s">
        <v>9</v>
      </c>
      <c r="P14" s="24"/>
      <c r="Q14" s="24"/>
      <c r="R14" s="24"/>
      <c r="S14" s="63"/>
      <c r="T14" s="49"/>
    </row>
    <row r="15" ht="15.75" spans="1:20">
      <c r="A15" s="49"/>
      <c r="B15" s="5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60" t="s">
        <v>10</v>
      </c>
      <c r="P15" s="24"/>
      <c r="Q15" s="24"/>
      <c r="R15" s="24"/>
      <c r="S15" s="63"/>
      <c r="T15" s="49"/>
    </row>
    <row r="16" ht="15.75" spans="1:20">
      <c r="A16" s="49"/>
      <c r="B16" s="5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60" t="s">
        <v>11</v>
      </c>
      <c r="P16" s="24"/>
      <c r="Q16" s="24"/>
      <c r="R16" s="24"/>
      <c r="S16" s="63"/>
      <c r="T16" s="49"/>
    </row>
    <row r="17" ht="15.75" spans="1:20">
      <c r="A17" s="49"/>
      <c r="B17" s="5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60" t="s">
        <v>12</v>
      </c>
      <c r="P17" s="24"/>
      <c r="Q17" s="24"/>
      <c r="R17" s="24"/>
      <c r="S17" s="63"/>
      <c r="T17" s="49"/>
    </row>
    <row r="18" ht="15.75" spans="1:20">
      <c r="A18" s="49"/>
      <c r="B18" s="5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60" t="s">
        <v>13</v>
      </c>
      <c r="P18" s="24"/>
      <c r="Q18" s="24"/>
      <c r="R18" s="24"/>
      <c r="S18" s="63"/>
      <c r="T18" s="49"/>
    </row>
    <row r="19" spans="1:20">
      <c r="A19" s="49"/>
      <c r="B19" s="5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63"/>
      <c r="T19" s="49"/>
    </row>
    <row r="20" spans="1:20">
      <c r="A20" s="49"/>
      <c r="B20" s="5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63"/>
      <c r="T20" s="49"/>
    </row>
    <row r="21" spans="1:20">
      <c r="A21" s="49"/>
      <c r="B21" s="5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63"/>
      <c r="T21" s="49"/>
    </row>
    <row r="22" spans="1:20">
      <c r="A22" s="49"/>
      <c r="B22" s="5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63"/>
      <c r="T22" s="49"/>
    </row>
    <row r="23" spans="1:20">
      <c r="A23" s="49"/>
      <c r="B23" s="5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63"/>
      <c r="T23" s="49"/>
    </row>
    <row r="24" spans="1:20">
      <c r="A24" s="49"/>
      <c r="B24" s="5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63"/>
      <c r="T24" s="49"/>
    </row>
    <row r="25" spans="1:20">
      <c r="A25" s="49"/>
      <c r="B25" s="5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63"/>
      <c r="T25" s="49"/>
    </row>
    <row r="26" ht="21" spans="1:20">
      <c r="A26" s="49"/>
      <c r="B26" s="54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63"/>
      <c r="T26" s="49"/>
    </row>
    <row r="27" spans="1:20">
      <c r="A27" s="49"/>
      <c r="B27" s="5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63"/>
      <c r="T27" s="49"/>
    </row>
    <row r="28" ht="21" spans="1:20">
      <c r="A28" s="49"/>
      <c r="B28" s="54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63"/>
      <c r="T28" s="49"/>
    </row>
    <row r="29" spans="1:20">
      <c r="A29" s="49"/>
      <c r="B29" s="5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63"/>
      <c r="T29" s="49"/>
    </row>
    <row r="30" spans="1:20">
      <c r="A30" s="49"/>
      <c r="B30" s="5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63"/>
      <c r="T30" s="49"/>
    </row>
    <row r="31" ht="15.75" spans="1:20">
      <c r="A31" s="49"/>
      <c r="B31" s="56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64"/>
      <c r="T31" s="49"/>
    </row>
    <row r="32" ht="15.75" spans="1:20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</row>
    <row r="33" spans="1:20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N61"/>
  <sheetViews>
    <sheetView zoomScale="115" zoomScaleNormal="115" topLeftCell="A45" workbookViewId="0">
      <selection activeCell="B41" sqref="B41"/>
    </sheetView>
  </sheetViews>
  <sheetFormatPr defaultColWidth="9" defaultRowHeight="15"/>
  <cols>
    <col min="1" max="1" width="23.2857142857143" customWidth="1"/>
    <col min="2" max="2" width="20.4285714285714" customWidth="1"/>
    <col min="3" max="3" width="3.28571428571429" customWidth="1"/>
    <col min="4" max="4" width="18.2857142857143" customWidth="1"/>
    <col min="5" max="5" width="14" customWidth="1"/>
    <col min="6" max="6" width="14.1428571428571" customWidth="1"/>
    <col min="7" max="7" width="11.1428571428571" customWidth="1"/>
  </cols>
  <sheetData>
    <row r="1" spans="1:5">
      <c r="A1" s="39" t="s">
        <v>14</v>
      </c>
      <c r="B1" s="40"/>
      <c r="C1" s="40"/>
      <c r="D1" s="40"/>
      <c r="E1" s="41"/>
    </row>
    <row r="2" spans="1:5">
      <c r="A2" s="42" t="s">
        <v>15</v>
      </c>
      <c r="B2" s="43"/>
      <c r="C2" s="43"/>
      <c r="D2" s="43"/>
      <c r="E2" s="44"/>
    </row>
    <row r="4" spans="1:2">
      <c r="A4" s="13" t="s">
        <v>16</v>
      </c>
      <c r="B4" s="45">
        <v>34120</v>
      </c>
    </row>
    <row r="5" spans="1:2">
      <c r="A5" s="13" t="s">
        <v>16</v>
      </c>
      <c r="B5" s="45">
        <v>45078</v>
      </c>
    </row>
    <row r="6" spans="1:2">
      <c r="A6" s="13" t="s">
        <v>16</v>
      </c>
      <c r="B6" s="46">
        <f>B5-B4</f>
        <v>10958</v>
      </c>
    </row>
    <row r="8" spans="1:14">
      <c r="A8" s="13" t="s">
        <v>17</v>
      </c>
      <c r="B8" s="13" t="s">
        <v>18</v>
      </c>
      <c r="C8" s="47"/>
      <c r="E8" s="47"/>
      <c r="F8" s="47"/>
      <c r="G8" s="47"/>
      <c r="H8" s="47"/>
      <c r="I8" s="47"/>
      <c r="J8" s="47"/>
      <c r="K8" s="47"/>
      <c r="L8" s="47"/>
      <c r="M8" s="47"/>
      <c r="N8" s="47"/>
    </row>
    <row r="9" spans="1:14">
      <c r="A9" s="14">
        <v>1</v>
      </c>
      <c r="B9" s="5">
        <v>1</v>
      </c>
      <c r="C9" s="47"/>
      <c r="D9" s="48"/>
      <c r="E9" s="47"/>
      <c r="F9" s="47"/>
      <c r="G9" s="47"/>
      <c r="H9" s="47"/>
      <c r="I9" s="47"/>
      <c r="J9" s="47"/>
      <c r="K9" s="47"/>
      <c r="L9" s="47"/>
      <c r="M9" s="47"/>
      <c r="N9" s="47"/>
    </row>
    <row r="10" spans="1:14">
      <c r="A10" s="14">
        <v>2</v>
      </c>
      <c r="B10" s="5">
        <v>2</v>
      </c>
      <c r="C10" s="48"/>
      <c r="E10" s="47"/>
      <c r="F10" s="47"/>
      <c r="G10" s="47"/>
      <c r="H10" s="47"/>
      <c r="I10" s="47"/>
      <c r="J10" s="47"/>
      <c r="K10" s="47"/>
      <c r="L10" s="47"/>
      <c r="M10" s="47"/>
      <c r="N10" s="47"/>
    </row>
    <row r="11" spans="1:14">
      <c r="A11" s="14">
        <v>43036</v>
      </c>
      <c r="B11" s="29">
        <v>43036</v>
      </c>
      <c r="C11" s="47"/>
      <c r="E11" s="47"/>
      <c r="F11" s="47"/>
      <c r="G11" s="47"/>
      <c r="H11" s="47"/>
      <c r="I11" s="47"/>
      <c r="J11" s="47"/>
      <c r="K11" s="47"/>
      <c r="L11" s="47"/>
      <c r="M11" s="47"/>
      <c r="N11" s="47"/>
    </row>
    <row r="12" spans="3:14">
      <c r="C12" s="47"/>
      <c r="E12" s="47"/>
      <c r="F12" s="47"/>
      <c r="G12" s="47"/>
      <c r="H12" s="47"/>
      <c r="I12" s="47"/>
      <c r="J12" s="47"/>
      <c r="K12" s="47"/>
      <c r="L12" s="47"/>
      <c r="M12" s="47"/>
      <c r="N12" s="47"/>
    </row>
    <row r="13" spans="1:14">
      <c r="A13" t="s">
        <v>19</v>
      </c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</row>
    <row r="14" spans="3:14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</row>
    <row r="15" spans="1:14">
      <c r="A15" s="13" t="s">
        <v>20</v>
      </c>
      <c r="B15" s="14">
        <v>35542</v>
      </c>
      <c r="C15" s="47"/>
      <c r="E15" s="47" t="s">
        <v>21</v>
      </c>
      <c r="F15" s="47"/>
      <c r="G15" s="47"/>
      <c r="H15" s="47"/>
      <c r="I15" s="47"/>
      <c r="J15" s="47"/>
      <c r="K15" s="47"/>
      <c r="L15" s="47"/>
      <c r="M15" s="47"/>
      <c r="N15" s="47"/>
    </row>
    <row r="16" spans="1:14">
      <c r="A16" s="13" t="s">
        <v>22</v>
      </c>
      <c r="B16" s="14">
        <f ca="1">TODAY()</f>
        <v>45080</v>
      </c>
      <c r="C16" s="47"/>
      <c r="E16" s="47" t="s">
        <v>23</v>
      </c>
      <c r="F16" s="47"/>
      <c r="G16" s="47"/>
      <c r="H16" s="47"/>
      <c r="I16" s="47"/>
      <c r="J16" s="47"/>
      <c r="K16" s="47"/>
      <c r="L16" s="47"/>
      <c r="M16" s="47"/>
      <c r="N16" s="47"/>
    </row>
    <row r="17" spans="1:14">
      <c r="A17" s="13" t="s">
        <v>24</v>
      </c>
      <c r="B17" s="12">
        <f ca="1">B16-B15</f>
        <v>9538</v>
      </c>
      <c r="C17" s="47"/>
      <c r="D17" t="str">
        <f ca="1">IF(_xlfn.ISFORMULA(B17),_xlfn.FORMULATEXT(B17),"")</f>
        <v>=B16-B15</v>
      </c>
      <c r="E17" s="47" t="s">
        <v>25</v>
      </c>
      <c r="F17" s="47"/>
      <c r="G17" s="47"/>
      <c r="H17" s="47"/>
      <c r="I17" s="47"/>
      <c r="J17" s="47"/>
      <c r="K17" s="47"/>
      <c r="L17" s="47"/>
      <c r="M17" s="47"/>
      <c r="N17" s="47"/>
    </row>
    <row r="18" spans="3:14">
      <c r="C18" s="47"/>
      <c r="E18" s="47"/>
      <c r="F18" s="47"/>
      <c r="G18" s="47"/>
      <c r="H18" s="47"/>
      <c r="I18" s="47"/>
      <c r="J18" s="47"/>
      <c r="K18" s="47"/>
      <c r="L18" s="47"/>
      <c r="M18" s="47"/>
      <c r="N18" s="47"/>
    </row>
    <row r="19" spans="1:14">
      <c r="A19" s="13" t="s">
        <v>20</v>
      </c>
      <c r="B19" s="14">
        <v>42990</v>
      </c>
      <c r="C19" s="47"/>
      <c r="E19" s="47"/>
      <c r="G19" s="47"/>
      <c r="H19" s="47"/>
      <c r="I19" s="47"/>
      <c r="J19" s="47"/>
      <c r="K19" s="47"/>
      <c r="L19" s="47"/>
      <c r="M19" s="47"/>
      <c r="N19" s="47"/>
    </row>
    <row r="20" spans="1:14">
      <c r="A20" s="13" t="s">
        <v>22</v>
      </c>
      <c r="B20" s="15">
        <v>45078</v>
      </c>
      <c r="C20" s="47"/>
      <c r="D20" t="str">
        <f>IF(_xlfn.ISFORMULA(B20),_xlfn.FORMULATEXT(B20),"")</f>
        <v/>
      </c>
      <c r="E20" s="47" t="s">
        <v>26</v>
      </c>
      <c r="G20" s="47"/>
      <c r="H20" s="47"/>
      <c r="I20" s="47"/>
      <c r="J20" s="47"/>
      <c r="K20" s="47"/>
      <c r="L20" s="47"/>
      <c r="M20" s="47"/>
      <c r="N20" s="47"/>
    </row>
    <row r="21" spans="1:14">
      <c r="A21" s="13" t="s">
        <v>24</v>
      </c>
      <c r="B21" s="10">
        <f>B20-B19</f>
        <v>2088</v>
      </c>
      <c r="C21" s="47"/>
      <c r="D21" t="str">
        <f>IF(_xlfn.ISFORMULA(B21),_xlfn.FORMULATEXT(B21),"")</f>
        <v>=B20-B19</v>
      </c>
      <c r="E21" s="65" t="s">
        <v>27</v>
      </c>
      <c r="G21" s="47"/>
      <c r="H21" s="47"/>
      <c r="I21" s="47"/>
      <c r="J21" s="47"/>
      <c r="K21" s="47"/>
      <c r="L21" s="47"/>
      <c r="M21" s="47"/>
      <c r="N21" s="47"/>
    </row>
    <row r="22" spans="7:14">
      <c r="G22" s="47"/>
      <c r="H22" s="47"/>
      <c r="I22" s="47"/>
      <c r="J22" s="47"/>
      <c r="K22" s="47"/>
      <c r="L22" s="47"/>
      <c r="M22" s="47"/>
      <c r="N22" s="47"/>
    </row>
    <row r="23" spans="1:14">
      <c r="A23" s="13" t="s">
        <v>28</v>
      </c>
      <c r="B23" s="14">
        <v>42980</v>
      </c>
      <c r="C23" s="47"/>
      <c r="E23" s="47"/>
      <c r="F23" s="47"/>
      <c r="G23" s="47"/>
      <c r="H23" s="47"/>
      <c r="I23" s="47"/>
      <c r="J23" s="47"/>
      <c r="K23" s="47"/>
      <c r="L23" s="47"/>
      <c r="M23" s="47"/>
      <c r="N23" s="47"/>
    </row>
    <row r="24" spans="1:14">
      <c r="A24" s="13" t="s">
        <v>29</v>
      </c>
      <c r="B24" s="5">
        <v>120</v>
      </c>
      <c r="C24" s="47"/>
      <c r="E24" s="47"/>
      <c r="F24" s="47"/>
      <c r="G24" s="47"/>
      <c r="H24" s="47"/>
      <c r="I24" s="47"/>
      <c r="J24" s="47"/>
      <c r="K24" s="47"/>
      <c r="L24" s="47"/>
      <c r="M24" s="47"/>
      <c r="N24" s="47"/>
    </row>
    <row r="25" spans="1:14">
      <c r="A25" s="13" t="s">
        <v>30</v>
      </c>
      <c r="B25" s="15">
        <f>B24+B23</f>
        <v>43100</v>
      </c>
      <c r="C25" s="47"/>
      <c r="D25" t="str">
        <f>IF(_xlfn.ISFORMULA(B25),_xlfn.FORMULATEXT(B25),"")</f>
        <v>=B24+B23</v>
      </c>
      <c r="E25" s="47" t="s">
        <v>31</v>
      </c>
      <c r="F25" s="47"/>
      <c r="G25" s="47"/>
      <c r="H25" s="47"/>
      <c r="I25" s="47"/>
      <c r="J25" s="47"/>
      <c r="K25" s="47"/>
      <c r="L25" s="47"/>
      <c r="M25" s="47"/>
      <c r="N25" s="47"/>
    </row>
    <row r="26" spans="3:14">
      <c r="C26" s="47"/>
      <c r="E26" s="47"/>
      <c r="F26" s="47"/>
      <c r="G26" s="47"/>
      <c r="H26" s="47"/>
      <c r="I26" s="47"/>
      <c r="J26" s="47"/>
      <c r="K26" s="47"/>
      <c r="L26" s="47"/>
      <c r="M26" s="47"/>
      <c r="N26" s="47"/>
    </row>
    <row r="27" spans="1:6">
      <c r="A27" s="13" t="s">
        <v>32</v>
      </c>
      <c r="B27" s="14">
        <v>43038</v>
      </c>
      <c r="C27" s="47"/>
      <c r="E27" s="47"/>
      <c r="F27" s="47"/>
    </row>
    <row r="28" spans="1:6">
      <c r="A28" s="13" t="s">
        <v>33</v>
      </c>
      <c r="B28" s="14">
        <v>43113</v>
      </c>
      <c r="C28" s="47"/>
      <c r="E28" s="47"/>
      <c r="F28" s="47"/>
    </row>
    <row r="29" spans="1:6">
      <c r="A29" s="13" t="s">
        <v>34</v>
      </c>
      <c r="B29" s="10">
        <f>B28-B27+1</f>
        <v>76</v>
      </c>
      <c r="C29" s="47"/>
      <c r="D29" t="str">
        <f>IF(_xlfn.ISFORMULA(B29),_xlfn.FORMULATEXT(B29),"")</f>
        <v>=B28-B27+1</v>
      </c>
      <c r="E29" s="47" t="s">
        <v>35</v>
      </c>
      <c r="F29" s="47"/>
    </row>
    <row r="30" spans="3:6">
      <c r="C30" s="47"/>
      <c r="E30" s="47"/>
      <c r="F30" s="47"/>
    </row>
    <row r="31" spans="1:7">
      <c r="A31" s="1" t="s">
        <v>36</v>
      </c>
      <c r="B31" s="2"/>
      <c r="C31" s="2"/>
      <c r="D31" s="2"/>
      <c r="E31" s="2"/>
      <c r="F31" s="2"/>
      <c r="G31" s="3"/>
    </row>
    <row r="33" spans="1:5">
      <c r="A33" s="13" t="s">
        <v>37</v>
      </c>
      <c r="B33" s="14">
        <v>43035</v>
      </c>
      <c r="E33" t="s">
        <v>38</v>
      </c>
    </row>
    <row r="34" spans="1:5">
      <c r="A34" s="13" t="s">
        <v>39</v>
      </c>
      <c r="B34" s="15">
        <f>EDATE(B33,2)</f>
        <v>43096</v>
      </c>
      <c r="D34" t="str">
        <f>IF(_xlfn.ISFORMULA(B34),_xlfn.FORMULATEXT(B34),"")</f>
        <v>=EDATE(B33,2)</v>
      </c>
      <c r="E34" t="s">
        <v>40</v>
      </c>
    </row>
    <row r="35" spans="5:5">
      <c r="E35" s="66" t="s">
        <v>41</v>
      </c>
    </row>
    <row r="37" spans="1:6">
      <c r="A37" s="1" t="s">
        <v>42</v>
      </c>
      <c r="B37" s="2"/>
      <c r="C37" s="2"/>
      <c r="D37" s="2"/>
      <c r="E37" s="2"/>
      <c r="F37" s="3"/>
    </row>
    <row r="39" spans="1:2">
      <c r="A39" s="13" t="s">
        <v>37</v>
      </c>
      <c r="B39" s="14">
        <v>42403</v>
      </c>
    </row>
    <row r="40" spans="1:5">
      <c r="A40" s="13" t="s">
        <v>39</v>
      </c>
      <c r="B40" s="15">
        <f>EOMONTH(B39,0)</f>
        <v>42429</v>
      </c>
      <c r="D40" t="str">
        <f>IF(_xlfn.ISFORMULA(B40),_xlfn.FORMULATEXT(B40),"")</f>
        <v>=EOMONTH(B39,0)</v>
      </c>
      <c r="E40" t="s">
        <v>43</v>
      </c>
    </row>
    <row r="41" spans="5:5">
      <c r="E41" s="66" t="s">
        <v>44</v>
      </c>
    </row>
    <row r="42" spans="5:5">
      <c r="E42" s="66" t="s">
        <v>45</v>
      </c>
    </row>
    <row r="43" spans="5:5">
      <c r="E43" s="66" t="s">
        <v>46</v>
      </c>
    </row>
    <row r="45" ht="60" spans="4:8">
      <c r="D45" s="16" t="s">
        <v>47</v>
      </c>
      <c r="E45" s="16" t="s">
        <v>48</v>
      </c>
      <c r="F45" s="16" t="s">
        <v>49</v>
      </c>
      <c r="G45" s="16" t="s">
        <v>22</v>
      </c>
      <c r="H45" s="16" t="s">
        <v>50</v>
      </c>
    </row>
    <row r="46" spans="4:8">
      <c r="D46" s="5" t="s">
        <v>51</v>
      </c>
      <c r="E46" s="18">
        <v>2063</v>
      </c>
      <c r="F46" s="14">
        <v>42996</v>
      </c>
      <c r="G46" s="15">
        <f ca="1">TODAY()</f>
        <v>45080</v>
      </c>
      <c r="H46" s="10">
        <f ca="1">G46-F46</f>
        <v>2084</v>
      </c>
    </row>
    <row r="47" spans="4:8">
      <c r="D47" s="5" t="s">
        <v>52</v>
      </c>
      <c r="E47" s="18">
        <v>2084.55</v>
      </c>
      <c r="F47" s="14">
        <v>42918</v>
      </c>
      <c r="G47" s="15">
        <f ca="1" t="shared" ref="G47:G61" si="0">TODAY()</f>
        <v>45080</v>
      </c>
      <c r="H47" s="10">
        <f ca="1" t="shared" ref="H47:H61" si="1">G47-F47</f>
        <v>2162</v>
      </c>
    </row>
    <row r="48" spans="4:8">
      <c r="D48" s="5" t="s">
        <v>53</v>
      </c>
      <c r="E48" s="18">
        <v>1338.51</v>
      </c>
      <c r="F48" s="14">
        <v>42987</v>
      </c>
      <c r="G48" s="15">
        <f ca="1" t="shared" si="0"/>
        <v>45080</v>
      </c>
      <c r="H48" s="10">
        <f ca="1" t="shared" si="1"/>
        <v>2093</v>
      </c>
    </row>
    <row r="49" spans="4:8">
      <c r="D49" s="5" t="s">
        <v>54</v>
      </c>
      <c r="E49" s="18">
        <v>1967.55</v>
      </c>
      <c r="F49" s="14">
        <v>42966</v>
      </c>
      <c r="G49" s="15">
        <f ca="1" t="shared" si="0"/>
        <v>45080</v>
      </c>
      <c r="H49" s="10">
        <f ca="1" t="shared" si="1"/>
        <v>2114</v>
      </c>
    </row>
    <row r="50" spans="4:8">
      <c r="D50" s="5" t="s">
        <v>55</v>
      </c>
      <c r="E50" s="18">
        <v>2213.87</v>
      </c>
      <c r="F50" s="14">
        <v>43026</v>
      </c>
      <c r="G50" s="15">
        <f ca="1" t="shared" si="0"/>
        <v>45080</v>
      </c>
      <c r="H50" s="10">
        <f ca="1" t="shared" si="1"/>
        <v>2054</v>
      </c>
    </row>
    <row r="51" spans="4:8">
      <c r="D51" s="5" t="s">
        <v>56</v>
      </c>
      <c r="E51" s="18">
        <v>1570.3</v>
      </c>
      <c r="F51" s="14">
        <v>42921</v>
      </c>
      <c r="G51" s="15">
        <f ca="1" t="shared" si="0"/>
        <v>45080</v>
      </c>
      <c r="H51" s="10">
        <f ca="1" t="shared" si="1"/>
        <v>2159</v>
      </c>
    </row>
    <row r="52" spans="4:8">
      <c r="D52" s="5" t="s">
        <v>57</v>
      </c>
      <c r="E52" s="18">
        <v>1652.3</v>
      </c>
      <c r="F52" s="14">
        <v>43019</v>
      </c>
      <c r="G52" s="15">
        <f ca="1" t="shared" si="0"/>
        <v>45080</v>
      </c>
      <c r="H52" s="10">
        <f ca="1" t="shared" si="1"/>
        <v>2061</v>
      </c>
    </row>
    <row r="53" spans="4:8">
      <c r="D53" s="5" t="s">
        <v>58</v>
      </c>
      <c r="E53" s="18">
        <v>1467.72</v>
      </c>
      <c r="F53" s="14">
        <v>42922</v>
      </c>
      <c r="G53" s="15">
        <f ca="1" t="shared" si="0"/>
        <v>45080</v>
      </c>
      <c r="H53" s="10">
        <f ca="1" t="shared" si="1"/>
        <v>2158</v>
      </c>
    </row>
    <row r="54" spans="4:8">
      <c r="D54" s="5" t="s">
        <v>59</v>
      </c>
      <c r="E54" s="18">
        <v>1911.15</v>
      </c>
      <c r="F54" s="14">
        <v>42935</v>
      </c>
      <c r="G54" s="15">
        <f ca="1" t="shared" si="0"/>
        <v>45080</v>
      </c>
      <c r="H54" s="10">
        <f ca="1" t="shared" si="1"/>
        <v>2145</v>
      </c>
    </row>
    <row r="55" spans="4:8">
      <c r="D55" s="5" t="s">
        <v>60</v>
      </c>
      <c r="E55" s="18">
        <v>597.07</v>
      </c>
      <c r="F55" s="14">
        <v>42957</v>
      </c>
      <c r="G55" s="15">
        <f ca="1" t="shared" si="0"/>
        <v>45080</v>
      </c>
      <c r="H55" s="10">
        <f ca="1" t="shared" si="1"/>
        <v>2123</v>
      </c>
    </row>
    <row r="56" spans="4:8">
      <c r="D56" s="5" t="s">
        <v>61</v>
      </c>
      <c r="E56" s="18">
        <v>608.6</v>
      </c>
      <c r="F56" s="14">
        <v>43012</v>
      </c>
      <c r="G56" s="15">
        <f ca="1" t="shared" si="0"/>
        <v>45080</v>
      </c>
      <c r="H56" s="10">
        <f ca="1" t="shared" si="1"/>
        <v>2068</v>
      </c>
    </row>
    <row r="57" spans="4:8">
      <c r="D57" s="5" t="s">
        <v>62</v>
      </c>
      <c r="E57" s="18">
        <v>1390.45</v>
      </c>
      <c r="F57" s="14">
        <v>43023</v>
      </c>
      <c r="G57" s="15">
        <f ca="1" t="shared" si="0"/>
        <v>45080</v>
      </c>
      <c r="H57" s="10">
        <f ca="1" t="shared" si="1"/>
        <v>2057</v>
      </c>
    </row>
    <row r="58" spans="4:8">
      <c r="D58" s="5" t="s">
        <v>63</v>
      </c>
      <c r="E58" s="18">
        <v>419.68</v>
      </c>
      <c r="F58" s="14">
        <v>42959</v>
      </c>
      <c r="G58" s="15">
        <f ca="1" t="shared" si="0"/>
        <v>45080</v>
      </c>
      <c r="H58" s="10">
        <f ca="1" t="shared" si="1"/>
        <v>2121</v>
      </c>
    </row>
    <row r="59" spans="4:8">
      <c r="D59" s="5" t="s">
        <v>64</v>
      </c>
      <c r="E59" s="18">
        <v>1210.17</v>
      </c>
      <c r="F59" s="14">
        <v>43023</v>
      </c>
      <c r="G59" s="15">
        <f ca="1" t="shared" si="0"/>
        <v>45080</v>
      </c>
      <c r="H59" s="10">
        <f ca="1" t="shared" si="1"/>
        <v>2057</v>
      </c>
    </row>
    <row r="60" spans="4:8">
      <c r="D60" s="5" t="s">
        <v>65</v>
      </c>
      <c r="E60" s="18">
        <v>1815.46</v>
      </c>
      <c r="F60" s="14">
        <v>43022</v>
      </c>
      <c r="G60" s="15">
        <f ca="1" t="shared" si="0"/>
        <v>45080</v>
      </c>
      <c r="H60" s="10">
        <f ca="1" t="shared" si="1"/>
        <v>2058</v>
      </c>
    </row>
    <row r="61" spans="4:8">
      <c r="D61" s="5" t="s">
        <v>66</v>
      </c>
      <c r="E61" s="18">
        <v>1803.3</v>
      </c>
      <c r="F61" s="14">
        <v>42974</v>
      </c>
      <c r="G61" s="15">
        <f ca="1" t="shared" si="0"/>
        <v>45080</v>
      </c>
      <c r="H61" s="10">
        <f ca="1" t="shared" si="1"/>
        <v>2106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N61"/>
  <sheetViews>
    <sheetView zoomScale="115" zoomScaleNormal="115" topLeftCell="A45" workbookViewId="0">
      <selection activeCell="H46" sqref="H46:H61"/>
    </sheetView>
  </sheetViews>
  <sheetFormatPr defaultColWidth="9" defaultRowHeight="15"/>
  <cols>
    <col min="1" max="1" width="23.2857142857143" customWidth="1"/>
    <col min="2" max="2" width="20.4285714285714" customWidth="1"/>
    <col min="3" max="3" width="3.28571428571429" customWidth="1"/>
    <col min="4" max="4" width="18.2857142857143" customWidth="1"/>
    <col min="5" max="5" width="14" customWidth="1"/>
    <col min="6" max="6" width="14.1428571428571" customWidth="1"/>
    <col min="7" max="7" width="11.1428571428571" customWidth="1"/>
  </cols>
  <sheetData>
    <row r="1" spans="1:5">
      <c r="A1" s="39" t="s">
        <v>14</v>
      </c>
      <c r="B1" s="40"/>
      <c r="C1" s="40"/>
      <c r="D1" s="40"/>
      <c r="E1" s="41"/>
    </row>
    <row r="2" spans="1:5">
      <c r="A2" s="42" t="s">
        <v>15</v>
      </c>
      <c r="B2" s="43"/>
      <c r="C2" s="43"/>
      <c r="D2" s="43"/>
      <c r="E2" s="44"/>
    </row>
    <row r="4" spans="1:2">
      <c r="A4" s="13" t="s">
        <v>16</v>
      </c>
      <c r="B4" s="45">
        <v>43036</v>
      </c>
    </row>
    <row r="5" spans="1:2">
      <c r="A5" s="13" t="s">
        <v>16</v>
      </c>
      <c r="B5" s="46">
        <v>43036</v>
      </c>
    </row>
    <row r="6" spans="1:2">
      <c r="A6" s="13" t="s">
        <v>16</v>
      </c>
      <c r="B6" s="45">
        <v>43036</v>
      </c>
    </row>
    <row r="8" spans="1:14">
      <c r="A8" s="13" t="s">
        <v>17</v>
      </c>
      <c r="B8" s="13" t="s">
        <v>18</v>
      </c>
      <c r="C8" s="47"/>
      <c r="E8" s="47"/>
      <c r="F8" s="47"/>
      <c r="G8" s="47"/>
      <c r="H8" s="47"/>
      <c r="I8" s="47"/>
      <c r="J8" s="47"/>
      <c r="K8" s="47"/>
      <c r="L8" s="47"/>
      <c r="M8" s="47"/>
      <c r="N8" s="47"/>
    </row>
    <row r="9" spans="1:14">
      <c r="A9" s="14">
        <v>1</v>
      </c>
      <c r="B9" s="5">
        <v>1</v>
      </c>
      <c r="C9" s="47"/>
      <c r="D9" s="48"/>
      <c r="E9" s="47"/>
      <c r="F9" s="47"/>
      <c r="G9" s="47"/>
      <c r="H9" s="47"/>
      <c r="I9" s="47"/>
      <c r="J9" s="47"/>
      <c r="K9" s="47"/>
      <c r="L9" s="47"/>
      <c r="M9" s="47"/>
      <c r="N9" s="47"/>
    </row>
    <row r="10" spans="1:14">
      <c r="A10" s="14">
        <v>2</v>
      </c>
      <c r="B10" s="5">
        <v>2</v>
      </c>
      <c r="C10" s="48"/>
      <c r="E10" s="47"/>
      <c r="F10" s="47"/>
      <c r="G10" s="47"/>
      <c r="H10" s="47"/>
      <c r="I10" s="47"/>
      <c r="J10" s="47"/>
      <c r="K10" s="47"/>
      <c r="L10" s="47"/>
      <c r="M10" s="47"/>
      <c r="N10" s="47"/>
    </row>
    <row r="11" spans="1:14">
      <c r="A11" s="14">
        <v>43036</v>
      </c>
      <c r="B11" s="29">
        <v>43036</v>
      </c>
      <c r="C11" s="47"/>
      <c r="E11" s="47"/>
      <c r="F11" s="47"/>
      <c r="G11" s="47"/>
      <c r="H11" s="47"/>
      <c r="I11" s="47"/>
      <c r="J11" s="47"/>
      <c r="K11" s="47"/>
      <c r="L11" s="47"/>
      <c r="M11" s="47"/>
      <c r="N11" s="47"/>
    </row>
    <row r="12" spans="3:14">
      <c r="C12" s="47"/>
      <c r="E12" s="47"/>
      <c r="F12" s="47"/>
      <c r="G12" s="47"/>
      <c r="H12" s="47"/>
      <c r="I12" s="47"/>
      <c r="J12" s="47"/>
      <c r="K12" s="47"/>
      <c r="L12" s="47"/>
      <c r="M12" s="47"/>
      <c r="N12" s="47"/>
    </row>
    <row r="13" spans="1:14">
      <c r="A13" t="s">
        <v>19</v>
      </c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</row>
    <row r="14" spans="3:14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</row>
    <row r="15" spans="1:14">
      <c r="A15" s="13" t="s">
        <v>20</v>
      </c>
      <c r="B15" s="14">
        <v>42990</v>
      </c>
      <c r="C15" s="47"/>
      <c r="E15" s="47" t="s">
        <v>21</v>
      </c>
      <c r="F15" s="47"/>
      <c r="G15" s="47"/>
      <c r="H15" s="47"/>
      <c r="I15" s="47"/>
      <c r="J15" s="47"/>
      <c r="K15" s="47"/>
      <c r="L15" s="47"/>
      <c r="M15" s="47"/>
      <c r="N15" s="47"/>
    </row>
    <row r="16" spans="1:14">
      <c r="A16" s="13" t="s">
        <v>22</v>
      </c>
      <c r="B16" s="14">
        <v>43036</v>
      </c>
      <c r="C16" s="47"/>
      <c r="E16" s="47" t="s">
        <v>23</v>
      </c>
      <c r="F16" s="47"/>
      <c r="G16" s="47"/>
      <c r="H16" s="47"/>
      <c r="I16" s="47"/>
      <c r="J16" s="47"/>
      <c r="K16" s="47"/>
      <c r="L16" s="47"/>
      <c r="M16" s="47"/>
      <c r="N16" s="47"/>
    </row>
    <row r="17" spans="1:14">
      <c r="A17" s="13" t="s">
        <v>24</v>
      </c>
      <c r="B17" s="12">
        <f>B16-B15</f>
        <v>46</v>
      </c>
      <c r="C17" s="47"/>
      <c r="D17" t="str">
        <f>IF(_xlfn.ISFORMULA(B17),_xlfn.FORMULATEXT(B17),"")</f>
        <v>=B16-B15</v>
      </c>
      <c r="E17" s="47" t="s">
        <v>25</v>
      </c>
      <c r="F17" s="47"/>
      <c r="G17" s="47"/>
      <c r="H17" s="47"/>
      <c r="I17" s="47"/>
      <c r="J17" s="47"/>
      <c r="K17" s="47"/>
      <c r="L17" s="47"/>
      <c r="M17" s="47"/>
      <c r="N17" s="47"/>
    </row>
    <row r="18" spans="3:14">
      <c r="C18" s="47"/>
      <c r="E18" s="47"/>
      <c r="F18" s="47"/>
      <c r="G18" s="47"/>
      <c r="H18" s="47"/>
      <c r="I18" s="47"/>
      <c r="J18" s="47"/>
      <c r="K18" s="47"/>
      <c r="L18" s="47"/>
      <c r="M18" s="47"/>
      <c r="N18" s="47"/>
    </row>
    <row r="19" spans="1:14">
      <c r="A19" s="13" t="s">
        <v>20</v>
      </c>
      <c r="B19" s="14">
        <v>42990</v>
      </c>
      <c r="C19" s="47"/>
      <c r="E19" s="47"/>
      <c r="G19" s="47"/>
      <c r="H19" s="47"/>
      <c r="I19" s="47"/>
      <c r="J19" s="47"/>
      <c r="K19" s="47"/>
      <c r="L19" s="47"/>
      <c r="M19" s="47"/>
      <c r="N19" s="47"/>
    </row>
    <row r="20" spans="1:14">
      <c r="A20" s="13" t="s">
        <v>22</v>
      </c>
      <c r="B20" s="15">
        <f ca="1">TODAY()</f>
        <v>45080</v>
      </c>
      <c r="C20" s="47"/>
      <c r="D20" t="str">
        <f ca="1">IF(_xlfn.ISFORMULA(B20),_xlfn.FORMULATEXT(B20),"")</f>
        <v>=TODAY()</v>
      </c>
      <c r="E20" s="47" t="s">
        <v>26</v>
      </c>
      <c r="G20" s="47"/>
      <c r="H20" s="47"/>
      <c r="I20" s="47"/>
      <c r="J20" s="47"/>
      <c r="K20" s="47"/>
      <c r="L20" s="47"/>
      <c r="M20" s="47"/>
      <c r="N20" s="47"/>
    </row>
    <row r="21" spans="1:14">
      <c r="A21" s="13" t="s">
        <v>24</v>
      </c>
      <c r="B21" s="10">
        <f ca="1">B20-B19</f>
        <v>2090</v>
      </c>
      <c r="C21" s="47"/>
      <c r="D21" t="str">
        <f ca="1">IF(_xlfn.ISFORMULA(B21),_xlfn.FORMULATEXT(B21),"")</f>
        <v>=B20-B19</v>
      </c>
      <c r="E21" s="65" t="s">
        <v>27</v>
      </c>
      <c r="G21" s="47"/>
      <c r="H21" s="47"/>
      <c r="I21" s="47"/>
      <c r="J21" s="47"/>
      <c r="K21" s="47"/>
      <c r="L21" s="47"/>
      <c r="M21" s="47"/>
      <c r="N21" s="47"/>
    </row>
    <row r="22" spans="7:14">
      <c r="G22" s="47"/>
      <c r="H22" s="47"/>
      <c r="I22" s="47"/>
      <c r="J22" s="47"/>
      <c r="K22" s="47"/>
      <c r="L22" s="47"/>
      <c r="M22" s="47"/>
      <c r="N22" s="47"/>
    </row>
    <row r="23" spans="1:14">
      <c r="A23" s="13" t="s">
        <v>28</v>
      </c>
      <c r="B23" s="14">
        <v>42980</v>
      </c>
      <c r="C23" s="47"/>
      <c r="E23" s="47"/>
      <c r="F23" s="47"/>
      <c r="G23" s="47"/>
      <c r="H23" s="47"/>
      <c r="I23" s="47"/>
      <c r="J23" s="47"/>
      <c r="K23" s="47"/>
      <c r="L23" s="47"/>
      <c r="M23" s="47"/>
      <c r="N23" s="47"/>
    </row>
    <row r="24" spans="1:14">
      <c r="A24" s="13" t="s">
        <v>29</v>
      </c>
      <c r="B24" s="5">
        <v>120</v>
      </c>
      <c r="C24" s="47"/>
      <c r="E24" s="47"/>
      <c r="F24" s="47"/>
      <c r="G24" s="47"/>
      <c r="H24" s="47"/>
      <c r="I24" s="47"/>
      <c r="J24" s="47"/>
      <c r="K24" s="47"/>
      <c r="L24" s="47"/>
      <c r="M24" s="47"/>
      <c r="N24" s="47"/>
    </row>
    <row r="25" spans="1:14">
      <c r="A25" s="13" t="s">
        <v>30</v>
      </c>
      <c r="B25" s="15">
        <f>B23+B24</f>
        <v>43100</v>
      </c>
      <c r="C25" s="47"/>
      <c r="D25" t="str">
        <f>IF(_xlfn.ISFORMULA(B25),_xlfn.FORMULATEXT(B25),"")</f>
        <v>=B23+B24</v>
      </c>
      <c r="E25" s="47" t="s">
        <v>31</v>
      </c>
      <c r="F25" s="47"/>
      <c r="G25" s="47"/>
      <c r="H25" s="47"/>
      <c r="I25" s="47"/>
      <c r="J25" s="47"/>
      <c r="K25" s="47"/>
      <c r="L25" s="47"/>
      <c r="M25" s="47"/>
      <c r="N25" s="47"/>
    </row>
    <row r="26" spans="3:14">
      <c r="C26" s="47"/>
      <c r="E26" s="47"/>
      <c r="F26" s="47"/>
      <c r="G26" s="47"/>
      <c r="H26" s="47"/>
      <c r="I26" s="47"/>
      <c r="J26" s="47"/>
      <c r="K26" s="47"/>
      <c r="L26" s="47"/>
      <c r="M26" s="47"/>
      <c r="N26" s="47"/>
    </row>
    <row r="27" spans="1:6">
      <c r="A27" s="13" t="s">
        <v>32</v>
      </c>
      <c r="B27" s="14">
        <v>43038</v>
      </c>
      <c r="C27" s="47"/>
      <c r="E27" s="47"/>
      <c r="F27" s="47"/>
    </row>
    <row r="28" spans="1:6">
      <c r="A28" s="13" t="s">
        <v>33</v>
      </c>
      <c r="B28" s="14">
        <v>43113</v>
      </c>
      <c r="C28" s="47"/>
      <c r="E28" s="47"/>
      <c r="F28" s="47"/>
    </row>
    <row r="29" spans="1:6">
      <c r="A29" s="13" t="s">
        <v>34</v>
      </c>
      <c r="B29" s="10">
        <f>B28-B27+1</f>
        <v>76</v>
      </c>
      <c r="C29" s="47"/>
      <c r="D29" t="str">
        <f>IF(_xlfn.ISFORMULA(B29),_xlfn.FORMULATEXT(B29),"")</f>
        <v>=B28-B27+1</v>
      </c>
      <c r="E29" s="47" t="s">
        <v>35</v>
      </c>
      <c r="F29" s="47"/>
    </row>
    <row r="30" spans="3:6">
      <c r="C30" s="47"/>
      <c r="E30" s="47"/>
      <c r="F30" s="47"/>
    </row>
    <row r="31" spans="1:7">
      <c r="A31" s="1" t="s">
        <v>36</v>
      </c>
      <c r="B31" s="2"/>
      <c r="C31" s="2"/>
      <c r="D31" s="2"/>
      <c r="E31" s="2"/>
      <c r="F31" s="2"/>
      <c r="G31" s="3"/>
    </row>
    <row r="33" spans="1:5">
      <c r="A33" s="13" t="s">
        <v>37</v>
      </c>
      <c r="B33" s="14">
        <v>43035</v>
      </c>
      <c r="E33" t="s">
        <v>38</v>
      </c>
    </row>
    <row r="34" spans="1:5">
      <c r="A34" s="13" t="s">
        <v>39</v>
      </c>
      <c r="B34" s="15">
        <f>EDATE(B33,2)</f>
        <v>43096</v>
      </c>
      <c r="D34" t="str">
        <f>IF(_xlfn.ISFORMULA(B34),_xlfn.FORMULATEXT(B34),"")</f>
        <v>=EDATE(B33,2)</v>
      </c>
      <c r="E34" t="s">
        <v>40</v>
      </c>
    </row>
    <row r="35" spans="5:5">
      <c r="E35" s="66" t="s">
        <v>41</v>
      </c>
    </row>
    <row r="37" spans="1:6">
      <c r="A37" s="1" t="s">
        <v>42</v>
      </c>
      <c r="B37" s="2"/>
      <c r="C37" s="2"/>
      <c r="D37" s="2"/>
      <c r="E37" s="2"/>
      <c r="F37" s="3"/>
    </row>
    <row r="39" spans="1:2">
      <c r="A39" s="13" t="s">
        <v>37</v>
      </c>
      <c r="B39" s="14">
        <v>42403</v>
      </c>
    </row>
    <row r="40" spans="1:5">
      <c r="A40" s="13" t="s">
        <v>39</v>
      </c>
      <c r="B40" s="15">
        <f>EOMONTH(B39,0)</f>
        <v>42429</v>
      </c>
      <c r="D40" t="str">
        <f>IF(_xlfn.ISFORMULA(B40),_xlfn.FORMULATEXT(B40),"")</f>
        <v>=EOMONTH(B39,0)</v>
      </c>
      <c r="E40" t="s">
        <v>43</v>
      </c>
    </row>
    <row r="41" spans="5:5">
      <c r="E41" s="66" t="s">
        <v>44</v>
      </c>
    </row>
    <row r="42" spans="5:5">
      <c r="E42" s="66" t="s">
        <v>45</v>
      </c>
    </row>
    <row r="43" spans="5:5">
      <c r="E43" s="66" t="s">
        <v>46</v>
      </c>
    </row>
    <row r="45" ht="60" spans="4:8">
      <c r="D45" s="16" t="s">
        <v>47</v>
      </c>
      <c r="E45" s="16" t="s">
        <v>48</v>
      </c>
      <c r="F45" s="16" t="s">
        <v>49</v>
      </c>
      <c r="G45" s="16" t="s">
        <v>22</v>
      </c>
      <c r="H45" s="16" t="s">
        <v>50</v>
      </c>
    </row>
    <row r="46" spans="4:8">
      <c r="D46" s="5" t="s">
        <v>51</v>
      </c>
      <c r="E46" s="18">
        <v>2063</v>
      </c>
      <c r="F46" s="14">
        <v>42996</v>
      </c>
      <c r="G46" s="15">
        <f ca="1">TODAY()</f>
        <v>45080</v>
      </c>
      <c r="H46" s="10">
        <f ca="1">G46-F46</f>
        <v>2084</v>
      </c>
    </row>
    <row r="47" spans="4:8">
      <c r="D47" s="5" t="s">
        <v>52</v>
      </c>
      <c r="E47" s="18">
        <v>2084.55</v>
      </c>
      <c r="F47" s="14">
        <v>42918</v>
      </c>
      <c r="G47" s="15">
        <f ca="1" t="shared" ref="G47:G61" si="0">TODAY()</f>
        <v>45080</v>
      </c>
      <c r="H47" s="10">
        <f ca="1" t="shared" ref="H47:H61" si="1">G47-F47</f>
        <v>2162</v>
      </c>
    </row>
    <row r="48" spans="4:8">
      <c r="D48" s="5" t="s">
        <v>53</v>
      </c>
      <c r="E48" s="18">
        <v>1338.51</v>
      </c>
      <c r="F48" s="14">
        <v>42987</v>
      </c>
      <c r="G48" s="15">
        <f ca="1" t="shared" si="0"/>
        <v>45080</v>
      </c>
      <c r="H48" s="10">
        <f ca="1" t="shared" si="1"/>
        <v>2093</v>
      </c>
    </row>
    <row r="49" spans="4:8">
      <c r="D49" s="5" t="s">
        <v>54</v>
      </c>
      <c r="E49" s="18">
        <v>1967.55</v>
      </c>
      <c r="F49" s="14">
        <v>42966</v>
      </c>
      <c r="G49" s="15">
        <f ca="1" t="shared" si="0"/>
        <v>45080</v>
      </c>
      <c r="H49" s="10">
        <f ca="1" t="shared" si="1"/>
        <v>2114</v>
      </c>
    </row>
    <row r="50" spans="4:8">
      <c r="D50" s="5" t="s">
        <v>55</v>
      </c>
      <c r="E50" s="18">
        <v>2213.87</v>
      </c>
      <c r="F50" s="14">
        <v>43026</v>
      </c>
      <c r="G50" s="15">
        <f ca="1" t="shared" si="0"/>
        <v>45080</v>
      </c>
      <c r="H50" s="10">
        <f ca="1" t="shared" si="1"/>
        <v>2054</v>
      </c>
    </row>
    <row r="51" spans="4:8">
      <c r="D51" s="5" t="s">
        <v>56</v>
      </c>
      <c r="E51" s="18">
        <v>1570.3</v>
      </c>
      <c r="F51" s="14">
        <v>42921</v>
      </c>
      <c r="G51" s="15">
        <f ca="1" t="shared" si="0"/>
        <v>45080</v>
      </c>
      <c r="H51" s="10">
        <f ca="1" t="shared" si="1"/>
        <v>2159</v>
      </c>
    </row>
    <row r="52" spans="4:8">
      <c r="D52" s="5" t="s">
        <v>57</v>
      </c>
      <c r="E52" s="18">
        <v>1652.3</v>
      </c>
      <c r="F52" s="14">
        <v>43019</v>
      </c>
      <c r="G52" s="15">
        <f ca="1" t="shared" si="0"/>
        <v>45080</v>
      </c>
      <c r="H52" s="10">
        <f ca="1" t="shared" si="1"/>
        <v>2061</v>
      </c>
    </row>
    <row r="53" spans="4:8">
      <c r="D53" s="5" t="s">
        <v>58</v>
      </c>
      <c r="E53" s="18">
        <v>1467.72</v>
      </c>
      <c r="F53" s="14">
        <v>42922</v>
      </c>
      <c r="G53" s="15">
        <f ca="1" t="shared" si="0"/>
        <v>45080</v>
      </c>
      <c r="H53" s="10">
        <f ca="1" t="shared" si="1"/>
        <v>2158</v>
      </c>
    </row>
    <row r="54" spans="4:8">
      <c r="D54" s="5" t="s">
        <v>59</v>
      </c>
      <c r="E54" s="18">
        <v>1911.15</v>
      </c>
      <c r="F54" s="14">
        <v>42935</v>
      </c>
      <c r="G54" s="15">
        <f ca="1" t="shared" si="0"/>
        <v>45080</v>
      </c>
      <c r="H54" s="10">
        <f ca="1" t="shared" si="1"/>
        <v>2145</v>
      </c>
    </row>
    <row r="55" spans="4:8">
      <c r="D55" s="5" t="s">
        <v>60</v>
      </c>
      <c r="E55" s="18">
        <v>597.07</v>
      </c>
      <c r="F55" s="14">
        <v>42957</v>
      </c>
      <c r="G55" s="15">
        <f ca="1" t="shared" si="0"/>
        <v>45080</v>
      </c>
      <c r="H55" s="10">
        <f ca="1" t="shared" si="1"/>
        <v>2123</v>
      </c>
    </row>
    <row r="56" spans="4:8">
      <c r="D56" s="5" t="s">
        <v>61</v>
      </c>
      <c r="E56" s="18">
        <v>608.6</v>
      </c>
      <c r="F56" s="14">
        <v>43012</v>
      </c>
      <c r="G56" s="15">
        <f ca="1" t="shared" si="0"/>
        <v>45080</v>
      </c>
      <c r="H56" s="10">
        <f ca="1" t="shared" si="1"/>
        <v>2068</v>
      </c>
    </row>
    <row r="57" spans="4:8">
      <c r="D57" s="5" t="s">
        <v>62</v>
      </c>
      <c r="E57" s="18">
        <v>1390.45</v>
      </c>
      <c r="F57" s="14">
        <v>43023</v>
      </c>
      <c r="G57" s="15">
        <f ca="1" t="shared" si="0"/>
        <v>45080</v>
      </c>
      <c r="H57" s="10">
        <f ca="1" t="shared" si="1"/>
        <v>2057</v>
      </c>
    </row>
    <row r="58" spans="4:8">
      <c r="D58" s="5" t="s">
        <v>63</v>
      </c>
      <c r="E58" s="18">
        <v>419.68</v>
      </c>
      <c r="F58" s="14">
        <v>42959</v>
      </c>
      <c r="G58" s="15">
        <f ca="1" t="shared" si="0"/>
        <v>45080</v>
      </c>
      <c r="H58" s="10">
        <f ca="1" t="shared" si="1"/>
        <v>2121</v>
      </c>
    </row>
    <row r="59" spans="4:8">
      <c r="D59" s="5" t="s">
        <v>64</v>
      </c>
      <c r="E59" s="18">
        <v>1210.17</v>
      </c>
      <c r="F59" s="14">
        <v>43023</v>
      </c>
      <c r="G59" s="15">
        <f ca="1" t="shared" si="0"/>
        <v>45080</v>
      </c>
      <c r="H59" s="10">
        <f ca="1" t="shared" si="1"/>
        <v>2057</v>
      </c>
    </row>
    <row r="60" spans="4:8">
      <c r="D60" s="5" t="s">
        <v>65</v>
      </c>
      <c r="E60" s="18">
        <v>1815.46</v>
      </c>
      <c r="F60" s="14">
        <v>43022</v>
      </c>
      <c r="G60" s="15">
        <f ca="1" t="shared" si="0"/>
        <v>45080</v>
      </c>
      <c r="H60" s="10">
        <f ca="1" t="shared" si="1"/>
        <v>2058</v>
      </c>
    </row>
    <row r="61" spans="4:8">
      <c r="D61" s="5" t="s">
        <v>66</v>
      </c>
      <c r="E61" s="18">
        <v>1803.3</v>
      </c>
      <c r="F61" s="14">
        <v>42974</v>
      </c>
      <c r="G61" s="15">
        <f ca="1" t="shared" si="0"/>
        <v>45080</v>
      </c>
      <c r="H61" s="10">
        <f ca="1" t="shared" si="1"/>
        <v>2106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53"/>
  <sheetViews>
    <sheetView tabSelected="1" zoomScale="130" zoomScaleNormal="130" topLeftCell="A38" workbookViewId="0">
      <selection activeCell="H53" sqref="H53"/>
    </sheetView>
  </sheetViews>
  <sheetFormatPr defaultColWidth="9" defaultRowHeight="15" outlineLevelCol="7"/>
  <cols>
    <col min="1" max="1" width="23.2857142857143" customWidth="1"/>
    <col min="2" max="2" width="14.8571428571429" customWidth="1"/>
    <col min="3" max="4" width="14" customWidth="1"/>
    <col min="5" max="5" width="14.8571428571429" customWidth="1"/>
    <col min="6" max="6" width="14.1428571428571" customWidth="1"/>
    <col min="7" max="7" width="12.1428571428571" customWidth="1"/>
    <col min="8" max="8" width="11.1428571428571" customWidth="1"/>
  </cols>
  <sheetData>
    <row r="1" spans="1:6">
      <c r="A1" s="20" t="s">
        <v>67</v>
      </c>
      <c r="B1" s="21"/>
      <c r="C1" s="21"/>
      <c r="D1" s="21"/>
      <c r="E1" s="21"/>
      <c r="F1" s="22"/>
    </row>
    <row r="2" spans="1:6">
      <c r="A2" s="23" t="s">
        <v>68</v>
      </c>
      <c r="B2" s="24"/>
      <c r="C2" s="24"/>
      <c r="D2" s="24"/>
      <c r="E2" s="24"/>
      <c r="F2" s="25"/>
    </row>
    <row r="3" spans="1:6">
      <c r="A3" s="26" t="s">
        <v>69</v>
      </c>
      <c r="B3" s="27"/>
      <c r="C3" s="27"/>
      <c r="D3" s="27"/>
      <c r="E3" s="27"/>
      <c r="F3" s="28"/>
    </row>
    <row r="5" spans="1:1">
      <c r="A5" t="s">
        <v>70</v>
      </c>
    </row>
    <row r="7" spans="1:4">
      <c r="A7" s="16" t="s">
        <v>71</v>
      </c>
      <c r="B7" s="9">
        <v>0.333333333333333</v>
      </c>
      <c r="D7" s="19"/>
    </row>
    <row r="8" ht="30" spans="1:2">
      <c r="A8" s="16" t="s">
        <v>72</v>
      </c>
      <c r="B8" s="29">
        <v>0.333333333333333</v>
      </c>
    </row>
    <row r="9" spans="1:5">
      <c r="A9" s="16" t="s">
        <v>73</v>
      </c>
      <c r="B9" s="36">
        <f>8/24</f>
        <v>0.333333333333333</v>
      </c>
      <c r="E9" t="s">
        <v>74</v>
      </c>
    </row>
    <row r="10" ht="30" spans="1:2">
      <c r="A10" s="16" t="s">
        <v>75</v>
      </c>
      <c r="B10" s="36">
        <f>8/24</f>
        <v>0.333333333333333</v>
      </c>
    </row>
    <row r="12" ht="30" spans="1:5">
      <c r="A12" s="16" t="s">
        <v>76</v>
      </c>
      <c r="B12" s="16" t="s">
        <v>77</v>
      </c>
      <c r="C12" s="16" t="s">
        <v>78</v>
      </c>
      <c r="D12" s="16" t="s">
        <v>78</v>
      </c>
      <c r="E12" s="16" t="s">
        <v>18</v>
      </c>
    </row>
    <row r="13" spans="1:5">
      <c r="A13" s="9">
        <v>0</v>
      </c>
      <c r="B13" s="5">
        <v>0</v>
      </c>
      <c r="C13" s="5"/>
      <c r="D13" s="5"/>
      <c r="E13" s="29">
        <f>A13</f>
        <v>0</v>
      </c>
    </row>
    <row r="14" spans="1:5">
      <c r="A14" s="9">
        <v>0.333333333333333</v>
      </c>
      <c r="B14" s="31">
        <f>8/24</f>
        <v>0.333333333333333</v>
      </c>
      <c r="C14" s="32">
        <f>1/3</f>
        <v>0.333333333333333</v>
      </c>
      <c r="D14" s="5"/>
      <c r="E14" s="5">
        <f>8/24</f>
        <v>0.333333333333333</v>
      </c>
    </row>
    <row r="15" spans="1:5">
      <c r="A15" s="9">
        <v>0.5</v>
      </c>
      <c r="B15" s="31">
        <f>12/24</f>
        <v>0.5</v>
      </c>
      <c r="C15" s="32">
        <f>1/2</f>
        <v>0.5</v>
      </c>
      <c r="D15" s="5"/>
      <c r="E15" s="5">
        <f>12/24</f>
        <v>0.5</v>
      </c>
    </row>
    <row r="16" spans="1:5">
      <c r="A16" s="9">
        <v>0.625</v>
      </c>
      <c r="B16" s="33" t="s">
        <v>79</v>
      </c>
      <c r="C16" s="31">
        <f>15/24</f>
        <v>0.625</v>
      </c>
      <c r="D16" s="32">
        <f>15/24</f>
        <v>0.625</v>
      </c>
      <c r="E16" s="5">
        <f>15/24</f>
        <v>0.625</v>
      </c>
    </row>
    <row r="17" spans="1:5">
      <c r="A17" s="9">
        <v>0.635416666666667</v>
      </c>
      <c r="B17" s="5" t="s">
        <v>80</v>
      </c>
      <c r="C17" s="5"/>
      <c r="D17" s="5"/>
      <c r="E17" s="29">
        <v>0.635416666666667</v>
      </c>
    </row>
    <row r="19" spans="1:7">
      <c r="A19" s="34" t="s">
        <v>81</v>
      </c>
      <c r="B19" s="21"/>
      <c r="C19" s="21"/>
      <c r="D19" s="21"/>
      <c r="E19" s="21"/>
      <c r="F19" s="21"/>
      <c r="G19" s="22"/>
    </row>
    <row r="20" spans="1:7">
      <c r="A20" s="26" t="s">
        <v>82</v>
      </c>
      <c r="B20" s="27"/>
      <c r="C20" s="27"/>
      <c r="D20" s="27"/>
      <c r="E20" s="27"/>
      <c r="F20" s="27"/>
      <c r="G20" s="28"/>
    </row>
    <row r="22" spans="1:2">
      <c r="A22" s="16" t="s">
        <v>83</v>
      </c>
      <c r="B22" s="8">
        <v>21.25</v>
      </c>
    </row>
    <row r="23" spans="1:2">
      <c r="A23" s="16" t="s">
        <v>84</v>
      </c>
      <c r="B23" s="9">
        <v>0.333333333333333</v>
      </c>
    </row>
    <row r="24" spans="1:2">
      <c r="A24" s="16" t="s">
        <v>85</v>
      </c>
      <c r="B24" s="9">
        <v>0.666666666666667</v>
      </c>
    </row>
    <row r="25" spans="1:4">
      <c r="A25" s="16" t="s">
        <v>86</v>
      </c>
      <c r="B25" s="37">
        <f>(B24-B23)*24</f>
        <v>8</v>
      </c>
      <c r="C25" t="str">
        <f>IF(_xlfn.ISFORMULA(B25),_xlfn.FORMULATEXT(B25),"")</f>
        <v>=(B24-B23)*24</v>
      </c>
      <c r="D25" t="s">
        <v>87</v>
      </c>
    </row>
    <row r="26" spans="1:3">
      <c r="A26" s="16" t="s">
        <v>88</v>
      </c>
      <c r="B26" s="11">
        <f>B25*B22</f>
        <v>170</v>
      </c>
      <c r="C26" t="str">
        <f>IF(_xlfn.ISFORMULA(B26),_xlfn.FORMULATEXT(B26),"")</f>
        <v>=B25*B22</v>
      </c>
    </row>
    <row r="28" spans="1:1">
      <c r="A28" t="s">
        <v>89</v>
      </c>
    </row>
    <row r="29" spans="1:2">
      <c r="A29" s="16" t="s">
        <v>90</v>
      </c>
      <c r="B29" s="9">
        <v>0.354166666666667</v>
      </c>
    </row>
    <row r="30" spans="1:2">
      <c r="A30" s="16" t="s">
        <v>91</v>
      </c>
      <c r="B30" s="9">
        <v>0.458333333333333</v>
      </c>
    </row>
    <row r="31" spans="1:3">
      <c r="A31" s="16" t="s">
        <v>92</v>
      </c>
      <c r="B31" s="10">
        <f>(B30-B29)*24</f>
        <v>2.5</v>
      </c>
      <c r="C31" t="str">
        <f>IF(_xlfn.ISFORMULA(B31),_xlfn.FORMULATEXT(B31),"")</f>
        <v>=(B30-B29)*24</v>
      </c>
    </row>
    <row r="32" spans="1:2">
      <c r="A32" s="16" t="s">
        <v>90</v>
      </c>
      <c r="B32" s="9">
        <v>0.916666666666667</v>
      </c>
    </row>
    <row r="33" spans="1:5">
      <c r="A33" s="16" t="s">
        <v>91</v>
      </c>
      <c r="B33" s="9">
        <v>0.96875</v>
      </c>
      <c r="E33" s="38"/>
    </row>
    <row r="34" spans="1:3">
      <c r="A34" s="16" t="s">
        <v>92</v>
      </c>
      <c r="B34" s="12">
        <f>(B33-B32)*24</f>
        <v>1.25</v>
      </c>
      <c r="C34" t="str">
        <f t="shared" ref="C34:C35" si="0">IF(_xlfn.ISFORMULA(B34),_xlfn.FORMULATEXT(B34),"")</f>
        <v>=(B33-B32)*24</v>
      </c>
    </row>
    <row r="35" spans="1:3">
      <c r="A35" s="16" t="s">
        <v>93</v>
      </c>
      <c r="B35" s="10">
        <f>B34+B31</f>
        <v>3.75</v>
      </c>
      <c r="C35" t="str">
        <f t="shared" si="0"/>
        <v>=B34+B31</v>
      </c>
    </row>
    <row r="36" spans="2:2">
      <c r="B36" t="s">
        <v>94</v>
      </c>
    </row>
    <row r="37" spans="1:3">
      <c r="A37" s="16" t="s">
        <v>93</v>
      </c>
      <c r="B37" s="12">
        <f>SUM(B30-B29,B33-B32)*24</f>
        <v>3.75</v>
      </c>
      <c r="C37" t="str">
        <f>IF(_xlfn.ISFORMULA(B37),_xlfn.FORMULATEXT(B37),"")</f>
        <v>=SUM(B30-B29,B33-B32)*24</v>
      </c>
    </row>
    <row r="40" spans="7:7">
      <c r="G40" s="4" t="s">
        <v>95</v>
      </c>
    </row>
    <row r="41" spans="1:7">
      <c r="A41" s="35" t="s">
        <v>96</v>
      </c>
      <c r="G41" s="5">
        <v>0.0765</v>
      </c>
    </row>
    <row r="43" spans="1:8">
      <c r="A43" s="6" t="s">
        <v>97</v>
      </c>
      <c r="B43" s="6" t="s">
        <v>98</v>
      </c>
      <c r="C43" s="6" t="s">
        <v>84</v>
      </c>
      <c r="D43" s="6" t="s">
        <v>85</v>
      </c>
      <c r="E43" s="6" t="s">
        <v>99</v>
      </c>
      <c r="F43" s="6" t="s">
        <v>88</v>
      </c>
      <c r="G43" s="6" t="s">
        <v>100</v>
      </c>
      <c r="H43" s="6" t="s">
        <v>101</v>
      </c>
    </row>
    <row r="44" spans="1:8">
      <c r="A44" s="7" t="s">
        <v>102</v>
      </c>
      <c r="B44" s="8">
        <v>24.94</v>
      </c>
      <c r="C44" s="9">
        <v>0.333333333333333</v>
      </c>
      <c r="D44" s="9">
        <v>0.645833333333333</v>
      </c>
      <c r="E44" s="12">
        <f>(D44-C44)*24</f>
        <v>7.5</v>
      </c>
      <c r="F44" s="12">
        <f>ROUND(E44*B44,2)</f>
        <v>187.05</v>
      </c>
      <c r="G44" s="12">
        <f>ROUND(F44*$G$41,2)</f>
        <v>14.31</v>
      </c>
      <c r="H44" s="12">
        <f>F44-G44</f>
        <v>172.74</v>
      </c>
    </row>
    <row r="45" spans="1:8">
      <c r="A45" s="7" t="s">
        <v>103</v>
      </c>
      <c r="B45" s="8">
        <v>18.14</v>
      </c>
      <c r="C45" s="9">
        <v>0.375</v>
      </c>
      <c r="D45" s="9">
        <v>0.600694444444444</v>
      </c>
      <c r="E45" s="12">
        <f t="shared" ref="E45:E53" si="1">(D45-C45)*24</f>
        <v>5.41666666666667</v>
      </c>
      <c r="F45" s="12">
        <f t="shared" ref="F45:F53" si="2">ROUND(E45*B45,2)</f>
        <v>98.26</v>
      </c>
      <c r="G45" s="12">
        <f t="shared" ref="G45:G53" si="3">ROUND(F45*$G$41,2)</f>
        <v>7.52</v>
      </c>
      <c r="H45" s="12">
        <f t="shared" ref="H45:H53" si="4">F45-G45</f>
        <v>90.74</v>
      </c>
    </row>
    <row r="46" spans="1:8">
      <c r="A46" s="7" t="s">
        <v>104</v>
      </c>
      <c r="B46" s="8">
        <v>17.94</v>
      </c>
      <c r="C46" s="9">
        <v>0.3125</v>
      </c>
      <c r="D46" s="9">
        <v>0.635416666666667</v>
      </c>
      <c r="E46" s="12">
        <f t="shared" si="1"/>
        <v>7.75</v>
      </c>
      <c r="F46" s="12">
        <f t="shared" si="2"/>
        <v>139.04</v>
      </c>
      <c r="G46" s="12">
        <f t="shared" si="3"/>
        <v>10.64</v>
      </c>
      <c r="H46" s="12">
        <f t="shared" si="4"/>
        <v>128.4</v>
      </c>
    </row>
    <row r="47" spans="1:8">
      <c r="A47" s="7" t="s">
        <v>105</v>
      </c>
      <c r="B47" s="8">
        <v>26.7</v>
      </c>
      <c r="C47" s="9">
        <v>0.333333333333333</v>
      </c>
      <c r="D47" s="9">
        <v>0.590277777777778</v>
      </c>
      <c r="E47" s="12">
        <f t="shared" si="1"/>
        <v>6.16666666666667</v>
      </c>
      <c r="F47" s="12">
        <f t="shared" si="2"/>
        <v>164.65</v>
      </c>
      <c r="G47" s="12">
        <f t="shared" si="3"/>
        <v>12.6</v>
      </c>
      <c r="H47" s="12">
        <f t="shared" si="4"/>
        <v>152.05</v>
      </c>
    </row>
    <row r="48" spans="1:8">
      <c r="A48" s="7" t="s">
        <v>106</v>
      </c>
      <c r="B48" s="8">
        <v>24.3</v>
      </c>
      <c r="C48" s="9">
        <v>0.375</v>
      </c>
      <c r="D48" s="9">
        <v>0.604166666666667</v>
      </c>
      <c r="E48" s="12">
        <f t="shared" si="1"/>
        <v>5.5</v>
      </c>
      <c r="F48" s="12">
        <f t="shared" si="2"/>
        <v>133.65</v>
      </c>
      <c r="G48" s="12">
        <f t="shared" si="3"/>
        <v>10.22</v>
      </c>
      <c r="H48" s="12">
        <f t="shared" si="4"/>
        <v>123.43</v>
      </c>
    </row>
    <row r="49" spans="1:8">
      <c r="A49" s="7" t="s">
        <v>107</v>
      </c>
      <c r="B49" s="8">
        <v>22.85</v>
      </c>
      <c r="C49" s="9">
        <v>0.333333333333333</v>
      </c>
      <c r="D49" s="9">
        <v>0.697916666666667</v>
      </c>
      <c r="E49" s="12">
        <f t="shared" si="1"/>
        <v>8.75</v>
      </c>
      <c r="F49" s="12">
        <f t="shared" si="2"/>
        <v>199.94</v>
      </c>
      <c r="G49" s="12">
        <f t="shared" si="3"/>
        <v>15.3</v>
      </c>
      <c r="H49" s="12">
        <f t="shared" si="4"/>
        <v>184.64</v>
      </c>
    </row>
    <row r="50" spans="1:8">
      <c r="A50" s="7" t="s">
        <v>108</v>
      </c>
      <c r="B50" s="8">
        <v>26.98</v>
      </c>
      <c r="C50" s="9">
        <v>0.270833333333333</v>
      </c>
      <c r="D50" s="9">
        <v>0.482638888888889</v>
      </c>
      <c r="E50" s="12">
        <f t="shared" si="1"/>
        <v>5.08333333333333</v>
      </c>
      <c r="F50" s="12">
        <f t="shared" si="2"/>
        <v>137.15</v>
      </c>
      <c r="G50" s="12">
        <f t="shared" si="3"/>
        <v>10.49</v>
      </c>
      <c r="H50" s="12">
        <f t="shared" si="4"/>
        <v>126.66</v>
      </c>
    </row>
    <row r="51" spans="1:8">
      <c r="A51" s="7" t="s">
        <v>109</v>
      </c>
      <c r="B51" s="8">
        <v>17.71</v>
      </c>
      <c r="C51" s="9">
        <v>0.333333333333333</v>
      </c>
      <c r="D51" s="9">
        <v>0.541666666666667</v>
      </c>
      <c r="E51" s="12">
        <f t="shared" si="1"/>
        <v>5</v>
      </c>
      <c r="F51" s="12">
        <f t="shared" si="2"/>
        <v>88.55</v>
      </c>
      <c r="G51" s="12">
        <f t="shared" si="3"/>
        <v>6.77</v>
      </c>
      <c r="H51" s="12">
        <f t="shared" si="4"/>
        <v>81.78</v>
      </c>
    </row>
    <row r="52" spans="1:8">
      <c r="A52" s="7" t="s">
        <v>110</v>
      </c>
      <c r="B52" s="8">
        <v>20.12</v>
      </c>
      <c r="C52" s="9">
        <v>0.291666666666667</v>
      </c>
      <c r="D52" s="9">
        <v>0.6875</v>
      </c>
      <c r="E52" s="12">
        <f t="shared" si="1"/>
        <v>9.5</v>
      </c>
      <c r="F52" s="12">
        <f t="shared" si="2"/>
        <v>191.14</v>
      </c>
      <c r="G52" s="12">
        <f t="shared" si="3"/>
        <v>14.62</v>
      </c>
      <c r="H52" s="12">
        <f t="shared" si="4"/>
        <v>176.52</v>
      </c>
    </row>
    <row r="53" spans="1:8">
      <c r="A53" s="7" t="s">
        <v>111</v>
      </c>
      <c r="B53" s="8">
        <v>23.69</v>
      </c>
      <c r="C53" s="9">
        <v>0.333333333333333</v>
      </c>
      <c r="D53" s="9">
        <v>0.625</v>
      </c>
      <c r="E53" s="12">
        <f t="shared" si="1"/>
        <v>7</v>
      </c>
      <c r="F53" s="12">
        <f t="shared" si="2"/>
        <v>165.83</v>
      </c>
      <c r="G53" s="12">
        <f t="shared" si="3"/>
        <v>12.69</v>
      </c>
      <c r="H53" s="12">
        <f>F53-G53</f>
        <v>153.14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H53"/>
  <sheetViews>
    <sheetView zoomScale="115" zoomScaleNormal="115" workbookViewId="0">
      <selection activeCell="B7" sqref="B7"/>
    </sheetView>
  </sheetViews>
  <sheetFormatPr defaultColWidth="9" defaultRowHeight="15" outlineLevelCol="7"/>
  <cols>
    <col min="1" max="1" width="23.2857142857143" customWidth="1"/>
    <col min="2" max="2" width="14.8571428571429" customWidth="1"/>
    <col min="3" max="4" width="14" customWidth="1"/>
    <col min="5" max="5" width="14.8571428571429" customWidth="1"/>
    <col min="6" max="6" width="14.1428571428571" customWidth="1"/>
    <col min="7" max="7" width="12.1428571428571" customWidth="1"/>
    <col min="8" max="8" width="11.1428571428571" customWidth="1"/>
  </cols>
  <sheetData>
    <row r="1" spans="1:6">
      <c r="A1" s="20" t="s">
        <v>67</v>
      </c>
      <c r="B1" s="21"/>
      <c r="C1" s="21"/>
      <c r="D1" s="21"/>
      <c r="E1" s="21"/>
      <c r="F1" s="22"/>
    </row>
    <row r="2" spans="1:6">
      <c r="A2" s="23" t="s">
        <v>68</v>
      </c>
      <c r="B2" s="24"/>
      <c r="C2" s="24"/>
      <c r="D2" s="24"/>
      <c r="E2" s="24"/>
      <c r="F2" s="25"/>
    </row>
    <row r="3" spans="1:6">
      <c r="A3" s="26" t="s">
        <v>69</v>
      </c>
      <c r="B3" s="27"/>
      <c r="C3" s="27"/>
      <c r="D3" s="27"/>
      <c r="E3" s="27"/>
      <c r="F3" s="28"/>
    </row>
    <row r="5" spans="1:1">
      <c r="A5" t="s">
        <v>70</v>
      </c>
    </row>
    <row r="7" spans="1:4">
      <c r="A7" s="16" t="s">
        <v>71</v>
      </c>
      <c r="B7" s="9">
        <v>0.333333333333333</v>
      </c>
      <c r="D7" s="19">
        <v>43071</v>
      </c>
    </row>
    <row r="8" ht="30" spans="1:4">
      <c r="A8" s="16" t="s">
        <v>72</v>
      </c>
      <c r="B8" s="29">
        <v>0.333333333333333</v>
      </c>
      <c r="D8" t="s">
        <v>112</v>
      </c>
    </row>
    <row r="9" spans="1:5">
      <c r="A9" s="16" t="s">
        <v>73</v>
      </c>
      <c r="B9" s="5">
        <f>8/24</f>
        <v>0.333333333333333</v>
      </c>
      <c r="E9" t="s">
        <v>74</v>
      </c>
    </row>
    <row r="10" ht="30" spans="1:2">
      <c r="A10" s="16" t="s">
        <v>75</v>
      </c>
      <c r="B10" s="30">
        <f>8/24</f>
        <v>0.333333333333333</v>
      </c>
    </row>
    <row r="12" ht="30" spans="1:5">
      <c r="A12" s="16" t="s">
        <v>76</v>
      </c>
      <c r="B12" s="16" t="s">
        <v>77</v>
      </c>
      <c r="C12" s="16" t="s">
        <v>78</v>
      </c>
      <c r="D12" s="16" t="s">
        <v>78</v>
      </c>
      <c r="E12" s="16" t="s">
        <v>18</v>
      </c>
    </row>
    <row r="13" spans="1:5">
      <c r="A13" s="9">
        <v>0</v>
      </c>
      <c r="B13" s="5">
        <v>0</v>
      </c>
      <c r="C13" s="5"/>
      <c r="D13" s="5"/>
      <c r="E13" s="29">
        <f>A13</f>
        <v>0</v>
      </c>
    </row>
    <row r="14" spans="1:5">
      <c r="A14" s="9">
        <v>0.333333333333333</v>
      </c>
      <c r="B14" s="31">
        <f>8/24</f>
        <v>0.333333333333333</v>
      </c>
      <c r="C14" s="32">
        <f>1/3</f>
        <v>0.333333333333333</v>
      </c>
      <c r="D14" s="5"/>
      <c r="E14" s="5">
        <f>8/24</f>
        <v>0.333333333333333</v>
      </c>
    </row>
    <row r="15" spans="1:5">
      <c r="A15" s="9">
        <v>0.5</v>
      </c>
      <c r="B15" s="31">
        <f>12/24</f>
        <v>0.5</v>
      </c>
      <c r="C15" s="32">
        <f>1/2</f>
        <v>0.5</v>
      </c>
      <c r="D15" s="5"/>
      <c r="E15" s="5">
        <f>12/24</f>
        <v>0.5</v>
      </c>
    </row>
    <row r="16" spans="1:5">
      <c r="A16" s="9">
        <v>0.625</v>
      </c>
      <c r="B16" s="33" t="s">
        <v>79</v>
      </c>
      <c r="C16" s="31">
        <f>15/24</f>
        <v>0.625</v>
      </c>
      <c r="D16" s="32">
        <f>15/24</f>
        <v>0.625</v>
      </c>
      <c r="E16" s="5">
        <f>15/24</f>
        <v>0.625</v>
      </c>
    </row>
    <row r="17" spans="1:5">
      <c r="A17" s="9">
        <v>0.635416666666667</v>
      </c>
      <c r="B17" s="5" t="s">
        <v>80</v>
      </c>
      <c r="C17" s="5"/>
      <c r="D17" s="5"/>
      <c r="E17" s="29">
        <v>0.635416666666667</v>
      </c>
    </row>
    <row r="19" spans="1:7">
      <c r="A19" s="34" t="s">
        <v>81</v>
      </c>
      <c r="B19" s="21"/>
      <c r="C19" s="21"/>
      <c r="D19" s="21"/>
      <c r="E19" s="21"/>
      <c r="F19" s="21"/>
      <c r="G19" s="22"/>
    </row>
    <row r="20" spans="1:7">
      <c r="A20" s="26" t="s">
        <v>82</v>
      </c>
      <c r="B20" s="27"/>
      <c r="C20" s="27"/>
      <c r="D20" s="27"/>
      <c r="E20" s="27"/>
      <c r="F20" s="27"/>
      <c r="G20" s="28"/>
    </row>
    <row r="22" spans="1:2">
      <c r="A22" s="16" t="s">
        <v>83</v>
      </c>
      <c r="B22" s="8">
        <v>21.25</v>
      </c>
    </row>
    <row r="23" spans="1:2">
      <c r="A23" s="16" t="s">
        <v>84</v>
      </c>
      <c r="B23" s="9">
        <v>0.333333333333333</v>
      </c>
    </row>
    <row r="24" spans="1:2">
      <c r="A24" s="16" t="s">
        <v>85</v>
      </c>
      <c r="B24" s="9">
        <v>0.5</v>
      </c>
    </row>
    <row r="25" spans="1:4">
      <c r="A25" s="16" t="s">
        <v>86</v>
      </c>
      <c r="B25" s="12">
        <f>(B24-B23)*24</f>
        <v>4</v>
      </c>
      <c r="C25" t="str">
        <f>IF(_xlfn.ISFORMULA(B25),_xlfn.FORMULATEXT(B25),"")</f>
        <v>=(B24-B23)*24</v>
      </c>
      <c r="D25" t="s">
        <v>87</v>
      </c>
    </row>
    <row r="26" spans="1:3">
      <c r="A26" s="16" t="s">
        <v>88</v>
      </c>
      <c r="B26" s="11">
        <f>B25*B22</f>
        <v>85</v>
      </c>
      <c r="C26" t="str">
        <f>IF(_xlfn.ISFORMULA(B26),_xlfn.FORMULATEXT(B26),"")</f>
        <v>=B25*B22</v>
      </c>
    </row>
    <row r="28" spans="1:1">
      <c r="A28" t="s">
        <v>89</v>
      </c>
    </row>
    <row r="29" spans="1:2">
      <c r="A29" s="16" t="s">
        <v>90</v>
      </c>
      <c r="B29" s="9">
        <v>0.354166666666667</v>
      </c>
    </row>
    <row r="30" spans="1:2">
      <c r="A30" s="16" t="s">
        <v>91</v>
      </c>
      <c r="B30" s="9">
        <v>0.458333333333333</v>
      </c>
    </row>
    <row r="31" spans="1:3">
      <c r="A31" s="16" t="s">
        <v>92</v>
      </c>
      <c r="B31" s="10">
        <f>(B30-B29)*24</f>
        <v>2.5</v>
      </c>
      <c r="C31" t="str">
        <f>IF(_xlfn.ISFORMULA(B31),_xlfn.FORMULATEXT(B31),"")</f>
        <v>=(B30-B29)*24</v>
      </c>
    </row>
    <row r="32" spans="1:2">
      <c r="A32" s="16" t="s">
        <v>90</v>
      </c>
      <c r="B32" s="9">
        <v>0.916666666666667</v>
      </c>
    </row>
    <row r="33" spans="1:2">
      <c r="A33" s="16" t="s">
        <v>91</v>
      </c>
      <c r="B33" s="9">
        <v>0.96875</v>
      </c>
    </row>
    <row r="34" spans="1:3">
      <c r="A34" s="16" t="s">
        <v>92</v>
      </c>
      <c r="B34" s="12">
        <f>(B33-B32)*24</f>
        <v>1.25</v>
      </c>
      <c r="C34" t="str">
        <f t="shared" ref="C34:C35" si="0">IF(_xlfn.ISFORMULA(B34),_xlfn.FORMULATEXT(B34),"")</f>
        <v>=(B33-B32)*24</v>
      </c>
    </row>
    <row r="35" spans="1:3">
      <c r="A35" s="16" t="s">
        <v>93</v>
      </c>
      <c r="B35" s="10">
        <f>B34+B31</f>
        <v>3.75</v>
      </c>
      <c r="C35" t="str">
        <f t="shared" si="0"/>
        <v>=B34+B31</v>
      </c>
    </row>
    <row r="36" spans="2:2">
      <c r="B36" t="s">
        <v>94</v>
      </c>
    </row>
    <row r="37" spans="1:3">
      <c r="A37" s="16" t="s">
        <v>93</v>
      </c>
      <c r="B37" s="12">
        <f>SUM(B30-B29,B33-B32)*24</f>
        <v>3.75</v>
      </c>
      <c r="C37" t="str">
        <f>IF(_xlfn.ISFORMULA(B37),_xlfn.FORMULATEXT(B37),"")</f>
        <v>=SUM(B30-B29,B33-B32)*24</v>
      </c>
    </row>
    <row r="40" spans="7:7">
      <c r="G40" s="4" t="s">
        <v>95</v>
      </c>
    </row>
    <row r="41" spans="1:7">
      <c r="A41" s="35" t="s">
        <v>96</v>
      </c>
      <c r="G41" s="5">
        <v>0.0765</v>
      </c>
    </row>
    <row r="43" spans="1:8">
      <c r="A43" s="6" t="s">
        <v>97</v>
      </c>
      <c r="B43" s="6" t="s">
        <v>98</v>
      </c>
      <c r="C43" s="6" t="s">
        <v>84</v>
      </c>
      <c r="D43" s="6" t="s">
        <v>85</v>
      </c>
      <c r="E43" s="6" t="s">
        <v>99</v>
      </c>
      <c r="F43" s="6" t="s">
        <v>88</v>
      </c>
      <c r="G43" s="6" t="s">
        <v>100</v>
      </c>
      <c r="H43" s="6" t="s">
        <v>101</v>
      </c>
    </row>
    <row r="44" spans="1:8">
      <c r="A44" s="7" t="s">
        <v>102</v>
      </c>
      <c r="B44" s="8">
        <v>24.94</v>
      </c>
      <c r="C44" s="9">
        <v>0.333333333333333</v>
      </c>
      <c r="D44" s="9">
        <v>0.645833333333333</v>
      </c>
      <c r="E44" s="12">
        <f>(D44-C44)*24</f>
        <v>7.5</v>
      </c>
      <c r="F44" s="12">
        <f>ROUND(E44*B44,2)</f>
        <v>187.05</v>
      </c>
      <c r="G44" s="12">
        <f>ROUND(F44*$G$41,2)</f>
        <v>14.31</v>
      </c>
      <c r="H44" s="12">
        <f>F44-G44</f>
        <v>172.74</v>
      </c>
    </row>
    <row r="45" spans="1:8">
      <c r="A45" s="7" t="s">
        <v>103</v>
      </c>
      <c r="B45" s="8">
        <v>18.14</v>
      </c>
      <c r="C45" s="9">
        <v>0.375</v>
      </c>
      <c r="D45" s="9">
        <v>0.600694444444444</v>
      </c>
      <c r="E45" s="12">
        <f t="shared" ref="E45:E53" si="1">(D45-C45)*24</f>
        <v>5.41666666666667</v>
      </c>
      <c r="F45" s="12">
        <f t="shared" ref="F45:F53" si="2">ROUND(E45*B45,2)</f>
        <v>98.26</v>
      </c>
      <c r="G45" s="12">
        <f t="shared" ref="G45:G53" si="3">ROUND(F45*$G$41,2)</f>
        <v>7.52</v>
      </c>
      <c r="H45" s="12">
        <f t="shared" ref="H45:H53" si="4">F45-G45</f>
        <v>90.74</v>
      </c>
    </row>
    <row r="46" spans="1:8">
      <c r="A46" s="7" t="s">
        <v>104</v>
      </c>
      <c r="B46" s="8">
        <v>17.94</v>
      </c>
      <c r="C46" s="9">
        <v>0.3125</v>
      </c>
      <c r="D46" s="9">
        <v>0.635416666666667</v>
      </c>
      <c r="E46" s="12">
        <f t="shared" si="1"/>
        <v>7.75</v>
      </c>
      <c r="F46" s="12">
        <f t="shared" si="2"/>
        <v>139.04</v>
      </c>
      <c r="G46" s="12">
        <f t="shared" si="3"/>
        <v>10.64</v>
      </c>
      <c r="H46" s="12">
        <f t="shared" si="4"/>
        <v>128.4</v>
      </c>
    </row>
    <row r="47" spans="1:8">
      <c r="A47" s="7" t="s">
        <v>105</v>
      </c>
      <c r="B47" s="8">
        <v>26.7</v>
      </c>
      <c r="C47" s="9">
        <v>0.333333333333333</v>
      </c>
      <c r="D47" s="9">
        <v>0.590277777777778</v>
      </c>
      <c r="E47" s="12">
        <f t="shared" si="1"/>
        <v>6.16666666666667</v>
      </c>
      <c r="F47" s="12">
        <f t="shared" si="2"/>
        <v>164.65</v>
      </c>
      <c r="G47" s="12">
        <f t="shared" si="3"/>
        <v>12.6</v>
      </c>
      <c r="H47" s="12">
        <f t="shared" si="4"/>
        <v>152.05</v>
      </c>
    </row>
    <row r="48" spans="1:8">
      <c r="A48" s="7" t="s">
        <v>106</v>
      </c>
      <c r="B48" s="8">
        <v>24.3</v>
      </c>
      <c r="C48" s="9">
        <v>0.375</v>
      </c>
      <c r="D48" s="9">
        <v>0.604166666666667</v>
      </c>
      <c r="E48" s="12">
        <f t="shared" si="1"/>
        <v>5.5</v>
      </c>
      <c r="F48" s="12">
        <f t="shared" si="2"/>
        <v>133.65</v>
      </c>
      <c r="G48" s="12">
        <f t="shared" si="3"/>
        <v>10.22</v>
      </c>
      <c r="H48" s="12">
        <f t="shared" si="4"/>
        <v>123.43</v>
      </c>
    </row>
    <row r="49" spans="1:8">
      <c r="A49" s="7" t="s">
        <v>107</v>
      </c>
      <c r="B49" s="8">
        <v>22.85</v>
      </c>
      <c r="C49" s="9">
        <v>0.333333333333333</v>
      </c>
      <c r="D49" s="9">
        <v>0.697916666666667</v>
      </c>
      <c r="E49" s="12">
        <f t="shared" si="1"/>
        <v>8.75</v>
      </c>
      <c r="F49" s="12">
        <f t="shared" si="2"/>
        <v>199.94</v>
      </c>
      <c r="G49" s="12">
        <f t="shared" si="3"/>
        <v>15.3</v>
      </c>
      <c r="H49" s="12">
        <f t="shared" si="4"/>
        <v>184.64</v>
      </c>
    </row>
    <row r="50" spans="1:8">
      <c r="A50" s="7" t="s">
        <v>108</v>
      </c>
      <c r="B50" s="8">
        <v>26.98</v>
      </c>
      <c r="C50" s="9">
        <v>0.270833333333333</v>
      </c>
      <c r="D50" s="9">
        <v>0.482638888888889</v>
      </c>
      <c r="E50" s="12">
        <f t="shared" si="1"/>
        <v>5.08333333333333</v>
      </c>
      <c r="F50" s="12">
        <f t="shared" si="2"/>
        <v>137.15</v>
      </c>
      <c r="G50" s="12">
        <f t="shared" si="3"/>
        <v>10.49</v>
      </c>
      <c r="H50" s="12">
        <f t="shared" si="4"/>
        <v>126.66</v>
      </c>
    </row>
    <row r="51" spans="1:8">
      <c r="A51" s="7" t="s">
        <v>109</v>
      </c>
      <c r="B51" s="8">
        <v>17.71</v>
      </c>
      <c r="C51" s="9">
        <v>0.333333333333333</v>
      </c>
      <c r="D51" s="9">
        <v>0.541666666666667</v>
      </c>
      <c r="E51" s="12">
        <f t="shared" si="1"/>
        <v>5</v>
      </c>
      <c r="F51" s="12">
        <f t="shared" si="2"/>
        <v>88.55</v>
      </c>
      <c r="G51" s="12">
        <f t="shared" si="3"/>
        <v>6.77</v>
      </c>
      <c r="H51" s="12">
        <f t="shared" si="4"/>
        <v>81.78</v>
      </c>
    </row>
    <row r="52" spans="1:8">
      <c r="A52" s="7" t="s">
        <v>110</v>
      </c>
      <c r="B52" s="8">
        <v>20.12</v>
      </c>
      <c r="C52" s="9">
        <v>0.291666666666667</v>
      </c>
      <c r="D52" s="9">
        <v>0.6875</v>
      </c>
      <c r="E52" s="12">
        <f t="shared" si="1"/>
        <v>9.5</v>
      </c>
      <c r="F52" s="12">
        <f t="shared" si="2"/>
        <v>191.14</v>
      </c>
      <c r="G52" s="12">
        <f t="shared" si="3"/>
        <v>14.62</v>
      </c>
      <c r="H52" s="12">
        <f t="shared" si="4"/>
        <v>176.52</v>
      </c>
    </row>
    <row r="53" spans="1:8">
      <c r="A53" s="7" t="s">
        <v>111</v>
      </c>
      <c r="B53" s="8">
        <v>23.69</v>
      </c>
      <c r="C53" s="9">
        <v>0.333333333333333</v>
      </c>
      <c r="D53" s="9">
        <v>0.625</v>
      </c>
      <c r="E53" s="12">
        <f t="shared" si="1"/>
        <v>7</v>
      </c>
      <c r="F53" s="12">
        <f t="shared" si="2"/>
        <v>165.83</v>
      </c>
      <c r="G53" s="12">
        <f t="shared" si="3"/>
        <v>12.69</v>
      </c>
      <c r="H53" s="12">
        <f t="shared" si="4"/>
        <v>153.14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14"/>
  <sheetViews>
    <sheetView zoomScale="145" zoomScaleNormal="145" workbookViewId="0">
      <selection activeCell="A1" sqref="A1:H14"/>
    </sheetView>
  </sheetViews>
  <sheetFormatPr defaultColWidth="9" defaultRowHeight="15" outlineLevelCol="7"/>
  <cols>
    <col min="1" max="1" width="16.8571428571429" customWidth="1"/>
    <col min="2" max="2" width="11.7142857142857" customWidth="1"/>
    <col min="4" max="4" width="10.1428571428571" customWidth="1"/>
    <col min="5" max="5" width="13.4285714285714" customWidth="1"/>
    <col min="6" max="6" width="11" customWidth="1"/>
    <col min="7" max="7" width="11.2857142857143" customWidth="1"/>
  </cols>
  <sheetData>
    <row r="1" spans="7:7">
      <c r="G1" s="4" t="s">
        <v>95</v>
      </c>
    </row>
    <row r="2" spans="7:7">
      <c r="G2" s="5">
        <v>0.0765</v>
      </c>
    </row>
    <row r="4" spans="1:8">
      <c r="A4" s="6" t="s">
        <v>97</v>
      </c>
      <c r="B4" s="6" t="s">
        <v>98</v>
      </c>
      <c r="C4" s="6" t="s">
        <v>84</v>
      </c>
      <c r="D4" s="6" t="s">
        <v>85</v>
      </c>
      <c r="E4" s="6" t="s">
        <v>99</v>
      </c>
      <c r="F4" s="6" t="s">
        <v>88</v>
      </c>
      <c r="G4" s="6" t="s">
        <v>100</v>
      </c>
      <c r="H4" s="6" t="s">
        <v>101</v>
      </c>
    </row>
    <row r="5" spans="1:8">
      <c r="A5" s="7" t="s">
        <v>102</v>
      </c>
      <c r="B5" s="8">
        <v>24.94</v>
      </c>
      <c r="C5" s="9">
        <v>0.333333333333333</v>
      </c>
      <c r="D5" s="9">
        <v>0.645833333333333</v>
      </c>
      <c r="E5" s="10">
        <f t="shared" ref="E5:E14" si="0">(D5-C5)*24</f>
        <v>7.5</v>
      </c>
      <c r="F5" s="11">
        <f t="shared" ref="F5:F14" si="1">ROUND(E5*B5,2)</f>
        <v>187.05</v>
      </c>
      <c r="G5" s="11">
        <f>ROUND(F5*$G$2,2)</f>
        <v>14.31</v>
      </c>
      <c r="H5" s="11">
        <f t="shared" ref="H5:H14" si="2">F5-G5</f>
        <v>172.74</v>
      </c>
    </row>
    <row r="6" spans="1:8">
      <c r="A6" s="7" t="s">
        <v>103</v>
      </c>
      <c r="B6" s="8">
        <v>18.14</v>
      </c>
      <c r="C6" s="9">
        <v>0.375</v>
      </c>
      <c r="D6" s="9">
        <v>0.604166666666667</v>
      </c>
      <c r="E6" s="10">
        <f t="shared" si="0"/>
        <v>5.5</v>
      </c>
      <c r="F6" s="11">
        <f t="shared" si="1"/>
        <v>99.77</v>
      </c>
      <c r="G6" s="11">
        <f t="shared" ref="G6:G14" si="3">ROUND(F6*$G$2,2)</f>
        <v>7.63</v>
      </c>
      <c r="H6" s="11">
        <f t="shared" si="2"/>
        <v>92.14</v>
      </c>
    </row>
    <row r="7" spans="1:8">
      <c r="A7" s="7" t="s">
        <v>104</v>
      </c>
      <c r="B7" s="8">
        <v>17.94</v>
      </c>
      <c r="C7" s="9">
        <v>0.3125</v>
      </c>
      <c r="D7" s="9">
        <v>0.625</v>
      </c>
      <c r="E7" s="10">
        <f t="shared" si="0"/>
        <v>7.5</v>
      </c>
      <c r="F7" s="11">
        <f t="shared" si="1"/>
        <v>134.55</v>
      </c>
      <c r="G7" s="11">
        <f t="shared" si="3"/>
        <v>10.29</v>
      </c>
      <c r="H7" s="11">
        <f t="shared" si="2"/>
        <v>124.26</v>
      </c>
    </row>
    <row r="8" spans="1:8">
      <c r="A8" s="7" t="s">
        <v>105</v>
      </c>
      <c r="B8" s="8">
        <v>26.7</v>
      </c>
      <c r="C8" s="9">
        <v>0.333333333333333</v>
      </c>
      <c r="D8" s="9">
        <v>0.5625</v>
      </c>
      <c r="E8" s="10">
        <f t="shared" si="0"/>
        <v>5.5</v>
      </c>
      <c r="F8" s="11">
        <f t="shared" si="1"/>
        <v>146.85</v>
      </c>
      <c r="G8" s="11">
        <f t="shared" si="3"/>
        <v>11.23</v>
      </c>
      <c r="H8" s="11">
        <f t="shared" si="2"/>
        <v>135.62</v>
      </c>
    </row>
    <row r="9" spans="1:8">
      <c r="A9" s="7" t="s">
        <v>106</v>
      </c>
      <c r="B9" s="8">
        <v>24.3</v>
      </c>
      <c r="C9" s="9">
        <v>0.375</v>
      </c>
      <c r="D9" s="9">
        <v>0.604166666666667</v>
      </c>
      <c r="E9" s="10">
        <f t="shared" si="0"/>
        <v>5.5</v>
      </c>
      <c r="F9" s="11">
        <f t="shared" si="1"/>
        <v>133.65</v>
      </c>
      <c r="G9" s="11">
        <f t="shared" si="3"/>
        <v>10.22</v>
      </c>
      <c r="H9" s="11">
        <f t="shared" si="2"/>
        <v>123.43</v>
      </c>
    </row>
    <row r="10" spans="1:8">
      <c r="A10" s="7" t="s">
        <v>107</v>
      </c>
      <c r="B10" s="8">
        <v>22.85</v>
      </c>
      <c r="C10" s="9">
        <v>0.333333333333333</v>
      </c>
      <c r="D10" s="9">
        <v>0.75</v>
      </c>
      <c r="E10" s="10">
        <f t="shared" si="0"/>
        <v>10</v>
      </c>
      <c r="F10" s="11">
        <f t="shared" si="1"/>
        <v>228.5</v>
      </c>
      <c r="G10" s="11">
        <f t="shared" si="3"/>
        <v>17.48</v>
      </c>
      <c r="H10" s="11">
        <f t="shared" si="2"/>
        <v>211.02</v>
      </c>
    </row>
    <row r="11" spans="1:8">
      <c r="A11" s="7" t="s">
        <v>108</v>
      </c>
      <c r="B11" s="8">
        <v>26.98</v>
      </c>
      <c r="C11" s="9">
        <v>0.270833333333333</v>
      </c>
      <c r="D11" s="9">
        <v>0.479166666666667</v>
      </c>
      <c r="E11" s="10">
        <f t="shared" si="0"/>
        <v>5</v>
      </c>
      <c r="F11" s="11">
        <f t="shared" si="1"/>
        <v>134.9</v>
      </c>
      <c r="G11" s="11">
        <f t="shared" si="3"/>
        <v>10.32</v>
      </c>
      <c r="H11" s="11">
        <f t="shared" si="2"/>
        <v>124.58</v>
      </c>
    </row>
    <row r="12" spans="1:8">
      <c r="A12" s="7" t="s">
        <v>109</v>
      </c>
      <c r="B12" s="8">
        <v>17.71</v>
      </c>
      <c r="C12" s="9">
        <v>0.333333333333333</v>
      </c>
      <c r="D12" s="9">
        <v>0.541666666666667</v>
      </c>
      <c r="E12" s="10">
        <f t="shared" si="0"/>
        <v>5</v>
      </c>
      <c r="F12" s="11">
        <f t="shared" si="1"/>
        <v>88.55</v>
      </c>
      <c r="G12" s="11">
        <f t="shared" si="3"/>
        <v>6.77</v>
      </c>
      <c r="H12" s="11">
        <f t="shared" si="2"/>
        <v>81.78</v>
      </c>
    </row>
    <row r="13" spans="1:8">
      <c r="A13" s="7" t="s">
        <v>110</v>
      </c>
      <c r="B13" s="8">
        <v>20.12</v>
      </c>
      <c r="C13" s="9">
        <v>0.291666666666667</v>
      </c>
      <c r="D13" s="9">
        <v>0.6875</v>
      </c>
      <c r="E13" s="10">
        <f t="shared" si="0"/>
        <v>9.5</v>
      </c>
      <c r="F13" s="11">
        <f t="shared" si="1"/>
        <v>191.14</v>
      </c>
      <c r="G13" s="11">
        <f t="shared" si="3"/>
        <v>14.62</v>
      </c>
      <c r="H13" s="11">
        <f t="shared" si="2"/>
        <v>176.52</v>
      </c>
    </row>
    <row r="14" spans="1:8">
      <c r="A14" s="7" t="s">
        <v>111</v>
      </c>
      <c r="B14" s="8">
        <v>23.69</v>
      </c>
      <c r="C14" s="9">
        <v>0.333333333333333</v>
      </c>
      <c r="D14" s="9">
        <v>0.625</v>
      </c>
      <c r="E14" s="10">
        <f t="shared" si="0"/>
        <v>7</v>
      </c>
      <c r="F14" s="11">
        <f t="shared" si="1"/>
        <v>165.83</v>
      </c>
      <c r="G14" s="11">
        <f t="shared" si="3"/>
        <v>12.69</v>
      </c>
      <c r="H14" s="11">
        <f t="shared" si="2"/>
        <v>153.14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1"/>
  </sheetPr>
  <dimension ref="A1"/>
  <sheetViews>
    <sheetView workbookViewId="0">
      <selection activeCell="A1" sqref="A1"/>
    </sheetView>
  </sheetViews>
  <sheetFormatPr defaultColWidth="9" defaultRowHeight="15"/>
  <sheetData/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14"/>
  <sheetViews>
    <sheetView zoomScale="145" zoomScaleNormal="145" workbookViewId="0">
      <selection activeCell="E5" sqref="E5"/>
    </sheetView>
  </sheetViews>
  <sheetFormatPr defaultColWidth="9" defaultRowHeight="15" outlineLevelCol="7"/>
  <cols>
    <col min="1" max="1" width="19.8571428571429" customWidth="1"/>
    <col min="2" max="2" width="14.2857142857143" customWidth="1"/>
    <col min="3" max="3" width="13.5714285714286" customWidth="1"/>
    <col min="4" max="4" width="11.2857142857143" customWidth="1"/>
    <col min="5" max="5" width="11" customWidth="1"/>
    <col min="6" max="6" width="15" customWidth="1"/>
    <col min="7" max="7" width="10.2857142857143" customWidth="1"/>
  </cols>
  <sheetData>
    <row r="1" spans="1:8">
      <c r="A1" s="1" t="s">
        <v>113</v>
      </c>
      <c r="B1" s="2"/>
      <c r="C1" s="2"/>
      <c r="D1" s="2"/>
      <c r="E1" s="2"/>
      <c r="F1" s="2"/>
      <c r="G1" s="2"/>
      <c r="H1" s="3"/>
    </row>
    <row r="4" ht="30" spans="1:6">
      <c r="A4" s="16" t="s">
        <v>47</v>
      </c>
      <c r="B4" s="16" t="s">
        <v>114</v>
      </c>
      <c r="C4" s="16" t="s">
        <v>48</v>
      </c>
      <c r="D4" s="16" t="s">
        <v>49</v>
      </c>
      <c r="E4" s="16" t="s">
        <v>22</v>
      </c>
      <c r="F4" s="16" t="s">
        <v>50</v>
      </c>
    </row>
    <row r="5" spans="1:7">
      <c r="A5" s="5" t="s">
        <v>115</v>
      </c>
      <c r="B5" s="5">
        <v>2693</v>
      </c>
      <c r="C5" s="18">
        <v>181.82</v>
      </c>
      <c r="D5" s="14">
        <v>42966</v>
      </c>
      <c r="E5" s="10"/>
      <c r="F5" s="10"/>
      <c r="G5" s="19"/>
    </row>
    <row r="6" spans="1:7">
      <c r="A6" s="5" t="s">
        <v>116</v>
      </c>
      <c r="B6" s="5">
        <v>3319</v>
      </c>
      <c r="C6" s="18">
        <v>303.89</v>
      </c>
      <c r="D6" s="14">
        <v>42912</v>
      </c>
      <c r="E6" s="10"/>
      <c r="F6" s="10"/>
      <c r="G6" s="19"/>
    </row>
    <row r="7" spans="1:7">
      <c r="A7" s="5" t="s">
        <v>117</v>
      </c>
      <c r="B7" s="5">
        <v>3587</v>
      </c>
      <c r="C7" s="18">
        <v>177.74</v>
      </c>
      <c r="D7" s="14">
        <v>42969</v>
      </c>
      <c r="E7" s="10"/>
      <c r="F7" s="10"/>
      <c r="G7" s="19"/>
    </row>
    <row r="8" spans="1:7">
      <c r="A8" s="5" t="s">
        <v>118</v>
      </c>
      <c r="B8" s="5">
        <v>3950</v>
      </c>
      <c r="C8" s="18">
        <v>315.25</v>
      </c>
      <c r="D8" s="14">
        <v>42961</v>
      </c>
      <c r="E8" s="10"/>
      <c r="F8" s="10"/>
      <c r="G8" s="19"/>
    </row>
    <row r="9" spans="1:7">
      <c r="A9" s="5" t="s">
        <v>119</v>
      </c>
      <c r="B9" s="5">
        <v>3903</v>
      </c>
      <c r="C9" s="18">
        <v>761.62</v>
      </c>
      <c r="D9" s="14">
        <v>42994</v>
      </c>
      <c r="E9" s="10"/>
      <c r="F9" s="10"/>
      <c r="G9" s="19"/>
    </row>
    <row r="10" spans="1:7">
      <c r="A10" s="5" t="s">
        <v>120</v>
      </c>
      <c r="B10" s="5">
        <v>3222</v>
      </c>
      <c r="C10" s="18">
        <v>759.31</v>
      </c>
      <c r="D10" s="14">
        <v>42909</v>
      </c>
      <c r="E10" s="10"/>
      <c r="F10" s="10"/>
      <c r="G10" s="19"/>
    </row>
    <row r="11" spans="1:7">
      <c r="A11" s="5" t="s">
        <v>121</v>
      </c>
      <c r="B11" s="5">
        <v>3459</v>
      </c>
      <c r="C11" s="18">
        <v>581.59</v>
      </c>
      <c r="D11" s="14">
        <v>42992</v>
      </c>
      <c r="E11" s="10"/>
      <c r="F11" s="10"/>
      <c r="G11" s="19"/>
    </row>
    <row r="12" spans="1:7">
      <c r="A12" s="5" t="s">
        <v>122</v>
      </c>
      <c r="B12" s="5">
        <v>3247</v>
      </c>
      <c r="C12" s="18">
        <v>227.66</v>
      </c>
      <c r="D12" s="14">
        <v>42895</v>
      </c>
      <c r="E12" s="10"/>
      <c r="F12" s="10"/>
      <c r="G12" s="19"/>
    </row>
    <row r="13" spans="1:7">
      <c r="A13" s="5" t="s">
        <v>123</v>
      </c>
      <c r="B13" s="5">
        <v>3092</v>
      </c>
      <c r="C13" s="18">
        <v>459.95</v>
      </c>
      <c r="D13" s="14">
        <v>42918</v>
      </c>
      <c r="E13" s="10"/>
      <c r="F13" s="10"/>
      <c r="G13" s="19"/>
    </row>
    <row r="14" spans="1:7">
      <c r="A14" s="5" t="s">
        <v>124</v>
      </c>
      <c r="B14" s="5">
        <v>2867</v>
      </c>
      <c r="C14" s="18">
        <v>574.95</v>
      </c>
      <c r="D14" s="14">
        <v>42934</v>
      </c>
      <c r="E14" s="10"/>
      <c r="F14" s="10"/>
      <c r="G14" s="19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H14"/>
  <sheetViews>
    <sheetView zoomScale="130" zoomScaleNormal="130" workbookViewId="0">
      <selection activeCell="A1" sqref="A1:H1"/>
    </sheetView>
  </sheetViews>
  <sheetFormatPr defaultColWidth="9" defaultRowHeight="15" outlineLevelCol="7"/>
  <cols>
    <col min="1" max="1" width="19.8571428571429" customWidth="1"/>
    <col min="2" max="2" width="14.2857142857143" customWidth="1"/>
    <col min="3" max="3" width="13.5714285714286" customWidth="1"/>
    <col min="4" max="4" width="11.2857142857143" customWidth="1"/>
    <col min="5" max="5" width="13.4285714285714" customWidth="1"/>
    <col min="6" max="6" width="15" customWidth="1"/>
    <col min="7" max="7" width="10.2857142857143" customWidth="1"/>
  </cols>
  <sheetData>
    <row r="1" spans="1:8">
      <c r="A1" s="1" t="s">
        <v>113</v>
      </c>
      <c r="B1" s="2"/>
      <c r="C1" s="2"/>
      <c r="D1" s="2"/>
      <c r="E1" s="2"/>
      <c r="F1" s="2"/>
      <c r="G1" s="2"/>
      <c r="H1" s="3"/>
    </row>
    <row r="4" ht="30" spans="1:6">
      <c r="A4" s="16" t="s">
        <v>47</v>
      </c>
      <c r="B4" s="16" t="s">
        <v>114</v>
      </c>
      <c r="C4" s="16" t="s">
        <v>48</v>
      </c>
      <c r="D4" s="16" t="s">
        <v>49</v>
      </c>
      <c r="E4" s="16" t="s">
        <v>22</v>
      </c>
      <c r="F4" s="16" t="s">
        <v>50</v>
      </c>
    </row>
    <row r="5" spans="1:7">
      <c r="A5" s="5" t="s">
        <v>115</v>
      </c>
      <c r="B5" s="5">
        <v>2693</v>
      </c>
      <c r="C5" s="18">
        <v>181.82</v>
      </c>
      <c r="D5" s="14">
        <v>42966</v>
      </c>
      <c r="E5" s="15">
        <f ca="1">TODAY()</f>
        <v>45080</v>
      </c>
      <c r="F5" s="10">
        <f ca="1" t="shared" ref="F5:F14" si="0">E5-D5</f>
        <v>2114</v>
      </c>
      <c r="G5" s="19"/>
    </row>
    <row r="6" spans="1:7">
      <c r="A6" s="5" t="s">
        <v>116</v>
      </c>
      <c r="B6" s="5">
        <v>3319</v>
      </c>
      <c r="C6" s="18">
        <v>303.89</v>
      </c>
      <c r="D6" s="14">
        <v>42912</v>
      </c>
      <c r="E6" s="15">
        <f ca="1" t="shared" ref="E6:E14" si="1">TODAY()</f>
        <v>45080</v>
      </c>
      <c r="F6" s="10">
        <f ca="1" t="shared" si="0"/>
        <v>2168</v>
      </c>
      <c r="G6" s="19"/>
    </row>
    <row r="7" spans="1:7">
      <c r="A7" s="5" t="s">
        <v>117</v>
      </c>
      <c r="B7" s="5">
        <v>3587</v>
      </c>
      <c r="C7" s="18">
        <v>177.74</v>
      </c>
      <c r="D7" s="14">
        <v>42969</v>
      </c>
      <c r="E7" s="15">
        <f ca="1" t="shared" si="1"/>
        <v>45080</v>
      </c>
      <c r="F7" s="10">
        <f ca="1" t="shared" si="0"/>
        <v>2111</v>
      </c>
      <c r="G7" s="19"/>
    </row>
    <row r="8" spans="1:7">
      <c r="A8" s="5" t="s">
        <v>118</v>
      </c>
      <c r="B8" s="5">
        <v>3950</v>
      </c>
      <c r="C8" s="18">
        <v>315.25</v>
      </c>
      <c r="D8" s="14">
        <v>42961</v>
      </c>
      <c r="E8" s="15">
        <f ca="1" t="shared" si="1"/>
        <v>45080</v>
      </c>
      <c r="F8" s="10">
        <f ca="1" t="shared" si="0"/>
        <v>2119</v>
      </c>
      <c r="G8" s="19"/>
    </row>
    <row r="9" spans="1:7">
      <c r="A9" s="5" t="s">
        <v>119</v>
      </c>
      <c r="B9" s="5">
        <v>3903</v>
      </c>
      <c r="C9" s="18">
        <v>761.62</v>
      </c>
      <c r="D9" s="14">
        <v>42994</v>
      </c>
      <c r="E9" s="15">
        <f ca="1" t="shared" si="1"/>
        <v>45080</v>
      </c>
      <c r="F9" s="10">
        <f ca="1" t="shared" si="0"/>
        <v>2086</v>
      </c>
      <c r="G9" s="19"/>
    </row>
    <row r="10" spans="1:7">
      <c r="A10" s="5" t="s">
        <v>120</v>
      </c>
      <c r="B10" s="5">
        <v>3222</v>
      </c>
      <c r="C10" s="18">
        <v>759.31</v>
      </c>
      <c r="D10" s="14">
        <v>42909</v>
      </c>
      <c r="E10" s="15">
        <f ca="1" t="shared" si="1"/>
        <v>45080</v>
      </c>
      <c r="F10" s="10">
        <f ca="1" t="shared" si="0"/>
        <v>2171</v>
      </c>
      <c r="G10" s="19"/>
    </row>
    <row r="11" spans="1:7">
      <c r="A11" s="5" t="s">
        <v>121</v>
      </c>
      <c r="B11" s="5">
        <v>3459</v>
      </c>
      <c r="C11" s="18">
        <v>581.59</v>
      </c>
      <c r="D11" s="14">
        <v>42992</v>
      </c>
      <c r="E11" s="15">
        <f ca="1" t="shared" si="1"/>
        <v>45080</v>
      </c>
      <c r="F11" s="10">
        <f ca="1" t="shared" si="0"/>
        <v>2088</v>
      </c>
      <c r="G11" s="19"/>
    </row>
    <row r="12" spans="1:7">
      <c r="A12" s="5" t="s">
        <v>122</v>
      </c>
      <c r="B12" s="5">
        <v>3247</v>
      </c>
      <c r="C12" s="18">
        <v>227.66</v>
      </c>
      <c r="D12" s="14">
        <v>42895</v>
      </c>
      <c r="E12" s="15">
        <f ca="1" t="shared" si="1"/>
        <v>45080</v>
      </c>
      <c r="F12" s="10">
        <f ca="1" t="shared" si="0"/>
        <v>2185</v>
      </c>
      <c r="G12" s="19"/>
    </row>
    <row r="13" spans="1:7">
      <c r="A13" s="5" t="s">
        <v>123</v>
      </c>
      <c r="B13" s="5">
        <v>3092</v>
      </c>
      <c r="C13" s="18">
        <v>459.95</v>
      </c>
      <c r="D13" s="14">
        <v>42918</v>
      </c>
      <c r="E13" s="15">
        <f ca="1" t="shared" si="1"/>
        <v>45080</v>
      </c>
      <c r="F13" s="10">
        <f ca="1" t="shared" si="0"/>
        <v>2162</v>
      </c>
      <c r="G13" s="19"/>
    </row>
    <row r="14" spans="1:7">
      <c r="A14" s="5" t="s">
        <v>124</v>
      </c>
      <c r="B14" s="5">
        <v>2867</v>
      </c>
      <c r="C14" s="18">
        <v>574.95</v>
      </c>
      <c r="D14" s="14">
        <v>42934</v>
      </c>
      <c r="E14" s="15">
        <f ca="1" t="shared" si="1"/>
        <v>45080</v>
      </c>
      <c r="F14" s="10">
        <f ca="1" t="shared" si="0"/>
        <v>2146</v>
      </c>
      <c r="G14" s="19"/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D14"/>
  <sheetViews>
    <sheetView zoomScale="130" zoomScaleNormal="130" workbookViewId="0">
      <selection activeCell="D5" sqref="D5"/>
    </sheetView>
  </sheetViews>
  <sheetFormatPr defaultColWidth="9" defaultRowHeight="15" outlineLevelCol="3"/>
  <cols>
    <col min="1" max="1" width="25.1428571428571" customWidth="1"/>
    <col min="2" max="3" width="13.1428571428571" customWidth="1"/>
    <col min="4" max="4" width="13.4285714285714" customWidth="1"/>
  </cols>
  <sheetData>
    <row r="1" spans="1:4">
      <c r="A1" s="1" t="s">
        <v>125</v>
      </c>
      <c r="B1" s="2"/>
      <c r="C1" s="2"/>
      <c r="D1" s="2"/>
    </row>
    <row r="4" ht="45" spans="1:4">
      <c r="A4" s="16" t="s">
        <v>126</v>
      </c>
      <c r="B4" s="16" t="s">
        <v>127</v>
      </c>
      <c r="C4" s="16" t="s">
        <v>128</v>
      </c>
      <c r="D4" s="17" t="s">
        <v>129</v>
      </c>
    </row>
    <row r="5" spans="1:4">
      <c r="A5" s="5" t="s">
        <v>130</v>
      </c>
      <c r="B5" s="14">
        <v>43149</v>
      </c>
      <c r="C5" s="14">
        <v>43218</v>
      </c>
      <c r="D5" s="10"/>
    </row>
    <row r="6" spans="1:4">
      <c r="A6" s="5" t="s">
        <v>131</v>
      </c>
      <c r="B6" s="14">
        <v>43066</v>
      </c>
      <c r="C6" s="14">
        <v>43285</v>
      </c>
      <c r="D6" s="10"/>
    </row>
    <row r="7" spans="1:4">
      <c r="A7" s="5" t="s">
        <v>132</v>
      </c>
      <c r="B7" s="14">
        <v>43167</v>
      </c>
      <c r="C7" s="14">
        <v>43416</v>
      </c>
      <c r="D7" s="10"/>
    </row>
    <row r="8" spans="1:4">
      <c r="A8" s="5" t="s">
        <v>133</v>
      </c>
      <c r="B8" s="14">
        <v>43070</v>
      </c>
      <c r="C8" s="14">
        <v>43267</v>
      </c>
      <c r="D8" s="10"/>
    </row>
    <row r="9" spans="1:4">
      <c r="A9" s="5" t="s">
        <v>134</v>
      </c>
      <c r="B9" s="14">
        <v>43141</v>
      </c>
      <c r="C9" s="14">
        <v>43183</v>
      </c>
      <c r="D9" s="10"/>
    </row>
    <row r="10" spans="1:4">
      <c r="A10" s="5" t="s">
        <v>135</v>
      </c>
      <c r="B10" s="14">
        <v>43123</v>
      </c>
      <c r="C10" s="14">
        <v>43177</v>
      </c>
      <c r="D10" s="10"/>
    </row>
    <row r="11" spans="1:4">
      <c r="A11" s="5" t="s">
        <v>136</v>
      </c>
      <c r="B11" s="14">
        <v>43128</v>
      </c>
      <c r="C11" s="14">
        <v>43163</v>
      </c>
      <c r="D11" s="10"/>
    </row>
    <row r="12" spans="1:4">
      <c r="A12" s="5" t="s">
        <v>137</v>
      </c>
      <c r="B12" s="14">
        <v>43086</v>
      </c>
      <c r="C12" s="14">
        <v>43318</v>
      </c>
      <c r="D12" s="10"/>
    </row>
    <row r="13" spans="1:4">
      <c r="A13" s="5" t="s">
        <v>138</v>
      </c>
      <c r="B13" s="14">
        <v>43030</v>
      </c>
      <c r="C13" s="14">
        <v>43201</v>
      </c>
      <c r="D13" s="10"/>
    </row>
    <row r="14" spans="1:4">
      <c r="A14" s="5" t="s">
        <v>139</v>
      </c>
      <c r="B14" s="14">
        <v>43108</v>
      </c>
      <c r="C14" s="14">
        <v>43345</v>
      </c>
      <c r="D14" s="10"/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D14"/>
  <sheetViews>
    <sheetView zoomScale="130" zoomScaleNormal="130" workbookViewId="0">
      <selection activeCell="D5" sqref="D5:D14"/>
    </sheetView>
  </sheetViews>
  <sheetFormatPr defaultColWidth="9" defaultRowHeight="15" outlineLevelCol="3"/>
  <cols>
    <col min="1" max="1" width="25.1428571428571" customWidth="1"/>
    <col min="2" max="3" width="13.1428571428571" customWidth="1"/>
    <col min="4" max="4" width="13.4285714285714" customWidth="1"/>
  </cols>
  <sheetData>
    <row r="1" spans="1:4">
      <c r="A1" s="1" t="s">
        <v>125</v>
      </c>
      <c r="B1" s="2"/>
      <c r="C1" s="2"/>
      <c r="D1" s="2"/>
    </row>
    <row r="4" ht="45" spans="1:4">
      <c r="A4" s="16" t="s">
        <v>126</v>
      </c>
      <c r="B4" s="16" t="s">
        <v>127</v>
      </c>
      <c r="C4" s="16" t="s">
        <v>128</v>
      </c>
      <c r="D4" s="17" t="s">
        <v>129</v>
      </c>
    </row>
    <row r="5" spans="1:4">
      <c r="A5" s="5" t="s">
        <v>130</v>
      </c>
      <c r="B5" s="14">
        <v>43149</v>
      </c>
      <c r="C5" s="14">
        <v>43218</v>
      </c>
      <c r="D5" s="10">
        <f t="shared" ref="D5:D14" si="0">C5-B5+1</f>
        <v>70</v>
      </c>
    </row>
    <row r="6" spans="1:4">
      <c r="A6" s="5" t="s">
        <v>131</v>
      </c>
      <c r="B6" s="14">
        <v>43066</v>
      </c>
      <c r="C6" s="14">
        <v>43285</v>
      </c>
      <c r="D6" s="10">
        <f t="shared" si="0"/>
        <v>220</v>
      </c>
    </row>
    <row r="7" spans="1:4">
      <c r="A7" s="5" t="s">
        <v>132</v>
      </c>
      <c r="B7" s="14">
        <v>43167</v>
      </c>
      <c r="C7" s="14">
        <v>43416</v>
      </c>
      <c r="D7" s="10">
        <f t="shared" si="0"/>
        <v>250</v>
      </c>
    </row>
    <row r="8" spans="1:4">
      <c r="A8" s="5" t="s">
        <v>133</v>
      </c>
      <c r="B8" s="14">
        <v>43070</v>
      </c>
      <c r="C8" s="14">
        <v>43267</v>
      </c>
      <c r="D8" s="10">
        <f t="shared" si="0"/>
        <v>198</v>
      </c>
    </row>
    <row r="9" spans="1:4">
      <c r="A9" s="5" t="s">
        <v>134</v>
      </c>
      <c r="B9" s="14">
        <v>43141</v>
      </c>
      <c r="C9" s="14">
        <v>43183</v>
      </c>
      <c r="D9" s="10">
        <f t="shared" si="0"/>
        <v>43</v>
      </c>
    </row>
    <row r="10" spans="1:4">
      <c r="A10" s="5" t="s">
        <v>135</v>
      </c>
      <c r="B10" s="14">
        <v>43123</v>
      </c>
      <c r="C10" s="14">
        <v>43177</v>
      </c>
      <c r="D10" s="10">
        <f t="shared" si="0"/>
        <v>55</v>
      </c>
    </row>
    <row r="11" spans="1:4">
      <c r="A11" s="5" t="s">
        <v>136</v>
      </c>
      <c r="B11" s="14">
        <v>43128</v>
      </c>
      <c r="C11" s="14">
        <v>43163</v>
      </c>
      <c r="D11" s="10">
        <f t="shared" si="0"/>
        <v>36</v>
      </c>
    </row>
    <row r="12" spans="1:4">
      <c r="A12" s="5" t="s">
        <v>137</v>
      </c>
      <c r="B12" s="14">
        <v>43086</v>
      </c>
      <c r="C12" s="14">
        <v>43318</v>
      </c>
      <c r="D12" s="10">
        <f t="shared" si="0"/>
        <v>233</v>
      </c>
    </row>
    <row r="13" spans="1:4">
      <c r="A13" s="5" t="s">
        <v>138</v>
      </c>
      <c r="B13" s="14">
        <v>43030</v>
      </c>
      <c r="C13" s="14">
        <v>43201</v>
      </c>
      <c r="D13" s="10">
        <f t="shared" si="0"/>
        <v>172</v>
      </c>
    </row>
    <row r="14" spans="1:4">
      <c r="A14" s="5" t="s">
        <v>139</v>
      </c>
      <c r="B14" s="14">
        <v>43108</v>
      </c>
      <c r="C14" s="14">
        <v>43345</v>
      </c>
      <c r="D14" s="10">
        <f t="shared" si="0"/>
        <v>238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M9"/>
  <sheetViews>
    <sheetView zoomScale="160" zoomScaleNormal="160" workbookViewId="0">
      <selection activeCell="B4" sqref="B4"/>
    </sheetView>
  </sheetViews>
  <sheetFormatPr defaultColWidth="9" defaultRowHeight="15"/>
  <cols>
    <col min="1" max="1" width="11.5714285714286" customWidth="1"/>
    <col min="2" max="2" width="15.4285714285714" customWidth="1"/>
  </cols>
  <sheetData>
    <row r="1" spans="1:13">
      <c r="A1" s="1" t="s">
        <v>140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3" spans="1:2">
      <c r="A3" s="13" t="s">
        <v>37</v>
      </c>
      <c r="B3" s="14">
        <v>43042</v>
      </c>
    </row>
    <row r="4" spans="1:2">
      <c r="A4" s="13" t="s">
        <v>39</v>
      </c>
      <c r="B4" s="12"/>
    </row>
    <row r="6" spans="1:13">
      <c r="A6" s="1" t="s">
        <v>141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3"/>
    </row>
    <row r="8" spans="1:2">
      <c r="A8" s="13" t="s">
        <v>37</v>
      </c>
      <c r="B8" s="14">
        <v>43042</v>
      </c>
    </row>
    <row r="9" spans="1:2">
      <c r="A9" s="13" t="s">
        <v>39</v>
      </c>
      <c r="B9" s="12"/>
    </row>
  </sheetData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M9"/>
  <sheetViews>
    <sheetView zoomScale="160" zoomScaleNormal="160" workbookViewId="0">
      <selection activeCell="B9" sqref="B9"/>
    </sheetView>
  </sheetViews>
  <sheetFormatPr defaultColWidth="9" defaultRowHeight="15"/>
  <cols>
    <col min="1" max="1" width="11.5714285714286" customWidth="1"/>
    <col min="2" max="2" width="15.4285714285714" customWidth="1"/>
  </cols>
  <sheetData>
    <row r="1" spans="1:13">
      <c r="A1" s="1" t="s">
        <v>140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3" spans="1:2">
      <c r="A3" s="13" t="s">
        <v>37</v>
      </c>
      <c r="B3" s="14">
        <v>43042</v>
      </c>
    </row>
    <row r="4" spans="1:2">
      <c r="A4" s="13" t="s">
        <v>39</v>
      </c>
      <c r="B4" s="15">
        <f>EDATE(B3,2)</f>
        <v>43103</v>
      </c>
    </row>
    <row r="6" spans="1:13">
      <c r="A6" s="1" t="s">
        <v>141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3"/>
    </row>
    <row r="8" spans="1:2">
      <c r="A8" s="13" t="s">
        <v>37</v>
      </c>
      <c r="B8" s="14">
        <v>43042</v>
      </c>
    </row>
    <row r="9" spans="1:2">
      <c r="A9" s="13" t="s">
        <v>39</v>
      </c>
      <c r="B9" s="15">
        <f>EOMONTH(B8,0)</f>
        <v>43069</v>
      </c>
    </row>
  </sheetData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H16"/>
  <sheetViews>
    <sheetView zoomScale="160" zoomScaleNormal="160" workbookViewId="0">
      <selection activeCell="E7" sqref="E7:H16"/>
    </sheetView>
  </sheetViews>
  <sheetFormatPr defaultColWidth="9" defaultRowHeight="15" outlineLevelCol="7"/>
  <cols>
    <col min="1" max="1" width="16.1428571428571" customWidth="1"/>
    <col min="2" max="2" width="7.28571428571429" customWidth="1"/>
    <col min="3" max="3" width="8" customWidth="1"/>
    <col min="5" max="5" width="13.8571428571429" customWidth="1"/>
    <col min="6" max="6" width="9.57142857142857" customWidth="1"/>
    <col min="7" max="7" width="10.1428571428571" customWidth="1"/>
    <col min="8" max="8" width="9.28571428571429" customWidth="1"/>
  </cols>
  <sheetData>
    <row r="1" spans="1:8">
      <c r="A1" s="1" t="str">
        <f>"Create the formulas for the following columns: "&amp;E6&amp;" "&amp;F6&amp;" "&amp;G6&amp;" "&amp;H6</f>
        <v>Create the formulas for the following columns: Hours Worked Gross Pay Deduction Day's Pay</v>
      </c>
      <c r="B1" s="2"/>
      <c r="C1" s="2"/>
      <c r="D1" s="2"/>
      <c r="E1" s="2"/>
      <c r="F1" s="2"/>
      <c r="G1" s="2"/>
      <c r="H1" s="3"/>
    </row>
    <row r="3" spans="7:7">
      <c r="G3" s="4" t="s">
        <v>95</v>
      </c>
    </row>
    <row r="4" spans="7:7">
      <c r="G4" s="5">
        <v>0.0765</v>
      </c>
    </row>
    <row r="6" spans="1:8">
      <c r="A6" s="6" t="s">
        <v>97</v>
      </c>
      <c r="B6" s="6" t="s">
        <v>98</v>
      </c>
      <c r="C6" s="6" t="s">
        <v>84</v>
      </c>
      <c r="D6" s="6" t="s">
        <v>85</v>
      </c>
      <c r="E6" s="6" t="s">
        <v>99</v>
      </c>
      <c r="F6" s="6" t="s">
        <v>88</v>
      </c>
      <c r="G6" s="6" t="s">
        <v>100</v>
      </c>
      <c r="H6" s="6" t="s">
        <v>101</v>
      </c>
    </row>
    <row r="7" spans="1:8">
      <c r="A7" s="7" t="s">
        <v>102</v>
      </c>
      <c r="B7" s="8">
        <v>24.94</v>
      </c>
      <c r="C7" s="9">
        <v>0.333333333333333</v>
      </c>
      <c r="D7" s="9">
        <v>0.645833333333333</v>
      </c>
      <c r="E7" s="12"/>
      <c r="F7" s="12"/>
      <c r="G7" s="12"/>
      <c r="H7" s="12"/>
    </row>
    <row r="8" spans="1:8">
      <c r="A8" s="7" t="s">
        <v>103</v>
      </c>
      <c r="B8" s="8">
        <v>18.14</v>
      </c>
      <c r="C8" s="9">
        <v>0.375</v>
      </c>
      <c r="D8" s="9">
        <v>0.604166666666667</v>
      </c>
      <c r="E8" s="12"/>
      <c r="F8" s="12"/>
      <c r="G8" s="12"/>
      <c r="H8" s="12"/>
    </row>
    <row r="9" spans="1:8">
      <c r="A9" s="7" t="s">
        <v>104</v>
      </c>
      <c r="B9" s="8">
        <v>17.94</v>
      </c>
      <c r="C9" s="9">
        <v>0.3125</v>
      </c>
      <c r="D9" s="9">
        <v>0.625</v>
      </c>
      <c r="E9" s="12"/>
      <c r="F9" s="12"/>
      <c r="G9" s="12"/>
      <c r="H9" s="12"/>
    </row>
    <row r="10" spans="1:8">
      <c r="A10" s="7" t="s">
        <v>105</v>
      </c>
      <c r="B10" s="8">
        <v>26.7</v>
      </c>
      <c r="C10" s="9">
        <v>0.333333333333333</v>
      </c>
      <c r="D10" s="9">
        <v>0.5625</v>
      </c>
      <c r="E10" s="12"/>
      <c r="F10" s="12"/>
      <c r="G10" s="12"/>
      <c r="H10" s="12"/>
    </row>
    <row r="11" spans="1:8">
      <c r="A11" s="7" t="s">
        <v>106</v>
      </c>
      <c r="B11" s="8">
        <v>24.3</v>
      </c>
      <c r="C11" s="9">
        <v>0.375</v>
      </c>
      <c r="D11" s="9">
        <v>0.604166666666667</v>
      </c>
      <c r="E11" s="12"/>
      <c r="F11" s="12"/>
      <c r="G11" s="12"/>
      <c r="H11" s="12"/>
    </row>
    <row r="12" spans="1:8">
      <c r="A12" s="7" t="s">
        <v>107</v>
      </c>
      <c r="B12" s="8">
        <v>22.85</v>
      </c>
      <c r="C12" s="9">
        <v>0.333333333333333</v>
      </c>
      <c r="D12" s="9">
        <v>0.75</v>
      </c>
      <c r="E12" s="12"/>
      <c r="F12" s="12"/>
      <c r="G12" s="12"/>
      <c r="H12" s="12"/>
    </row>
    <row r="13" spans="1:8">
      <c r="A13" s="7" t="s">
        <v>108</v>
      </c>
      <c r="B13" s="8">
        <v>26.98</v>
      </c>
      <c r="C13" s="9">
        <v>0.270833333333333</v>
      </c>
      <c r="D13" s="9">
        <v>0.479166666666667</v>
      </c>
      <c r="E13" s="12"/>
      <c r="F13" s="12"/>
      <c r="G13" s="12"/>
      <c r="H13" s="12"/>
    </row>
    <row r="14" spans="1:8">
      <c r="A14" s="7" t="s">
        <v>109</v>
      </c>
      <c r="B14" s="8">
        <v>17.71</v>
      </c>
      <c r="C14" s="9">
        <v>0.333333333333333</v>
      </c>
      <c r="D14" s="9">
        <v>0.541666666666667</v>
      </c>
      <c r="E14" s="12"/>
      <c r="F14" s="12"/>
      <c r="G14" s="12"/>
      <c r="H14" s="12"/>
    </row>
    <row r="15" spans="1:8">
      <c r="A15" s="7" t="s">
        <v>110</v>
      </c>
      <c r="B15" s="8">
        <v>20.12</v>
      </c>
      <c r="C15" s="9">
        <v>0.291666666666667</v>
      </c>
      <c r="D15" s="9">
        <v>0.6875</v>
      </c>
      <c r="E15" s="12"/>
      <c r="F15" s="12"/>
      <c r="G15" s="12"/>
      <c r="H15" s="12"/>
    </row>
    <row r="16" spans="1:8">
      <c r="A16" s="7" t="s">
        <v>111</v>
      </c>
      <c r="B16" s="8">
        <v>23.69</v>
      </c>
      <c r="C16" s="9">
        <v>0.333333333333333</v>
      </c>
      <c r="D16" s="9">
        <v>0.625</v>
      </c>
      <c r="E16" s="12"/>
      <c r="F16" s="12"/>
      <c r="G16" s="12"/>
      <c r="H16" s="12"/>
    </row>
  </sheetData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H16"/>
  <sheetViews>
    <sheetView zoomScale="160" zoomScaleNormal="160" workbookViewId="0">
      <selection activeCell="G4" sqref="G4"/>
    </sheetView>
  </sheetViews>
  <sheetFormatPr defaultColWidth="9" defaultRowHeight="15" outlineLevelCol="7"/>
  <cols>
    <col min="1" max="1" width="16.1428571428571" customWidth="1"/>
    <col min="2" max="2" width="7.28571428571429" customWidth="1"/>
    <col min="3" max="3" width="8" customWidth="1"/>
    <col min="5" max="5" width="13.8571428571429" customWidth="1"/>
    <col min="6" max="6" width="9.57142857142857" customWidth="1"/>
    <col min="7" max="7" width="10.1428571428571" customWidth="1"/>
    <col min="8" max="8" width="9.28571428571429" customWidth="1"/>
  </cols>
  <sheetData>
    <row r="1" spans="1:8">
      <c r="A1" s="1" t="str">
        <f>"Create the formulas for the following columns: "&amp;E6&amp;" "&amp;F6&amp;" "&amp;G6&amp;" "&amp;H6</f>
        <v>Create the formulas for the following columns: Hours Worked Gross Pay Deduction Day's Pay</v>
      </c>
      <c r="B1" s="2"/>
      <c r="C1" s="2"/>
      <c r="D1" s="2"/>
      <c r="E1" s="2"/>
      <c r="F1" s="2"/>
      <c r="G1" s="2"/>
      <c r="H1" s="3"/>
    </row>
    <row r="3" spans="7:7">
      <c r="G3" s="4" t="s">
        <v>95</v>
      </c>
    </row>
    <row r="4" spans="7:7">
      <c r="G4" s="5">
        <v>0.0765</v>
      </c>
    </row>
    <row r="6" spans="1:8">
      <c r="A6" s="6" t="s">
        <v>97</v>
      </c>
      <c r="B6" s="6" t="s">
        <v>98</v>
      </c>
      <c r="C6" s="6" t="s">
        <v>84</v>
      </c>
      <c r="D6" s="6" t="s">
        <v>85</v>
      </c>
      <c r="E6" s="6" t="s">
        <v>99</v>
      </c>
      <c r="F6" s="6" t="s">
        <v>88</v>
      </c>
      <c r="G6" s="6" t="s">
        <v>100</v>
      </c>
      <c r="H6" s="6" t="s">
        <v>101</v>
      </c>
    </row>
    <row r="7" spans="1:8">
      <c r="A7" s="7" t="s">
        <v>102</v>
      </c>
      <c r="B7" s="8">
        <v>24.94</v>
      </c>
      <c r="C7" s="9">
        <v>0.333333333333333</v>
      </c>
      <c r="D7" s="9">
        <v>0.645833333333333</v>
      </c>
      <c r="E7" s="10">
        <f t="shared" ref="E7:E16" si="0">(D7-C7)*24</f>
        <v>7.5</v>
      </c>
      <c r="F7" s="11">
        <f t="shared" ref="F7:F16" si="1">ROUND(E7*B7,2)</f>
        <v>187.05</v>
      </c>
      <c r="G7" s="11">
        <f>ROUND(F7*$G$4,2)</f>
        <v>14.31</v>
      </c>
      <c r="H7" s="11">
        <f t="shared" ref="H7:H16" si="2">F7-G7</f>
        <v>172.74</v>
      </c>
    </row>
    <row r="8" spans="1:8">
      <c r="A8" s="7" t="s">
        <v>103</v>
      </c>
      <c r="B8" s="8">
        <v>18.14</v>
      </c>
      <c r="C8" s="9">
        <v>0.375</v>
      </c>
      <c r="D8" s="9">
        <v>0.604166666666667</v>
      </c>
      <c r="E8" s="10">
        <f t="shared" si="0"/>
        <v>5.5</v>
      </c>
      <c r="F8" s="11">
        <f t="shared" si="1"/>
        <v>99.77</v>
      </c>
      <c r="G8" s="11">
        <f t="shared" ref="G8:G16" si="3">ROUND(F8*$G$4,2)</f>
        <v>7.63</v>
      </c>
      <c r="H8" s="11">
        <f t="shared" si="2"/>
        <v>92.14</v>
      </c>
    </row>
    <row r="9" spans="1:8">
      <c r="A9" s="7" t="s">
        <v>104</v>
      </c>
      <c r="B9" s="8">
        <v>17.94</v>
      </c>
      <c r="C9" s="9">
        <v>0.3125</v>
      </c>
      <c r="D9" s="9">
        <v>0.625</v>
      </c>
      <c r="E9" s="10">
        <f t="shared" si="0"/>
        <v>7.5</v>
      </c>
      <c r="F9" s="11">
        <f t="shared" si="1"/>
        <v>134.55</v>
      </c>
      <c r="G9" s="11">
        <f t="shared" si="3"/>
        <v>10.29</v>
      </c>
      <c r="H9" s="11">
        <f t="shared" si="2"/>
        <v>124.26</v>
      </c>
    </row>
    <row r="10" spans="1:8">
      <c r="A10" s="7" t="s">
        <v>105</v>
      </c>
      <c r="B10" s="8">
        <v>26.7</v>
      </c>
      <c r="C10" s="9">
        <v>0.333333333333333</v>
      </c>
      <c r="D10" s="9">
        <v>0.5625</v>
      </c>
      <c r="E10" s="10">
        <f t="shared" si="0"/>
        <v>5.5</v>
      </c>
      <c r="F10" s="11">
        <f t="shared" si="1"/>
        <v>146.85</v>
      </c>
      <c r="G10" s="11">
        <f t="shared" si="3"/>
        <v>11.23</v>
      </c>
      <c r="H10" s="11">
        <f t="shared" si="2"/>
        <v>135.62</v>
      </c>
    </row>
    <row r="11" spans="1:8">
      <c r="A11" s="7" t="s">
        <v>106</v>
      </c>
      <c r="B11" s="8">
        <v>24.3</v>
      </c>
      <c r="C11" s="9">
        <v>0.375</v>
      </c>
      <c r="D11" s="9">
        <v>0.604166666666667</v>
      </c>
      <c r="E11" s="10">
        <f t="shared" si="0"/>
        <v>5.5</v>
      </c>
      <c r="F11" s="11">
        <f t="shared" si="1"/>
        <v>133.65</v>
      </c>
      <c r="G11" s="11">
        <f t="shared" si="3"/>
        <v>10.22</v>
      </c>
      <c r="H11" s="11">
        <f t="shared" si="2"/>
        <v>123.43</v>
      </c>
    </row>
    <row r="12" spans="1:8">
      <c r="A12" s="7" t="s">
        <v>107</v>
      </c>
      <c r="B12" s="8">
        <v>22.85</v>
      </c>
      <c r="C12" s="9">
        <v>0.333333333333333</v>
      </c>
      <c r="D12" s="9">
        <v>0.75</v>
      </c>
      <c r="E12" s="10">
        <f t="shared" si="0"/>
        <v>10</v>
      </c>
      <c r="F12" s="11">
        <f t="shared" si="1"/>
        <v>228.5</v>
      </c>
      <c r="G12" s="11">
        <f t="shared" si="3"/>
        <v>17.48</v>
      </c>
      <c r="H12" s="11">
        <f t="shared" si="2"/>
        <v>211.02</v>
      </c>
    </row>
    <row r="13" spans="1:8">
      <c r="A13" s="7" t="s">
        <v>108</v>
      </c>
      <c r="B13" s="8">
        <v>26.98</v>
      </c>
      <c r="C13" s="9">
        <v>0.270833333333333</v>
      </c>
      <c r="D13" s="9">
        <v>0.479166666666667</v>
      </c>
      <c r="E13" s="10">
        <f t="shared" si="0"/>
        <v>5</v>
      </c>
      <c r="F13" s="11">
        <f t="shared" si="1"/>
        <v>134.9</v>
      </c>
      <c r="G13" s="11">
        <f t="shared" si="3"/>
        <v>10.32</v>
      </c>
      <c r="H13" s="11">
        <f t="shared" si="2"/>
        <v>124.58</v>
      </c>
    </row>
    <row r="14" spans="1:8">
      <c r="A14" s="7" t="s">
        <v>109</v>
      </c>
      <c r="B14" s="8">
        <v>17.71</v>
      </c>
      <c r="C14" s="9">
        <v>0.333333333333333</v>
      </c>
      <c r="D14" s="9">
        <v>0.541666666666667</v>
      </c>
      <c r="E14" s="10">
        <f t="shared" si="0"/>
        <v>5</v>
      </c>
      <c r="F14" s="11">
        <f t="shared" si="1"/>
        <v>88.55</v>
      </c>
      <c r="G14" s="11">
        <f t="shared" si="3"/>
        <v>6.77</v>
      </c>
      <c r="H14" s="11">
        <f t="shared" si="2"/>
        <v>81.78</v>
      </c>
    </row>
    <row r="15" spans="1:8">
      <c r="A15" s="7" t="s">
        <v>110</v>
      </c>
      <c r="B15" s="8">
        <v>20.12</v>
      </c>
      <c r="C15" s="9">
        <v>0.291666666666667</v>
      </c>
      <c r="D15" s="9">
        <v>0.6875</v>
      </c>
      <c r="E15" s="10">
        <f t="shared" si="0"/>
        <v>9.5</v>
      </c>
      <c r="F15" s="11">
        <f t="shared" si="1"/>
        <v>191.14</v>
      </c>
      <c r="G15" s="11">
        <f t="shared" si="3"/>
        <v>14.62</v>
      </c>
      <c r="H15" s="11">
        <f t="shared" si="2"/>
        <v>176.52</v>
      </c>
    </row>
    <row r="16" spans="1:8">
      <c r="A16" s="7" t="s">
        <v>111</v>
      </c>
      <c r="B16" s="8">
        <v>23.69</v>
      </c>
      <c r="C16" s="9">
        <v>0.333333333333333</v>
      </c>
      <c r="D16" s="9">
        <v>0.625</v>
      </c>
      <c r="E16" s="10">
        <f t="shared" si="0"/>
        <v>7</v>
      </c>
      <c r="F16" s="11">
        <f t="shared" si="1"/>
        <v>165.83</v>
      </c>
      <c r="G16" s="11">
        <f t="shared" si="3"/>
        <v>12.69</v>
      </c>
      <c r="H16" s="11">
        <f t="shared" si="2"/>
        <v>153.14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Cover</vt:lpstr>
      <vt:lpstr>Date NF &amp; Calcs</vt:lpstr>
      <vt:lpstr>Date NF &amp; Calcs (an)</vt:lpstr>
      <vt:lpstr>Time NF &amp; Calcs</vt:lpstr>
      <vt:lpstr>Time NF &amp; Calcs (an)</vt:lpstr>
      <vt:lpstr>TimeSheet</vt:lpstr>
      <vt:lpstr>HW 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WPS_1644060671</cp:lastModifiedBy>
  <dcterms:created xsi:type="dcterms:W3CDTF">2017-10-27T18:49:00Z</dcterms:created>
  <dcterms:modified xsi:type="dcterms:W3CDTF">2023-06-03T11:46:47Z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186C8F82721C4E4D99A25ACE5D8AE7A3</vt:lpwstr>
  </property>
  <property fmtid="{D5CDD505-2E9C-101B-9397-08002B2CF9AE}" pid="3" name="KSOProductBuildVer">
    <vt:lpwstr>1033-11.2.0.11537</vt:lpwstr>
  </property>
</Properties>
</file>